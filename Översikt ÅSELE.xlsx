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46181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46181</v>
      </c>
      <c r="D5" t="inlineStr">
        <is>
          <t>VÄSTERBOTTENS LÄN</t>
        </is>
      </c>
      <c r="E5" t="inlineStr">
        <is>
          <t>ÅSELE</t>
        </is>
      </c>
      <c r="F5" t="inlineStr">
        <is>
          <t>Sveaskog</t>
        </is>
      </c>
      <c r="G5" t="n">
        <v>5</v>
      </c>
      <c r="H5" t="n">
        <v>5</v>
      </c>
      <c r="I5" t="n">
        <v>9</v>
      </c>
      <c r="J5" t="n">
        <v>9</v>
      </c>
      <c r="K5" t="n">
        <v>2</v>
      </c>
      <c r="L5" t="n">
        <v>0</v>
      </c>
      <c r="M5" t="n">
        <v>0</v>
      </c>
      <c r="N5" t="n">
        <v>0</v>
      </c>
      <c r="O5" t="n">
        <v>11</v>
      </c>
      <c r="P5" t="n">
        <v>2</v>
      </c>
      <c r="Q5" t="n">
        <v>21</v>
      </c>
      <c r="R5" s="2" t="inlineStr">
        <is>
          <t>Blackticka
Rynkskinn
Garnlav
Granticka
Gränsticka
Harticka
Lunglav
Rosenticka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27826-2021</t>
        </is>
      </c>
      <c r="B6" s="1" t="n">
        <v>44354.5665162037</v>
      </c>
      <c r="C6" s="1" t="n">
        <v>46181</v>
      </c>
      <c r="D6" t="inlineStr">
        <is>
          <t>VÄSTERBOTTENS LÄN</t>
        </is>
      </c>
      <c r="E6" t="inlineStr">
        <is>
          <t>ÅSELE</t>
        </is>
      </c>
      <c r="F6" t="inlineStr">
        <is>
          <t>Sveaskog</t>
        </is>
      </c>
      <c r="G6" t="n">
        <v>30.2</v>
      </c>
      <c r="H6" t="n">
        <v>3</v>
      </c>
      <c r="I6" t="n">
        <v>7</v>
      </c>
      <c r="J6" t="n">
        <v>7</v>
      </c>
      <c r="K6" t="n">
        <v>3</v>
      </c>
      <c r="L6" t="n">
        <v>0</v>
      </c>
      <c r="M6" t="n">
        <v>0</v>
      </c>
      <c r="N6" t="n">
        <v>0</v>
      </c>
      <c r="O6" t="n">
        <v>10</v>
      </c>
      <c r="P6" t="n">
        <v>3</v>
      </c>
      <c r="Q6" t="n">
        <v>18</v>
      </c>
      <c r="R6" s="2" t="inlineStr">
        <is>
          <t>Doftticka
Ostticka
Rynkskinn
Granticka
Gränsticka
Harticka
Lunglav
Rosenticka
Skrovellav
Ullticka
Bårdlav
Luddlav
Skinnlav
Spindelblomster
Stuplav
Trådticka
Ögonpyrola
Fläcknycklar</t>
        </is>
      </c>
      <c r="S6">
        <f>HYPERLINK("https://klasma.github.io/Logging_2463/artfynd/A 27826-2021 artfynd.xlsx", "A 27826-2021")</f>
        <v/>
      </c>
      <c r="T6">
        <f>HYPERLINK("https://klasma.github.io/Logging_2463/kartor/A 27826-2021 karta.png", "A 27826-2021")</f>
        <v/>
      </c>
      <c r="V6">
        <f>HYPERLINK("https://klasma.github.io/Logging_2463/klagomål/A 27826-2021 FSC-klagomål.docx", "A 27826-2021")</f>
        <v/>
      </c>
      <c r="W6">
        <f>HYPERLINK("https://klasma.github.io/Logging_2463/klagomålsmail/A 27826-2021 FSC-klagomål mail.docx", "A 27826-2021")</f>
        <v/>
      </c>
      <c r="X6">
        <f>HYPERLINK("https://klasma.github.io/Logging_2463/tillsyn/A 27826-2021 tillsynsbegäran.docx", "A 27826-2021")</f>
        <v/>
      </c>
      <c r="Y6">
        <f>HYPERLINK("https://klasma.github.io/Logging_2463/tillsynsmail/A 27826-2021 tillsynsbegäran mail.docx", "A 27826-2021")</f>
        <v/>
      </c>
    </row>
    <row r="7" ht="15" customHeight="1">
      <c r="A7" t="inlineStr">
        <is>
          <t>A 33041-2024</t>
        </is>
      </c>
      <c r="B7" s="1" t="n">
        <v>45517.61098379629</v>
      </c>
      <c r="C7" s="1" t="n">
        <v>46181</v>
      </c>
      <c r="D7" t="inlineStr">
        <is>
          <t>VÄSTERBOTTENS LÄN</t>
        </is>
      </c>
      <c r="E7" t="inlineStr">
        <is>
          <t>ÅSELE</t>
        </is>
      </c>
      <c r="F7" t="inlineStr">
        <is>
          <t>Sveaskog</t>
        </is>
      </c>
      <c r="G7" t="n">
        <v>37.9</v>
      </c>
      <c r="H7" t="n">
        <v>1</v>
      </c>
      <c r="I7" t="n">
        <v>2</v>
      </c>
      <c r="J7" t="n">
        <v>13</v>
      </c>
      <c r="K7" t="n">
        <v>2</v>
      </c>
      <c r="L7" t="n">
        <v>0</v>
      </c>
      <c r="M7" t="n">
        <v>0</v>
      </c>
      <c r="N7" t="n">
        <v>0</v>
      </c>
      <c r="O7" t="n">
        <v>15</v>
      </c>
      <c r="P7" t="n">
        <v>2</v>
      </c>
      <c r="Q7" t="n">
        <v>17</v>
      </c>
      <c r="R7" s="2" t="inlineStr">
        <is>
          <t>Smultronkantarell
Tajgataggsvamp
Blanksvart spiklav
Blågrå svartspik
Garnlav
Kolflarnlav
Lunglav
Motaggsvamp
Mörk kolflarnlav
Skrovlig taggsvamp
Talltaggsvamp
Utter
Vaddporing
Vedflamlav
Vedskivlav
Dropptaggsvamp
Skarp dropptaggsvamp</t>
        </is>
      </c>
      <c r="S7">
        <f>HYPERLINK("https://klasma.github.io/Logging_2463/artfynd/A 33041-2024 artfynd.xlsx", "A 33041-2024")</f>
        <v/>
      </c>
      <c r="T7">
        <f>HYPERLINK("https://klasma.github.io/Logging_2463/kartor/A 33041-2024 karta.png", "A 33041-2024")</f>
        <v/>
      </c>
      <c r="V7">
        <f>HYPERLINK("https://klasma.github.io/Logging_2463/klagomål/A 33041-2024 FSC-klagomål.docx", "A 33041-2024")</f>
        <v/>
      </c>
      <c r="W7">
        <f>HYPERLINK("https://klasma.github.io/Logging_2463/klagomålsmail/A 33041-2024 FSC-klagomål mail.docx", "A 33041-2024")</f>
        <v/>
      </c>
      <c r="X7">
        <f>HYPERLINK("https://klasma.github.io/Logging_2463/tillsyn/A 33041-2024 tillsynsbegäran.docx", "A 33041-2024")</f>
        <v/>
      </c>
      <c r="Y7">
        <f>HYPERLINK("https://klasma.github.io/Logging_2463/tillsynsmail/A 33041-2024 tillsynsbegäran mail.docx", "A 33041-2024")</f>
        <v/>
      </c>
    </row>
    <row r="8" ht="15" customHeight="1">
      <c r="A8" t="inlineStr">
        <is>
          <t>A 2749-2026</t>
        </is>
      </c>
      <c r="B8" s="1" t="n">
        <v>46038.31931712963</v>
      </c>
      <c r="C8" s="1" t="n">
        <v>46181</v>
      </c>
      <c r="D8" t="inlineStr">
        <is>
          <t>VÄSTERBOTTENS LÄN</t>
        </is>
      </c>
      <c r="E8" t="inlineStr">
        <is>
          <t>ÅSELE</t>
        </is>
      </c>
      <c r="F8" t="inlineStr">
        <is>
          <t>Sveaskog</t>
        </is>
      </c>
      <c r="G8" t="n">
        <v>5</v>
      </c>
      <c r="H8" t="n">
        <v>4</v>
      </c>
      <c r="I8" t="n">
        <v>4</v>
      </c>
      <c r="J8" t="n">
        <v>11</v>
      </c>
      <c r="K8" t="n">
        <v>1</v>
      </c>
      <c r="L8" t="n">
        <v>0</v>
      </c>
      <c r="M8" t="n">
        <v>0</v>
      </c>
      <c r="N8" t="n">
        <v>0</v>
      </c>
      <c r="O8" t="n">
        <v>12</v>
      </c>
      <c r="P8" t="n">
        <v>1</v>
      </c>
      <c r="Q8" t="n">
        <v>16</v>
      </c>
      <c r="R8" s="2" t="inlineStr">
        <is>
          <t>Knärot
Garnlav
Granticka
Gränsticka
Harticka
Järpe
Lunglav
Rosenticka
Skrovellav
Tretåig hackspett
Ullticka
Vitgrynig nållav
Skinnlav
Spindelblomster
Trådticka
Vedticka</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45965.32998842592</v>
      </c>
      <c r="C9" s="1" t="n">
        <v>46181</v>
      </c>
      <c r="D9" t="inlineStr">
        <is>
          <t>VÄSTERBOTTENS LÄN</t>
        </is>
      </c>
      <c r="E9" t="inlineStr">
        <is>
          <t>ÅSELE</t>
        </is>
      </c>
      <c r="F9" t="inlineStr">
        <is>
          <t>Holmen skog AB</t>
        </is>
      </c>
      <c r="G9" t="n">
        <v>10.4</v>
      </c>
      <c r="H9" t="n">
        <v>4</v>
      </c>
      <c r="I9" t="n">
        <v>5</v>
      </c>
      <c r="J9" t="n">
        <v>8</v>
      </c>
      <c r="K9" t="n">
        <v>0</v>
      </c>
      <c r="L9" t="n">
        <v>0</v>
      </c>
      <c r="M9" t="n">
        <v>0</v>
      </c>
      <c r="N9" t="n">
        <v>0</v>
      </c>
      <c r="O9" t="n">
        <v>8</v>
      </c>
      <c r="P9" t="n">
        <v>0</v>
      </c>
      <c r="Q9" t="n">
        <v>14</v>
      </c>
      <c r="R9" s="2" t="inlineStr">
        <is>
          <t>Brunpudrad nållav
Garnlav
Granticka
Harticka
Lunglav
Spillkråka
Tretåig hackspett
Vitgrynig nållav
Mörk husmossa
Skinnlav
Spindelblomster
Stuplav
Vedticka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46181</v>
      </c>
      <c r="D10" t="inlineStr">
        <is>
          <t>VÄSTERBOTTENS LÄN</t>
        </is>
      </c>
      <c r="E10" t="inlineStr">
        <is>
          <t>ÅSELE</t>
        </is>
      </c>
      <c r="F10" t="inlineStr">
        <is>
          <t>SCA</t>
        </is>
      </c>
      <c r="G10" t="n">
        <v>7.9</v>
      </c>
      <c r="H10" t="n">
        <v>0</v>
      </c>
      <c r="I10" t="n">
        <v>3</v>
      </c>
      <c r="J10" t="n">
        <v>8</v>
      </c>
      <c r="K10" t="n">
        <v>0</v>
      </c>
      <c r="L10" t="n">
        <v>0</v>
      </c>
      <c r="M10" t="n">
        <v>0</v>
      </c>
      <c r="N10" t="n">
        <v>0</v>
      </c>
      <c r="O10" t="n">
        <v>8</v>
      </c>
      <c r="P10" t="n">
        <v>0</v>
      </c>
      <c r="Q10" t="n">
        <v>11</v>
      </c>
      <c r="R10" s="2" t="inlineStr">
        <is>
          <t>Gammelgransskål
Garnlav
Granticka
Harticka
Lunglav
Ullticka
Vitgrynig nållav
Vitplätt
Björksplintborre
Vedticka
Vågbandad barkbock</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48369-2023</t>
        </is>
      </c>
      <c r="B11" s="1" t="n">
        <v>45201</v>
      </c>
      <c r="C11" s="1" t="n">
        <v>46181</v>
      </c>
      <c r="D11" t="inlineStr">
        <is>
          <t>VÄSTERBOTTENS LÄN</t>
        </is>
      </c>
      <c r="E11" t="inlineStr">
        <is>
          <t>ÅSELE</t>
        </is>
      </c>
      <c r="G11" t="n">
        <v>2.4</v>
      </c>
      <c r="H11" t="n">
        <v>4</v>
      </c>
      <c r="I11" t="n">
        <v>2</v>
      </c>
      <c r="J11" t="n">
        <v>8</v>
      </c>
      <c r="K11" t="n">
        <v>0</v>
      </c>
      <c r="L11" t="n">
        <v>0</v>
      </c>
      <c r="M11" t="n">
        <v>0</v>
      </c>
      <c r="N11" t="n">
        <v>0</v>
      </c>
      <c r="O11" t="n">
        <v>8</v>
      </c>
      <c r="P11" t="n">
        <v>0</v>
      </c>
      <c r="Q11" t="n">
        <v>11</v>
      </c>
      <c r="R11" s="2" t="inlineStr">
        <is>
          <t>Doftskinn
Gammelgransskål
Garnlav
Granticka
Spillkråka
Talltita
Tretåig hackspett
Äggvaxskivling
Stuplav
Vedticka
Kungsfågel</t>
        </is>
      </c>
      <c r="S11">
        <f>HYPERLINK("https://klasma.github.io/Logging_2463/artfynd/A 48369-2023 artfynd.xlsx", "A 48369-2023")</f>
        <v/>
      </c>
      <c r="T11">
        <f>HYPERLINK("https://klasma.github.io/Logging_2463/kartor/A 48369-2023 karta.png", "A 48369-2023")</f>
        <v/>
      </c>
      <c r="V11">
        <f>HYPERLINK("https://klasma.github.io/Logging_2463/klagomål/A 48369-2023 FSC-klagomål.docx", "A 48369-2023")</f>
        <v/>
      </c>
      <c r="W11">
        <f>HYPERLINK("https://klasma.github.io/Logging_2463/klagomålsmail/A 48369-2023 FSC-klagomål mail.docx", "A 48369-2023")</f>
        <v/>
      </c>
      <c r="X11">
        <f>HYPERLINK("https://klasma.github.io/Logging_2463/tillsyn/A 48369-2023 tillsynsbegäran.docx", "A 48369-2023")</f>
        <v/>
      </c>
      <c r="Y11">
        <f>HYPERLINK("https://klasma.github.io/Logging_2463/tillsynsmail/A 48369-2023 tillsynsbegäran mail.docx", "A 48369-2023")</f>
        <v/>
      </c>
      <c r="Z11">
        <f>HYPERLINK("https://klasma.github.io/Logging_2463/fåglar/A 48369-2023 prioriterade fågelarter.docx", "A 48369-2023")</f>
        <v/>
      </c>
    </row>
    <row r="12" ht="15" customHeight="1">
      <c r="A12" t="inlineStr">
        <is>
          <t>A 5701-2023</t>
        </is>
      </c>
      <c r="B12" s="1" t="n">
        <v>44960</v>
      </c>
      <c r="C12" s="1" t="n">
        <v>46181</v>
      </c>
      <c r="D12" t="inlineStr">
        <is>
          <t>VÄSTERBOTTENS LÄN</t>
        </is>
      </c>
      <c r="E12" t="inlineStr">
        <is>
          <t>ÅSELE</t>
        </is>
      </c>
      <c r="F12" t="inlineStr">
        <is>
          <t>SCA</t>
        </is>
      </c>
      <c r="G12" t="n">
        <v>7.1</v>
      </c>
      <c r="H12" t="n">
        <v>1</v>
      </c>
      <c r="I12" t="n">
        <v>1</v>
      </c>
      <c r="J12" t="n">
        <v>8</v>
      </c>
      <c r="K12" t="n">
        <v>1</v>
      </c>
      <c r="L12" t="n">
        <v>0</v>
      </c>
      <c r="M12" t="n">
        <v>0</v>
      </c>
      <c r="N12" t="n">
        <v>0</v>
      </c>
      <c r="O12" t="n">
        <v>9</v>
      </c>
      <c r="P12" t="n">
        <v>1</v>
      </c>
      <c r="Q12" t="n">
        <v>10</v>
      </c>
      <c r="R12" s="2" t="inlineStr">
        <is>
          <t>Rynkskinn
Gammelgransskål
Garnlav
Reliktbock
Rosenticka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26792-2025</t>
        </is>
      </c>
      <c r="B13" s="1" t="n">
        <v>45810</v>
      </c>
      <c r="C13" s="1" t="n">
        <v>46181</v>
      </c>
      <c r="D13" t="inlineStr">
        <is>
          <t>VÄSTERBOTTENS LÄN</t>
        </is>
      </c>
      <c r="E13" t="inlineStr">
        <is>
          <t>ÅSELE</t>
        </is>
      </c>
      <c r="F13" t="inlineStr">
        <is>
          <t>SCA</t>
        </is>
      </c>
      <c r="G13" t="n">
        <v>0.8</v>
      </c>
      <c r="H13" t="n">
        <v>3</v>
      </c>
      <c r="I13" t="n">
        <v>2</v>
      </c>
      <c r="J13" t="n">
        <v>5</v>
      </c>
      <c r="K13" t="n">
        <v>0</v>
      </c>
      <c r="L13" t="n">
        <v>0</v>
      </c>
      <c r="M13" t="n">
        <v>0</v>
      </c>
      <c r="N13" t="n">
        <v>0</v>
      </c>
      <c r="O13" t="n">
        <v>5</v>
      </c>
      <c r="P13" t="n">
        <v>0</v>
      </c>
      <c r="Q13" t="n">
        <v>8</v>
      </c>
      <c r="R13" s="2" t="inlineStr">
        <is>
          <t>Gammelgransskål
Garnlav
Liten svartspik
Tretåig hackspett
Vitgrynig nållav
Luddlav
Spindelblomster
Fläcknycklar</t>
        </is>
      </c>
      <c r="S13">
        <f>HYPERLINK("https://klasma.github.io/Logging_2463/artfynd/A 26792-2025 artfynd.xlsx", "A 26792-2025")</f>
        <v/>
      </c>
      <c r="T13">
        <f>HYPERLINK("https://klasma.github.io/Logging_2463/kartor/A 26792-2025 karta.png", "A 26792-2025")</f>
        <v/>
      </c>
      <c r="V13">
        <f>HYPERLINK("https://klasma.github.io/Logging_2463/klagomål/A 26792-2025 FSC-klagomål.docx", "A 26792-2025")</f>
        <v/>
      </c>
      <c r="W13">
        <f>HYPERLINK("https://klasma.github.io/Logging_2463/klagomålsmail/A 26792-2025 FSC-klagomål mail.docx", "A 26792-2025")</f>
        <v/>
      </c>
      <c r="X13">
        <f>HYPERLINK("https://klasma.github.io/Logging_2463/tillsyn/A 26792-2025 tillsynsbegäran.docx", "A 26792-2025")</f>
        <v/>
      </c>
      <c r="Y13">
        <f>HYPERLINK("https://klasma.github.io/Logging_2463/tillsynsmail/A 26792-2025 tillsynsbegäran mail.docx", "A 26792-2025")</f>
        <v/>
      </c>
      <c r="Z13">
        <f>HYPERLINK("https://klasma.github.io/Logging_2463/fåglar/A 26792-2025 prioriterade fågelarter.docx", "A 26792-2025")</f>
        <v/>
      </c>
    </row>
    <row r="14" ht="15" customHeight="1">
      <c r="A14" t="inlineStr">
        <is>
          <t>A 26900-2025</t>
        </is>
      </c>
      <c r="B14" s="1" t="n">
        <v>45811.34444444445</v>
      </c>
      <c r="C14" s="1" t="n">
        <v>46181</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46181</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46181</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46181</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26791-2025</t>
        </is>
      </c>
      <c r="B18" s="1" t="n">
        <v>45810</v>
      </c>
      <c r="C18" s="1" t="n">
        <v>46181</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46181</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49502-2025</t>
        </is>
      </c>
      <c r="B20" s="1" t="n">
        <v>45939.36972222223</v>
      </c>
      <c r="C20" s="1" t="n">
        <v>46181</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42046-2023</t>
        </is>
      </c>
      <c r="B21" s="1" t="n">
        <v>45177</v>
      </c>
      <c r="C21" s="1" t="n">
        <v>46181</v>
      </c>
      <c r="D21" t="inlineStr">
        <is>
          <t>VÄSTERBOTTENS LÄN</t>
        </is>
      </c>
      <c r="E21" t="inlineStr">
        <is>
          <t>ÅSELE</t>
        </is>
      </c>
      <c r="F21" t="inlineStr">
        <is>
          <t>Holmen skog AB</t>
        </is>
      </c>
      <c r="G21" t="n">
        <v>3.6</v>
      </c>
      <c r="H21" t="n">
        <v>0</v>
      </c>
      <c r="I21" t="n">
        <v>1</v>
      </c>
      <c r="J21" t="n">
        <v>4</v>
      </c>
      <c r="K21" t="n">
        <v>0</v>
      </c>
      <c r="L21" t="n">
        <v>0</v>
      </c>
      <c r="M21" t="n">
        <v>0</v>
      </c>
      <c r="N21" t="n">
        <v>0</v>
      </c>
      <c r="O21" t="n">
        <v>4</v>
      </c>
      <c r="P21" t="n">
        <v>0</v>
      </c>
      <c r="Q21" t="n">
        <v>5</v>
      </c>
      <c r="R21" s="2" t="inlineStr">
        <is>
          <t>Granticka
Kortskaftad ärgspik
Lunglav
Skrovellav
Luddlav</t>
        </is>
      </c>
      <c r="S21">
        <f>HYPERLINK("https://klasma.github.io/Logging_2463/artfynd/A 42046-2023 artfynd.xlsx", "A 42046-2023")</f>
        <v/>
      </c>
      <c r="T21">
        <f>HYPERLINK("https://klasma.github.io/Logging_2463/kartor/A 42046-2023 karta.png", "A 42046-2023")</f>
        <v/>
      </c>
      <c r="V21">
        <f>HYPERLINK("https://klasma.github.io/Logging_2463/klagomål/A 42046-2023 FSC-klagomål.docx", "A 42046-2023")</f>
        <v/>
      </c>
      <c r="W21">
        <f>HYPERLINK("https://klasma.github.io/Logging_2463/klagomålsmail/A 42046-2023 FSC-klagomål mail.docx", "A 42046-2023")</f>
        <v/>
      </c>
      <c r="X21">
        <f>HYPERLINK("https://klasma.github.io/Logging_2463/tillsyn/A 42046-2023 tillsynsbegäran.docx", "A 42046-2023")</f>
        <v/>
      </c>
      <c r="Y21">
        <f>HYPERLINK("https://klasma.github.io/Logging_2463/tillsynsmail/A 42046-2023 tillsynsbegäran mail.docx", "A 42046-2023")</f>
        <v/>
      </c>
    </row>
    <row r="22" ht="15" customHeight="1">
      <c r="A22" t="inlineStr">
        <is>
          <t>A 8655-2024</t>
        </is>
      </c>
      <c r="B22" s="1" t="n">
        <v>45356</v>
      </c>
      <c r="C22" s="1" t="n">
        <v>46181</v>
      </c>
      <c r="D22" t="inlineStr">
        <is>
          <t>VÄSTERBOTTENS LÄN</t>
        </is>
      </c>
      <c r="E22" t="inlineStr">
        <is>
          <t>ÅSELE</t>
        </is>
      </c>
      <c r="F22" t="inlineStr">
        <is>
          <t>SCA</t>
        </is>
      </c>
      <c r="G22" t="n">
        <v>12.3</v>
      </c>
      <c r="H22" t="n">
        <v>0</v>
      </c>
      <c r="I22" t="n">
        <v>2</v>
      </c>
      <c r="J22" t="n">
        <v>3</v>
      </c>
      <c r="K22" t="n">
        <v>0</v>
      </c>
      <c r="L22" t="n">
        <v>0</v>
      </c>
      <c r="M22" t="n">
        <v>0</v>
      </c>
      <c r="N22" t="n">
        <v>0</v>
      </c>
      <c r="O22" t="n">
        <v>3</v>
      </c>
      <c r="P22" t="n">
        <v>0</v>
      </c>
      <c r="Q22" t="n">
        <v>5</v>
      </c>
      <c r="R22" s="2" t="inlineStr">
        <is>
          <t>Garnlav
Lunglav
Skrovellav
Bårdlav
Stuplav</t>
        </is>
      </c>
      <c r="S22">
        <f>HYPERLINK("https://klasma.github.io/Logging_2463/artfynd/A 8655-2024 artfynd.xlsx", "A 8655-2024")</f>
        <v/>
      </c>
      <c r="T22">
        <f>HYPERLINK("https://klasma.github.io/Logging_2463/kartor/A 8655-2024 karta.png", "A 8655-2024")</f>
        <v/>
      </c>
      <c r="V22">
        <f>HYPERLINK("https://klasma.github.io/Logging_2463/klagomål/A 8655-2024 FSC-klagomål.docx", "A 8655-2024")</f>
        <v/>
      </c>
      <c r="W22">
        <f>HYPERLINK("https://klasma.github.io/Logging_2463/klagomålsmail/A 8655-2024 FSC-klagomål mail.docx", "A 8655-2024")</f>
        <v/>
      </c>
      <c r="X22">
        <f>HYPERLINK("https://klasma.github.io/Logging_2463/tillsyn/A 8655-2024 tillsynsbegäran.docx", "A 8655-2024")</f>
        <v/>
      </c>
      <c r="Y22">
        <f>HYPERLINK("https://klasma.github.io/Logging_2463/tillsynsmail/A 8655-2024 tillsynsbegäran mail.docx", "A 8655-2024")</f>
        <v/>
      </c>
    </row>
    <row r="23" ht="15" customHeight="1">
      <c r="A23" t="inlineStr">
        <is>
          <t>A 22110-2024</t>
        </is>
      </c>
      <c r="B23" s="1" t="n">
        <v>45443</v>
      </c>
      <c r="C23" s="1" t="n">
        <v>46181</v>
      </c>
      <c r="D23" t="inlineStr">
        <is>
          <t>VÄSTERBOTTENS LÄN</t>
        </is>
      </c>
      <c r="E23" t="inlineStr">
        <is>
          <t>ÅSELE</t>
        </is>
      </c>
      <c r="F23" t="inlineStr">
        <is>
          <t>SCA</t>
        </is>
      </c>
      <c r="G23" t="n">
        <v>11.6</v>
      </c>
      <c r="H23" t="n">
        <v>0</v>
      </c>
      <c r="I23" t="n">
        <v>1</v>
      </c>
      <c r="J23" t="n">
        <v>3</v>
      </c>
      <c r="K23" t="n">
        <v>0</v>
      </c>
      <c r="L23" t="n">
        <v>0</v>
      </c>
      <c r="M23" t="n">
        <v>0</v>
      </c>
      <c r="N23" t="n">
        <v>0</v>
      </c>
      <c r="O23" t="n">
        <v>3</v>
      </c>
      <c r="P23" t="n">
        <v>0</v>
      </c>
      <c r="Q23" t="n">
        <v>4</v>
      </c>
      <c r="R23" s="2" t="inlineStr">
        <is>
          <t>Gammelgransskål
Granticka
Lunglav
Trådticka</t>
        </is>
      </c>
      <c r="S23">
        <f>HYPERLINK("https://klasma.github.io/Logging_2463/artfynd/A 22110-2024 artfynd.xlsx", "A 22110-2024")</f>
        <v/>
      </c>
      <c r="T23">
        <f>HYPERLINK("https://klasma.github.io/Logging_2463/kartor/A 22110-2024 karta.png", "A 22110-2024")</f>
        <v/>
      </c>
      <c r="V23">
        <f>HYPERLINK("https://klasma.github.io/Logging_2463/klagomål/A 22110-2024 FSC-klagomål.docx", "A 22110-2024")</f>
        <v/>
      </c>
      <c r="W23">
        <f>HYPERLINK("https://klasma.github.io/Logging_2463/klagomålsmail/A 22110-2024 FSC-klagomål mail.docx", "A 22110-2024")</f>
        <v/>
      </c>
      <c r="X23">
        <f>HYPERLINK("https://klasma.github.io/Logging_2463/tillsyn/A 22110-2024 tillsynsbegäran.docx", "A 22110-2024")</f>
        <v/>
      </c>
      <c r="Y23">
        <f>HYPERLINK("https://klasma.github.io/Logging_2463/tillsynsmail/A 22110-2024 tillsynsbegäran mail.docx", "A 22110-2024")</f>
        <v/>
      </c>
    </row>
    <row r="24" ht="15" customHeight="1">
      <c r="A24" t="inlineStr">
        <is>
          <t>A 5700-2023</t>
        </is>
      </c>
      <c r="B24" s="1" t="n">
        <v>44960</v>
      </c>
      <c r="C24" s="1" t="n">
        <v>46181</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49528-2022</t>
        </is>
      </c>
      <c r="B25" s="1" t="n">
        <v>44861</v>
      </c>
      <c r="C25" s="1" t="n">
        <v>46181</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50419-2024</t>
        </is>
      </c>
      <c r="B26" s="1" t="n">
        <v>45601</v>
      </c>
      <c r="C26" s="1" t="n">
        <v>46181</v>
      </c>
      <c r="D26" t="inlineStr">
        <is>
          <t>VÄSTERBOTTENS LÄN</t>
        </is>
      </c>
      <c r="E26" t="inlineStr">
        <is>
          <t>ÅSELE</t>
        </is>
      </c>
      <c r="F26" t="inlineStr">
        <is>
          <t>SCA</t>
        </is>
      </c>
      <c r="G26" t="n">
        <v>5.1</v>
      </c>
      <c r="H26" t="n">
        <v>0</v>
      </c>
      <c r="I26" t="n">
        <v>0</v>
      </c>
      <c r="J26" t="n">
        <v>3</v>
      </c>
      <c r="K26" t="n">
        <v>1</v>
      </c>
      <c r="L26" t="n">
        <v>0</v>
      </c>
      <c r="M26" t="n">
        <v>0</v>
      </c>
      <c r="N26" t="n">
        <v>0</v>
      </c>
      <c r="O26" t="n">
        <v>4</v>
      </c>
      <c r="P26" t="n">
        <v>1</v>
      </c>
      <c r="Q26" t="n">
        <v>4</v>
      </c>
      <c r="R26" s="2" t="inlineStr">
        <is>
          <t>Sprickporing
Doftskinn
Granticka
Harticka</t>
        </is>
      </c>
      <c r="S26">
        <f>HYPERLINK("https://klasma.github.io/Logging_2463/artfynd/A 50419-2024 artfynd.xlsx", "A 50419-2024")</f>
        <v/>
      </c>
      <c r="T26">
        <f>HYPERLINK("https://klasma.github.io/Logging_2463/kartor/A 50419-2024 karta.png", "A 50419-2024")</f>
        <v/>
      </c>
      <c r="V26">
        <f>HYPERLINK("https://klasma.github.io/Logging_2463/klagomål/A 50419-2024 FSC-klagomål.docx", "A 50419-2024")</f>
        <v/>
      </c>
      <c r="W26">
        <f>HYPERLINK("https://klasma.github.io/Logging_2463/klagomålsmail/A 50419-2024 FSC-klagomål mail.docx", "A 50419-2024")</f>
        <v/>
      </c>
      <c r="X26">
        <f>HYPERLINK("https://klasma.github.io/Logging_2463/tillsyn/A 50419-2024 tillsynsbegäran.docx", "A 50419-2024")</f>
        <v/>
      </c>
      <c r="Y26">
        <f>HYPERLINK("https://klasma.github.io/Logging_2463/tillsynsmail/A 50419-2024 tillsynsbegäran mail.docx", "A 50419-2024")</f>
        <v/>
      </c>
    </row>
    <row r="27" ht="15" customHeight="1">
      <c r="A27" t="inlineStr">
        <is>
          <t>A 26793-2025</t>
        </is>
      </c>
      <c r="B27" s="1" t="n">
        <v>45810</v>
      </c>
      <c r="C27" s="1" t="n">
        <v>46181</v>
      </c>
      <c r="D27" t="inlineStr">
        <is>
          <t>VÄSTERBOTTENS LÄN</t>
        </is>
      </c>
      <c r="E27" t="inlineStr">
        <is>
          <t>ÅSELE</t>
        </is>
      </c>
      <c r="F27" t="inlineStr">
        <is>
          <t>SCA</t>
        </is>
      </c>
      <c r="G27" t="n">
        <v>5</v>
      </c>
      <c r="H27" t="n">
        <v>0</v>
      </c>
      <c r="I27" t="n">
        <v>0</v>
      </c>
      <c r="J27" t="n">
        <v>4</v>
      </c>
      <c r="K27" t="n">
        <v>0</v>
      </c>
      <c r="L27" t="n">
        <v>0</v>
      </c>
      <c r="M27" t="n">
        <v>0</v>
      </c>
      <c r="N27" t="n">
        <v>0</v>
      </c>
      <c r="O27" t="n">
        <v>4</v>
      </c>
      <c r="P27" t="n">
        <v>0</v>
      </c>
      <c r="Q27" t="n">
        <v>4</v>
      </c>
      <c r="R27" s="2" t="inlineStr">
        <is>
          <t>Dvärgbägarlav
Garnlav
Mörk kolflarnlav
Vedskivlav</t>
        </is>
      </c>
      <c r="S27">
        <f>HYPERLINK("https://klasma.github.io/Logging_2463/artfynd/A 26793-2025 artfynd.xlsx", "A 26793-2025")</f>
        <v/>
      </c>
      <c r="T27">
        <f>HYPERLINK("https://klasma.github.io/Logging_2463/kartor/A 26793-2025 karta.png", "A 26793-2025")</f>
        <v/>
      </c>
      <c r="V27">
        <f>HYPERLINK("https://klasma.github.io/Logging_2463/klagomål/A 26793-2025 FSC-klagomål.docx", "A 26793-2025")</f>
        <v/>
      </c>
      <c r="W27">
        <f>HYPERLINK("https://klasma.github.io/Logging_2463/klagomålsmail/A 26793-2025 FSC-klagomål mail.docx", "A 26793-2025")</f>
        <v/>
      </c>
      <c r="X27">
        <f>HYPERLINK("https://klasma.github.io/Logging_2463/tillsyn/A 26793-2025 tillsynsbegäran.docx", "A 26793-2025")</f>
        <v/>
      </c>
      <c r="Y27">
        <f>HYPERLINK("https://klasma.github.io/Logging_2463/tillsynsmail/A 26793-2025 tillsynsbegäran mail.docx", "A 26793-2025")</f>
        <v/>
      </c>
    </row>
    <row r="28" ht="15" customHeight="1">
      <c r="A28" t="inlineStr">
        <is>
          <t>A 29995-2025</t>
        </is>
      </c>
      <c r="B28" s="1" t="n">
        <v>45826</v>
      </c>
      <c r="C28" s="1" t="n">
        <v>46181</v>
      </c>
      <c r="D28" t="inlineStr">
        <is>
          <t>VÄSTERBOTTENS LÄN</t>
        </is>
      </c>
      <c r="E28" t="inlineStr">
        <is>
          <t>ÅSELE</t>
        </is>
      </c>
      <c r="F28" t="inlineStr">
        <is>
          <t>Sveaskog</t>
        </is>
      </c>
      <c r="G28" t="n">
        <v>9.800000000000001</v>
      </c>
      <c r="H28" t="n">
        <v>0</v>
      </c>
      <c r="I28" t="n">
        <v>2</v>
      </c>
      <c r="J28" t="n">
        <v>2</v>
      </c>
      <c r="K28" t="n">
        <v>0</v>
      </c>
      <c r="L28" t="n">
        <v>0</v>
      </c>
      <c r="M28" t="n">
        <v>0</v>
      </c>
      <c r="N28" t="n">
        <v>0</v>
      </c>
      <c r="O28" t="n">
        <v>2</v>
      </c>
      <c r="P28" t="n">
        <v>0</v>
      </c>
      <c r="Q28" t="n">
        <v>4</v>
      </c>
      <c r="R28" s="2" t="inlineStr">
        <is>
          <t>Lunglav
Skrovellav
Bårdlav
Luddlav</t>
        </is>
      </c>
      <c r="S28">
        <f>HYPERLINK("https://klasma.github.io/Logging_2463/artfynd/A 29995-2025 artfynd.xlsx", "A 29995-2025")</f>
        <v/>
      </c>
      <c r="T28">
        <f>HYPERLINK("https://klasma.github.io/Logging_2463/kartor/A 29995-2025 karta.png", "A 29995-2025")</f>
        <v/>
      </c>
      <c r="V28">
        <f>HYPERLINK("https://klasma.github.io/Logging_2463/klagomål/A 29995-2025 FSC-klagomål.docx", "A 29995-2025")</f>
        <v/>
      </c>
      <c r="W28">
        <f>HYPERLINK("https://klasma.github.io/Logging_2463/klagomålsmail/A 29995-2025 FSC-klagomål mail.docx", "A 29995-2025")</f>
        <v/>
      </c>
      <c r="X28">
        <f>HYPERLINK("https://klasma.github.io/Logging_2463/tillsyn/A 29995-2025 tillsynsbegäran.docx", "A 29995-2025")</f>
        <v/>
      </c>
      <c r="Y28">
        <f>HYPERLINK("https://klasma.github.io/Logging_2463/tillsynsmail/A 29995-2025 tillsynsbegäran mail.docx", "A 29995-2025")</f>
        <v/>
      </c>
    </row>
    <row r="29" ht="15" customHeight="1">
      <c r="A29" t="inlineStr">
        <is>
          <t>A 43956-2025</t>
        </is>
      </c>
      <c r="B29" s="1" t="n">
        <v>45915</v>
      </c>
      <c r="C29" s="1" t="n">
        <v>46181</v>
      </c>
      <c r="D29" t="inlineStr">
        <is>
          <t>VÄSTERBOTTENS LÄN</t>
        </is>
      </c>
      <c r="E29" t="inlineStr">
        <is>
          <t>ÅSELE</t>
        </is>
      </c>
      <c r="F29" t="inlineStr">
        <is>
          <t>Kyrkan</t>
        </is>
      </c>
      <c r="G29" t="n">
        <v>9.199999999999999</v>
      </c>
      <c r="H29" t="n">
        <v>1</v>
      </c>
      <c r="I29" t="n">
        <v>2</v>
      </c>
      <c r="J29" t="n">
        <v>2</v>
      </c>
      <c r="K29" t="n">
        <v>0</v>
      </c>
      <c r="L29" t="n">
        <v>0</v>
      </c>
      <c r="M29" t="n">
        <v>0</v>
      </c>
      <c r="N29" t="n">
        <v>0</v>
      </c>
      <c r="O29" t="n">
        <v>2</v>
      </c>
      <c r="P29" t="n">
        <v>0</v>
      </c>
      <c r="Q29" t="n">
        <v>4</v>
      </c>
      <c r="R29" s="2" t="inlineStr">
        <is>
          <t>Garnlav
Kolflarnlav
Plattlummer
Stuplav</t>
        </is>
      </c>
      <c r="S29">
        <f>HYPERLINK("https://klasma.github.io/Logging_2463/artfynd/A 43956-2025 artfynd.xlsx", "A 43956-2025")</f>
        <v/>
      </c>
      <c r="T29">
        <f>HYPERLINK("https://klasma.github.io/Logging_2463/kartor/A 43956-2025 karta.png", "A 43956-2025")</f>
        <v/>
      </c>
      <c r="V29">
        <f>HYPERLINK("https://klasma.github.io/Logging_2463/klagomål/A 43956-2025 FSC-klagomål.docx", "A 43956-2025")</f>
        <v/>
      </c>
      <c r="W29">
        <f>HYPERLINK("https://klasma.github.io/Logging_2463/klagomålsmail/A 43956-2025 FSC-klagomål mail.docx", "A 43956-2025")</f>
        <v/>
      </c>
      <c r="X29">
        <f>HYPERLINK("https://klasma.github.io/Logging_2463/tillsyn/A 43956-2025 tillsynsbegäran.docx", "A 43956-2025")</f>
        <v/>
      </c>
      <c r="Y29">
        <f>HYPERLINK("https://klasma.github.io/Logging_2463/tillsynsmail/A 43956-2025 tillsynsbegäran mail.docx", "A 43956-2025")</f>
        <v/>
      </c>
    </row>
    <row r="30" ht="15" customHeight="1">
      <c r="A30" t="inlineStr">
        <is>
          <t>A 30316-2025</t>
        </is>
      </c>
      <c r="B30" s="1" t="n">
        <v>45827</v>
      </c>
      <c r="C30" s="1" t="n">
        <v>46181</v>
      </c>
      <c r="D30" t="inlineStr">
        <is>
          <t>VÄSTERBOTTENS LÄN</t>
        </is>
      </c>
      <c r="E30" t="inlineStr">
        <is>
          <t>ÅSELE</t>
        </is>
      </c>
      <c r="F30" t="inlineStr">
        <is>
          <t>SCA</t>
        </is>
      </c>
      <c r="G30" t="n">
        <v>2</v>
      </c>
      <c r="H30" t="n">
        <v>0</v>
      </c>
      <c r="I30" t="n">
        <v>2</v>
      </c>
      <c r="J30" t="n">
        <v>2</v>
      </c>
      <c r="K30" t="n">
        <v>0</v>
      </c>
      <c r="L30" t="n">
        <v>0</v>
      </c>
      <c r="M30" t="n">
        <v>0</v>
      </c>
      <c r="N30" t="n">
        <v>0</v>
      </c>
      <c r="O30" t="n">
        <v>2</v>
      </c>
      <c r="P30" t="n">
        <v>0</v>
      </c>
      <c r="Q30" t="n">
        <v>4</v>
      </c>
      <c r="R30" s="2" t="inlineStr">
        <is>
          <t>Garnlav
Ullticka
Vedticka
Vågbandad barkbock</t>
        </is>
      </c>
      <c r="S30">
        <f>HYPERLINK("https://klasma.github.io/Logging_2463/artfynd/A 30316-2025 artfynd.xlsx", "A 30316-2025")</f>
        <v/>
      </c>
      <c r="T30">
        <f>HYPERLINK("https://klasma.github.io/Logging_2463/kartor/A 30316-2025 karta.png", "A 30316-2025")</f>
        <v/>
      </c>
      <c r="V30">
        <f>HYPERLINK("https://klasma.github.io/Logging_2463/klagomål/A 30316-2025 FSC-klagomål.docx", "A 30316-2025")</f>
        <v/>
      </c>
      <c r="W30">
        <f>HYPERLINK("https://klasma.github.io/Logging_2463/klagomålsmail/A 30316-2025 FSC-klagomål mail.docx", "A 30316-2025")</f>
        <v/>
      </c>
      <c r="X30">
        <f>HYPERLINK("https://klasma.github.io/Logging_2463/tillsyn/A 30316-2025 tillsynsbegäran.docx", "A 30316-2025")</f>
        <v/>
      </c>
      <c r="Y30">
        <f>HYPERLINK("https://klasma.github.io/Logging_2463/tillsynsmail/A 30316-2025 tillsynsbegäran mail.docx", "A 30316-2025")</f>
        <v/>
      </c>
    </row>
    <row r="31" ht="15" customHeight="1">
      <c r="A31" t="inlineStr">
        <is>
          <t>A 40209-2021</t>
        </is>
      </c>
      <c r="B31" s="1" t="n">
        <v>44418</v>
      </c>
      <c r="C31" s="1" t="n">
        <v>46181</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26136-2025</t>
        </is>
      </c>
      <c r="B32" s="1" t="n">
        <v>45805.41388888889</v>
      </c>
      <c r="C32" s="1" t="n">
        <v>46181</v>
      </c>
      <c r="D32" t="inlineStr">
        <is>
          <t>VÄSTERBOTTENS LÄN</t>
        </is>
      </c>
      <c r="E32" t="inlineStr">
        <is>
          <t>ÅSELE</t>
        </is>
      </c>
      <c r="F32" t="inlineStr">
        <is>
          <t>Sveaskog</t>
        </is>
      </c>
      <c r="G32" t="n">
        <v>14.1</v>
      </c>
      <c r="H32" t="n">
        <v>0</v>
      </c>
      <c r="I32" t="n">
        <v>1</v>
      </c>
      <c r="J32" t="n">
        <v>2</v>
      </c>
      <c r="K32" t="n">
        <v>0</v>
      </c>
      <c r="L32" t="n">
        <v>0</v>
      </c>
      <c r="M32" t="n">
        <v>0</v>
      </c>
      <c r="N32" t="n">
        <v>0</v>
      </c>
      <c r="O32" t="n">
        <v>2</v>
      </c>
      <c r="P32" t="n">
        <v>0</v>
      </c>
      <c r="Q32" t="n">
        <v>3</v>
      </c>
      <c r="R32" s="2" t="inlineStr">
        <is>
          <t>Lunglav
Skrovellav
Bårdlav</t>
        </is>
      </c>
      <c r="S32">
        <f>HYPERLINK("https://klasma.github.io/Logging_2463/artfynd/A 26136-2025 artfynd.xlsx", "A 26136-2025")</f>
        <v/>
      </c>
      <c r="T32">
        <f>HYPERLINK("https://klasma.github.io/Logging_2463/kartor/A 26136-2025 karta.png", "A 26136-2025")</f>
        <v/>
      </c>
      <c r="V32">
        <f>HYPERLINK("https://klasma.github.io/Logging_2463/klagomål/A 26136-2025 FSC-klagomål.docx", "A 26136-2025")</f>
        <v/>
      </c>
      <c r="W32">
        <f>HYPERLINK("https://klasma.github.io/Logging_2463/klagomålsmail/A 26136-2025 FSC-klagomål mail.docx", "A 26136-2025")</f>
        <v/>
      </c>
      <c r="X32">
        <f>HYPERLINK("https://klasma.github.io/Logging_2463/tillsyn/A 26136-2025 tillsynsbegäran.docx", "A 26136-2025")</f>
        <v/>
      </c>
      <c r="Y32">
        <f>HYPERLINK("https://klasma.github.io/Logging_2463/tillsynsmail/A 26136-2025 tillsynsbegäran mail.docx", "A 26136-2025")</f>
        <v/>
      </c>
    </row>
    <row r="33" ht="15" customHeight="1">
      <c r="A33" t="inlineStr">
        <is>
          <t>A 2761-2026</t>
        </is>
      </c>
      <c r="B33" s="1" t="n">
        <v>46038.34517361111</v>
      </c>
      <c r="C33" s="1" t="n">
        <v>46181</v>
      </c>
      <c r="D33" t="inlineStr">
        <is>
          <t>VÄSTERBOTTENS LÄN</t>
        </is>
      </c>
      <c r="E33" t="inlineStr">
        <is>
          <t>ÅSELE</t>
        </is>
      </c>
      <c r="F33" t="inlineStr">
        <is>
          <t>Sveaskog</t>
        </is>
      </c>
      <c r="G33" t="n">
        <v>3.6</v>
      </c>
      <c r="H33" t="n">
        <v>1</v>
      </c>
      <c r="I33" t="n">
        <v>0</v>
      </c>
      <c r="J33" t="n">
        <v>3</v>
      </c>
      <c r="K33" t="n">
        <v>0</v>
      </c>
      <c r="L33" t="n">
        <v>0</v>
      </c>
      <c r="M33" t="n">
        <v>0</v>
      </c>
      <c r="N33" t="n">
        <v>0</v>
      </c>
      <c r="O33" t="n">
        <v>3</v>
      </c>
      <c r="P33" t="n">
        <v>0</v>
      </c>
      <c r="Q33" t="n">
        <v>3</v>
      </c>
      <c r="R33" s="2" t="inlineStr">
        <is>
          <t>Blanksvart spiklav
Blågrå svartspik
Tretåig hackspett</t>
        </is>
      </c>
      <c r="S33">
        <f>HYPERLINK("https://klasma.github.io/Logging_2463/artfynd/A 2761-2026 artfynd.xlsx", "A 2761-2026")</f>
        <v/>
      </c>
      <c r="T33">
        <f>HYPERLINK("https://klasma.github.io/Logging_2463/kartor/A 2761-2026 karta.png", "A 2761-2026")</f>
        <v/>
      </c>
      <c r="V33">
        <f>HYPERLINK("https://klasma.github.io/Logging_2463/klagomål/A 2761-2026 FSC-klagomål.docx", "A 2761-2026")</f>
        <v/>
      </c>
      <c r="W33">
        <f>HYPERLINK("https://klasma.github.io/Logging_2463/klagomålsmail/A 2761-2026 FSC-klagomål mail.docx", "A 2761-2026")</f>
        <v/>
      </c>
      <c r="X33">
        <f>HYPERLINK("https://klasma.github.io/Logging_2463/tillsyn/A 2761-2026 tillsynsbegäran.docx", "A 2761-2026")</f>
        <v/>
      </c>
      <c r="Y33">
        <f>HYPERLINK("https://klasma.github.io/Logging_2463/tillsynsmail/A 2761-2026 tillsynsbegäran mail.docx", "A 2761-2026")</f>
        <v/>
      </c>
      <c r="Z33">
        <f>HYPERLINK("https://klasma.github.io/Logging_2463/fåglar/A 2761-2026 prioriterade fågelarter.docx", "A 2761-2026")</f>
        <v/>
      </c>
    </row>
    <row r="34" ht="15" customHeight="1">
      <c r="A34" t="inlineStr">
        <is>
          <t>A 53238-2024</t>
        </is>
      </c>
      <c r="B34" s="1" t="n">
        <v>45613</v>
      </c>
      <c r="C34" s="1" t="n">
        <v>46181</v>
      </c>
      <c r="D34" t="inlineStr">
        <is>
          <t>VÄSTERBOTTENS LÄN</t>
        </is>
      </c>
      <c r="E34" t="inlineStr">
        <is>
          <t>ÅSELE</t>
        </is>
      </c>
      <c r="F34" t="inlineStr">
        <is>
          <t>Naturvårdsverket</t>
        </is>
      </c>
      <c r="G34" t="n">
        <v>1.2</v>
      </c>
      <c r="H34" t="n">
        <v>0</v>
      </c>
      <c r="I34" t="n">
        <v>0</v>
      </c>
      <c r="J34" t="n">
        <v>3</v>
      </c>
      <c r="K34" t="n">
        <v>0</v>
      </c>
      <c r="L34" t="n">
        <v>0</v>
      </c>
      <c r="M34" t="n">
        <v>0</v>
      </c>
      <c r="N34" t="n">
        <v>0</v>
      </c>
      <c r="O34" t="n">
        <v>3</v>
      </c>
      <c r="P34" t="n">
        <v>0</v>
      </c>
      <c r="Q34" t="n">
        <v>3</v>
      </c>
      <c r="R34" s="2" t="inlineStr">
        <is>
          <t>Gammelgransskål
Granticka
Vitgrynig nållav</t>
        </is>
      </c>
      <c r="S34">
        <f>HYPERLINK("https://klasma.github.io/Logging_2463/artfynd/A 53238-2024 artfynd.xlsx", "A 53238-2024")</f>
        <v/>
      </c>
      <c r="T34">
        <f>HYPERLINK("https://klasma.github.io/Logging_2463/kartor/A 53238-2024 karta.png", "A 53238-2024")</f>
        <v/>
      </c>
      <c r="V34">
        <f>HYPERLINK("https://klasma.github.io/Logging_2463/klagomål/A 53238-2024 FSC-klagomål.docx", "A 53238-2024")</f>
        <v/>
      </c>
      <c r="W34">
        <f>HYPERLINK("https://klasma.github.io/Logging_2463/klagomålsmail/A 53238-2024 FSC-klagomål mail.docx", "A 53238-2024")</f>
        <v/>
      </c>
      <c r="X34">
        <f>HYPERLINK("https://klasma.github.io/Logging_2463/tillsyn/A 53238-2024 tillsynsbegäran.docx", "A 53238-2024")</f>
        <v/>
      </c>
      <c r="Y34">
        <f>HYPERLINK("https://klasma.github.io/Logging_2463/tillsynsmail/A 53238-2024 tillsynsbegäran mail.docx", "A 53238-2024")</f>
        <v/>
      </c>
    </row>
    <row r="35" ht="15" customHeight="1">
      <c r="A35" t="inlineStr">
        <is>
          <t>A 50278-2025</t>
        </is>
      </c>
      <c r="B35" s="1" t="n">
        <v>45944.3794212963</v>
      </c>
      <c r="C35" s="1" t="n">
        <v>46181</v>
      </c>
      <c r="D35" t="inlineStr">
        <is>
          <t>VÄSTERBOTTENS LÄN</t>
        </is>
      </c>
      <c r="E35" t="inlineStr">
        <is>
          <t>ÅSELE</t>
        </is>
      </c>
      <c r="F35" t="inlineStr">
        <is>
          <t>Sveaskog</t>
        </is>
      </c>
      <c r="G35" t="n">
        <v>18.8</v>
      </c>
      <c r="H35" t="n">
        <v>1</v>
      </c>
      <c r="I35" t="n">
        <v>0</v>
      </c>
      <c r="J35" t="n">
        <v>3</v>
      </c>
      <c r="K35" t="n">
        <v>0</v>
      </c>
      <c r="L35" t="n">
        <v>0</v>
      </c>
      <c r="M35" t="n">
        <v>0</v>
      </c>
      <c r="N35" t="n">
        <v>0</v>
      </c>
      <c r="O35" t="n">
        <v>3</v>
      </c>
      <c r="P35" t="n">
        <v>0</v>
      </c>
      <c r="Q35" t="n">
        <v>3</v>
      </c>
      <c r="R35" s="2" t="inlineStr">
        <is>
          <t>Harticka
Tretåig hackspett
Ullticka</t>
        </is>
      </c>
      <c r="S35">
        <f>HYPERLINK("https://klasma.github.io/Logging_2463/artfynd/A 50278-2025 artfynd.xlsx", "A 50278-2025")</f>
        <v/>
      </c>
      <c r="T35">
        <f>HYPERLINK("https://klasma.github.io/Logging_2463/kartor/A 50278-2025 karta.png", "A 50278-2025")</f>
        <v/>
      </c>
      <c r="V35">
        <f>HYPERLINK("https://klasma.github.io/Logging_2463/klagomål/A 50278-2025 FSC-klagomål.docx", "A 50278-2025")</f>
        <v/>
      </c>
      <c r="W35">
        <f>HYPERLINK("https://klasma.github.io/Logging_2463/klagomålsmail/A 50278-2025 FSC-klagomål mail.docx", "A 50278-2025")</f>
        <v/>
      </c>
      <c r="X35">
        <f>HYPERLINK("https://klasma.github.io/Logging_2463/tillsyn/A 50278-2025 tillsynsbegäran.docx", "A 50278-2025")</f>
        <v/>
      </c>
      <c r="Y35">
        <f>HYPERLINK("https://klasma.github.io/Logging_2463/tillsynsmail/A 50278-2025 tillsynsbegäran mail.docx", "A 50278-2025")</f>
        <v/>
      </c>
      <c r="Z35">
        <f>HYPERLINK("https://klasma.github.io/Logging_2463/fåglar/A 50278-2025 prioriterade fågelarter.docx", "A 50278-2025")</f>
        <v/>
      </c>
    </row>
    <row r="36" ht="15" customHeight="1">
      <c r="A36" t="inlineStr">
        <is>
          <t>A 29616-2023</t>
        </is>
      </c>
      <c r="B36" s="1" t="n">
        <v>45106</v>
      </c>
      <c r="C36" s="1" t="n">
        <v>46181</v>
      </c>
      <c r="D36" t="inlineStr">
        <is>
          <t>VÄSTERBOTTENS LÄN</t>
        </is>
      </c>
      <c r="E36" t="inlineStr">
        <is>
          <t>ÅSELE</t>
        </is>
      </c>
      <c r="F36" t="inlineStr">
        <is>
          <t>SCA</t>
        </is>
      </c>
      <c r="G36" t="n">
        <v>4.3</v>
      </c>
      <c r="H36" t="n">
        <v>0</v>
      </c>
      <c r="I36" t="n">
        <v>0</v>
      </c>
      <c r="J36" t="n">
        <v>3</v>
      </c>
      <c r="K36" t="n">
        <v>0</v>
      </c>
      <c r="L36" t="n">
        <v>0</v>
      </c>
      <c r="M36" t="n">
        <v>0</v>
      </c>
      <c r="N36" t="n">
        <v>0</v>
      </c>
      <c r="O36" t="n">
        <v>3</v>
      </c>
      <c r="P36" t="n">
        <v>0</v>
      </c>
      <c r="Q36" t="n">
        <v>3</v>
      </c>
      <c r="R36" s="2" t="inlineStr">
        <is>
          <t>Garnlav
Lunglav
Skrovellav</t>
        </is>
      </c>
      <c r="S36">
        <f>HYPERLINK("https://klasma.github.io/Logging_2463/artfynd/A 29616-2023 artfynd.xlsx", "A 29616-2023")</f>
        <v/>
      </c>
      <c r="T36">
        <f>HYPERLINK("https://klasma.github.io/Logging_2463/kartor/A 29616-2023 karta.png", "A 29616-2023")</f>
        <v/>
      </c>
      <c r="V36">
        <f>HYPERLINK("https://klasma.github.io/Logging_2463/klagomål/A 29616-2023 FSC-klagomål.docx", "A 29616-2023")</f>
        <v/>
      </c>
      <c r="W36">
        <f>HYPERLINK("https://klasma.github.io/Logging_2463/klagomålsmail/A 29616-2023 FSC-klagomål mail.docx", "A 29616-2023")</f>
        <v/>
      </c>
      <c r="X36">
        <f>HYPERLINK("https://klasma.github.io/Logging_2463/tillsyn/A 29616-2023 tillsynsbegäran.docx", "A 29616-2023")</f>
        <v/>
      </c>
      <c r="Y36">
        <f>HYPERLINK("https://klasma.github.io/Logging_2463/tillsynsmail/A 29616-2023 tillsynsbegäran mail.docx", "A 29616-2023")</f>
        <v/>
      </c>
    </row>
    <row r="37" ht="15" customHeight="1">
      <c r="A37" t="inlineStr">
        <is>
          <t>A 25712-2024</t>
        </is>
      </c>
      <c r="B37" s="1" t="n">
        <v>45463</v>
      </c>
      <c r="C37" s="1" t="n">
        <v>46181</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41694-2023</t>
        </is>
      </c>
      <c r="B38" s="1" t="n">
        <v>45176</v>
      </c>
      <c r="C38" s="1" t="n">
        <v>46181</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41018-2025</t>
        </is>
      </c>
      <c r="B39" s="1" t="n">
        <v>45898.365</v>
      </c>
      <c r="C39" s="1" t="n">
        <v>46181</v>
      </c>
      <c r="D39" t="inlineStr">
        <is>
          <t>VÄSTERBOTTENS LÄN</t>
        </is>
      </c>
      <c r="E39" t="inlineStr">
        <is>
          <t>ÅSELE</t>
        </is>
      </c>
      <c r="F39" t="inlineStr">
        <is>
          <t>SCA</t>
        </is>
      </c>
      <c r="G39" t="n">
        <v>13.4</v>
      </c>
      <c r="H39" t="n">
        <v>0</v>
      </c>
      <c r="I39" t="n">
        <v>0</v>
      </c>
      <c r="J39" t="n">
        <v>2</v>
      </c>
      <c r="K39" t="n">
        <v>0</v>
      </c>
      <c r="L39" t="n">
        <v>0</v>
      </c>
      <c r="M39" t="n">
        <v>0</v>
      </c>
      <c r="N39" t="n">
        <v>0</v>
      </c>
      <c r="O39" t="n">
        <v>2</v>
      </c>
      <c r="P39" t="n">
        <v>0</v>
      </c>
      <c r="Q39" t="n">
        <v>2</v>
      </c>
      <c r="R39" s="2" t="inlineStr">
        <is>
          <t>Granticka
Ullticka</t>
        </is>
      </c>
      <c r="S39">
        <f>HYPERLINK("https://klasma.github.io/Logging_2463/artfynd/A 41018-2025 artfynd.xlsx", "A 41018-2025")</f>
        <v/>
      </c>
      <c r="T39">
        <f>HYPERLINK("https://klasma.github.io/Logging_2463/kartor/A 41018-2025 karta.png", "A 41018-2025")</f>
        <v/>
      </c>
      <c r="V39">
        <f>HYPERLINK("https://klasma.github.io/Logging_2463/klagomål/A 41018-2025 FSC-klagomål.docx", "A 41018-2025")</f>
        <v/>
      </c>
      <c r="W39">
        <f>HYPERLINK("https://klasma.github.io/Logging_2463/klagomålsmail/A 41018-2025 FSC-klagomål mail.docx", "A 41018-2025")</f>
        <v/>
      </c>
      <c r="X39">
        <f>HYPERLINK("https://klasma.github.io/Logging_2463/tillsyn/A 41018-2025 tillsynsbegäran.docx", "A 41018-2025")</f>
        <v/>
      </c>
      <c r="Y39">
        <f>HYPERLINK("https://klasma.github.io/Logging_2463/tillsynsmail/A 41018-2025 tillsynsbegäran mail.docx", "A 41018-2025")</f>
        <v/>
      </c>
    </row>
    <row r="40" ht="15" customHeight="1">
      <c r="A40" t="inlineStr">
        <is>
          <t>A 5003-2026</t>
        </is>
      </c>
      <c r="B40" s="1" t="n">
        <v>46049.42774305555</v>
      </c>
      <c r="C40" s="1" t="n">
        <v>46181</v>
      </c>
      <c r="D40" t="inlineStr">
        <is>
          <t>VÄSTERBOTTENS LÄN</t>
        </is>
      </c>
      <c r="E40" t="inlineStr">
        <is>
          <t>ÅSELE</t>
        </is>
      </c>
      <c r="F40" t="inlineStr">
        <is>
          <t>SCA</t>
        </is>
      </c>
      <c r="G40" t="n">
        <v>1.4</v>
      </c>
      <c r="H40" t="n">
        <v>0</v>
      </c>
      <c r="I40" t="n">
        <v>0</v>
      </c>
      <c r="J40" t="n">
        <v>2</v>
      </c>
      <c r="K40" t="n">
        <v>0</v>
      </c>
      <c r="L40" t="n">
        <v>0</v>
      </c>
      <c r="M40" t="n">
        <v>0</v>
      </c>
      <c r="N40" t="n">
        <v>0</v>
      </c>
      <c r="O40" t="n">
        <v>2</v>
      </c>
      <c r="P40" t="n">
        <v>0</v>
      </c>
      <c r="Q40" t="n">
        <v>2</v>
      </c>
      <c r="R40" s="2" t="inlineStr">
        <is>
          <t>Granticka
Ullticka</t>
        </is>
      </c>
      <c r="S40">
        <f>HYPERLINK("https://klasma.github.io/Logging_2463/artfynd/A 5003-2026 artfynd.xlsx", "A 5003-2026")</f>
        <v/>
      </c>
      <c r="T40">
        <f>HYPERLINK("https://klasma.github.io/Logging_2463/kartor/A 5003-2026 karta.png", "A 5003-2026")</f>
        <v/>
      </c>
      <c r="V40">
        <f>HYPERLINK("https://klasma.github.io/Logging_2463/klagomål/A 5003-2026 FSC-klagomål.docx", "A 5003-2026")</f>
        <v/>
      </c>
      <c r="W40">
        <f>HYPERLINK("https://klasma.github.io/Logging_2463/klagomålsmail/A 5003-2026 FSC-klagomål mail.docx", "A 5003-2026")</f>
        <v/>
      </c>
      <c r="X40">
        <f>HYPERLINK("https://klasma.github.io/Logging_2463/tillsyn/A 5003-2026 tillsynsbegäran.docx", "A 5003-2026")</f>
        <v/>
      </c>
      <c r="Y40">
        <f>HYPERLINK("https://klasma.github.io/Logging_2463/tillsynsmail/A 5003-2026 tillsynsbegäran mail.docx", "A 5003-2026")</f>
        <v/>
      </c>
    </row>
    <row r="41" ht="15" customHeight="1">
      <c r="A41" t="inlineStr">
        <is>
          <t>A 46249-2025</t>
        </is>
      </c>
      <c r="B41" s="1" t="n">
        <v>45925.34439814815</v>
      </c>
      <c r="C41" s="1" t="n">
        <v>46181</v>
      </c>
      <c r="D41" t="inlineStr">
        <is>
          <t>VÄSTERBOTTENS LÄN</t>
        </is>
      </c>
      <c r="E41" t="inlineStr">
        <is>
          <t>ÅSELE</t>
        </is>
      </c>
      <c r="F41" t="inlineStr">
        <is>
          <t>SCA</t>
        </is>
      </c>
      <c r="G41" t="n">
        <v>16.1</v>
      </c>
      <c r="H41" t="n">
        <v>0</v>
      </c>
      <c r="I41" t="n">
        <v>0</v>
      </c>
      <c r="J41" t="n">
        <v>2</v>
      </c>
      <c r="K41" t="n">
        <v>0</v>
      </c>
      <c r="L41" t="n">
        <v>0</v>
      </c>
      <c r="M41" t="n">
        <v>0</v>
      </c>
      <c r="N41" t="n">
        <v>0</v>
      </c>
      <c r="O41" t="n">
        <v>2</v>
      </c>
      <c r="P41" t="n">
        <v>0</v>
      </c>
      <c r="Q41" t="n">
        <v>2</v>
      </c>
      <c r="R41" s="2" t="inlineStr">
        <is>
          <t>Gammelgransskål
Lunglav</t>
        </is>
      </c>
      <c r="S41">
        <f>HYPERLINK("https://klasma.github.io/Logging_2463/artfynd/A 46249-2025 artfynd.xlsx", "A 46249-2025")</f>
        <v/>
      </c>
      <c r="T41">
        <f>HYPERLINK("https://klasma.github.io/Logging_2463/kartor/A 46249-2025 karta.png", "A 46249-2025")</f>
        <v/>
      </c>
      <c r="V41">
        <f>HYPERLINK("https://klasma.github.io/Logging_2463/klagomål/A 46249-2025 FSC-klagomål.docx", "A 46249-2025")</f>
        <v/>
      </c>
      <c r="W41">
        <f>HYPERLINK("https://klasma.github.io/Logging_2463/klagomålsmail/A 46249-2025 FSC-klagomål mail.docx", "A 46249-2025")</f>
        <v/>
      </c>
      <c r="X41">
        <f>HYPERLINK("https://klasma.github.io/Logging_2463/tillsyn/A 46249-2025 tillsynsbegäran.docx", "A 46249-2025")</f>
        <v/>
      </c>
      <c r="Y41">
        <f>HYPERLINK("https://klasma.github.io/Logging_2463/tillsynsmail/A 46249-2025 tillsynsbegäran mail.docx", "A 46249-2025")</f>
        <v/>
      </c>
    </row>
    <row r="42" ht="15" customHeight="1">
      <c r="A42" t="inlineStr">
        <is>
          <t>A 15081-2023</t>
        </is>
      </c>
      <c r="B42" s="1" t="n">
        <v>45016.07569444444</v>
      </c>
      <c r="C42" s="1" t="n">
        <v>46181</v>
      </c>
      <c r="D42" t="inlineStr">
        <is>
          <t>VÄSTERBOTTENS LÄN</t>
        </is>
      </c>
      <c r="E42" t="inlineStr">
        <is>
          <t>ÅSELE</t>
        </is>
      </c>
      <c r="F42" t="inlineStr">
        <is>
          <t>SCA</t>
        </is>
      </c>
      <c r="G42" t="n">
        <v>6.4</v>
      </c>
      <c r="H42" t="n">
        <v>0</v>
      </c>
      <c r="I42" t="n">
        <v>0</v>
      </c>
      <c r="J42" t="n">
        <v>2</v>
      </c>
      <c r="K42" t="n">
        <v>0</v>
      </c>
      <c r="L42" t="n">
        <v>0</v>
      </c>
      <c r="M42" t="n">
        <v>0</v>
      </c>
      <c r="N42" t="n">
        <v>0</v>
      </c>
      <c r="O42" t="n">
        <v>2</v>
      </c>
      <c r="P42" t="n">
        <v>0</v>
      </c>
      <c r="Q42" t="n">
        <v>2</v>
      </c>
      <c r="R42" s="2" t="inlineStr">
        <is>
          <t>Gränsticka
Koralltaggsvamp</t>
        </is>
      </c>
      <c r="S42">
        <f>HYPERLINK("https://klasma.github.io/Logging_2463/artfynd/A 15081-2023 artfynd.xlsx", "A 15081-2023")</f>
        <v/>
      </c>
      <c r="T42">
        <f>HYPERLINK("https://klasma.github.io/Logging_2463/kartor/A 15081-2023 karta.png", "A 15081-2023")</f>
        <v/>
      </c>
      <c r="V42">
        <f>HYPERLINK("https://klasma.github.io/Logging_2463/klagomål/A 15081-2023 FSC-klagomål.docx", "A 15081-2023")</f>
        <v/>
      </c>
      <c r="W42">
        <f>HYPERLINK("https://klasma.github.io/Logging_2463/klagomålsmail/A 15081-2023 FSC-klagomål mail.docx", "A 15081-2023")</f>
        <v/>
      </c>
      <c r="X42">
        <f>HYPERLINK("https://klasma.github.io/Logging_2463/tillsyn/A 15081-2023 tillsynsbegäran.docx", "A 15081-2023")</f>
        <v/>
      </c>
      <c r="Y42">
        <f>HYPERLINK("https://klasma.github.io/Logging_2463/tillsynsmail/A 15081-2023 tillsynsbegäran mail.docx", "A 15081-2023")</f>
        <v/>
      </c>
    </row>
    <row r="43" ht="15" customHeight="1">
      <c r="A43" t="inlineStr">
        <is>
          <t>A 51838-2025</t>
        </is>
      </c>
      <c r="B43" s="1" t="n">
        <v>45952.34454861111</v>
      </c>
      <c r="C43" s="1" t="n">
        <v>46181</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Gammelgransskål
Granticka</t>
        </is>
      </c>
      <c r="S43">
        <f>HYPERLINK("https://klasma.github.io/Logging_2463/artfynd/A 51838-2025 artfynd.xlsx", "A 51838-2025")</f>
        <v/>
      </c>
      <c r="T43">
        <f>HYPERLINK("https://klasma.github.io/Logging_2463/kartor/A 51838-2025 karta.png", "A 51838-2025")</f>
        <v/>
      </c>
      <c r="V43">
        <f>HYPERLINK("https://klasma.github.io/Logging_2463/klagomål/A 51838-2025 FSC-klagomål.docx", "A 51838-2025")</f>
        <v/>
      </c>
      <c r="W43">
        <f>HYPERLINK("https://klasma.github.io/Logging_2463/klagomålsmail/A 51838-2025 FSC-klagomål mail.docx", "A 51838-2025")</f>
        <v/>
      </c>
      <c r="X43">
        <f>HYPERLINK("https://klasma.github.io/Logging_2463/tillsyn/A 51838-2025 tillsynsbegäran.docx", "A 51838-2025")</f>
        <v/>
      </c>
      <c r="Y43">
        <f>HYPERLINK("https://klasma.github.io/Logging_2463/tillsynsmail/A 51838-2025 tillsynsbegäran mail.docx", "A 51838-2025")</f>
        <v/>
      </c>
    </row>
    <row r="44" ht="15" customHeight="1">
      <c r="A44" t="inlineStr">
        <is>
          <t>A 53682-2025</t>
        </is>
      </c>
      <c r="B44" s="1" t="n">
        <v>45960.574375</v>
      </c>
      <c r="C44" s="1" t="n">
        <v>46181</v>
      </c>
      <c r="D44" t="inlineStr">
        <is>
          <t>VÄSTERBOTTENS LÄN</t>
        </is>
      </c>
      <c r="E44" t="inlineStr">
        <is>
          <t>ÅSELE</t>
        </is>
      </c>
      <c r="F44" t="inlineStr">
        <is>
          <t>SCA</t>
        </is>
      </c>
      <c r="G44" t="n">
        <v>10.2</v>
      </c>
      <c r="H44" t="n">
        <v>0</v>
      </c>
      <c r="I44" t="n">
        <v>0</v>
      </c>
      <c r="J44" t="n">
        <v>2</v>
      </c>
      <c r="K44" t="n">
        <v>0</v>
      </c>
      <c r="L44" t="n">
        <v>0</v>
      </c>
      <c r="M44" t="n">
        <v>0</v>
      </c>
      <c r="N44" t="n">
        <v>0</v>
      </c>
      <c r="O44" t="n">
        <v>2</v>
      </c>
      <c r="P44" t="n">
        <v>0</v>
      </c>
      <c r="Q44" t="n">
        <v>2</v>
      </c>
      <c r="R44" s="2" t="inlineStr">
        <is>
          <t>Vedflamlav
Vedskivlav</t>
        </is>
      </c>
      <c r="S44">
        <f>HYPERLINK("https://klasma.github.io/Logging_2463/artfynd/A 53682-2025 artfynd.xlsx", "A 53682-2025")</f>
        <v/>
      </c>
      <c r="T44">
        <f>HYPERLINK("https://klasma.github.io/Logging_2463/kartor/A 53682-2025 karta.png", "A 53682-2025")</f>
        <v/>
      </c>
      <c r="V44">
        <f>HYPERLINK("https://klasma.github.io/Logging_2463/klagomål/A 53682-2025 FSC-klagomål.docx", "A 53682-2025")</f>
        <v/>
      </c>
      <c r="W44">
        <f>HYPERLINK("https://klasma.github.io/Logging_2463/klagomålsmail/A 53682-2025 FSC-klagomål mail.docx", "A 53682-2025")</f>
        <v/>
      </c>
      <c r="X44">
        <f>HYPERLINK("https://klasma.github.io/Logging_2463/tillsyn/A 53682-2025 tillsynsbegäran.docx", "A 53682-2025")</f>
        <v/>
      </c>
      <c r="Y44">
        <f>HYPERLINK("https://klasma.github.io/Logging_2463/tillsynsmail/A 53682-2025 tillsynsbegäran mail.docx", "A 53682-2025")</f>
        <v/>
      </c>
    </row>
    <row r="45" ht="15" customHeight="1">
      <c r="A45" t="inlineStr">
        <is>
          <t>A 10546-2023</t>
        </is>
      </c>
      <c r="B45" s="1" t="n">
        <v>44987</v>
      </c>
      <c r="C45" s="1" t="n">
        <v>46181</v>
      </c>
      <c r="D45" t="inlineStr">
        <is>
          <t>VÄSTERBOTTENS LÄN</t>
        </is>
      </c>
      <c r="E45" t="inlineStr">
        <is>
          <t>ÅSELE</t>
        </is>
      </c>
      <c r="F45" t="inlineStr">
        <is>
          <t>SCA</t>
        </is>
      </c>
      <c r="G45" t="n">
        <v>11.5</v>
      </c>
      <c r="H45" t="n">
        <v>0</v>
      </c>
      <c r="I45" t="n">
        <v>0</v>
      </c>
      <c r="J45" t="n">
        <v>2</v>
      </c>
      <c r="K45" t="n">
        <v>0</v>
      </c>
      <c r="L45" t="n">
        <v>0</v>
      </c>
      <c r="M45" t="n">
        <v>0</v>
      </c>
      <c r="N45" t="n">
        <v>0</v>
      </c>
      <c r="O45" t="n">
        <v>2</v>
      </c>
      <c r="P45" t="n">
        <v>0</v>
      </c>
      <c r="Q45" t="n">
        <v>2</v>
      </c>
      <c r="R45" s="2" t="inlineStr">
        <is>
          <t>Gammelgransskål
Lunglav</t>
        </is>
      </c>
      <c r="S45">
        <f>HYPERLINK("https://klasma.github.io/Logging_2463/artfynd/A 10546-2023 artfynd.xlsx", "A 10546-2023")</f>
        <v/>
      </c>
      <c r="T45">
        <f>HYPERLINK("https://klasma.github.io/Logging_2463/kartor/A 10546-2023 karta.png", "A 10546-2023")</f>
        <v/>
      </c>
      <c r="V45">
        <f>HYPERLINK("https://klasma.github.io/Logging_2463/klagomål/A 10546-2023 FSC-klagomål.docx", "A 10546-2023")</f>
        <v/>
      </c>
      <c r="W45">
        <f>HYPERLINK("https://klasma.github.io/Logging_2463/klagomålsmail/A 10546-2023 FSC-klagomål mail.docx", "A 10546-2023")</f>
        <v/>
      </c>
      <c r="X45">
        <f>HYPERLINK("https://klasma.github.io/Logging_2463/tillsyn/A 10546-2023 tillsynsbegäran.docx", "A 10546-2023")</f>
        <v/>
      </c>
      <c r="Y45">
        <f>HYPERLINK("https://klasma.github.io/Logging_2463/tillsynsmail/A 10546-2023 tillsynsbegäran mail.docx", "A 10546-2023")</f>
        <v/>
      </c>
    </row>
    <row r="46" ht="15" customHeight="1">
      <c r="A46" t="inlineStr">
        <is>
          <t>A 10292-2023</t>
        </is>
      </c>
      <c r="B46" s="1" t="n">
        <v>44986</v>
      </c>
      <c r="C46" s="1" t="n">
        <v>46181</v>
      </c>
      <c r="D46" t="inlineStr">
        <is>
          <t>VÄSTERBOTTENS LÄN</t>
        </is>
      </c>
      <c r="E46" t="inlineStr">
        <is>
          <t>ÅSELE</t>
        </is>
      </c>
      <c r="F46" t="inlineStr">
        <is>
          <t>SCA</t>
        </is>
      </c>
      <c r="G46" t="n">
        <v>22.4</v>
      </c>
      <c r="H46" t="n">
        <v>0</v>
      </c>
      <c r="I46" t="n">
        <v>0</v>
      </c>
      <c r="J46" t="n">
        <v>2</v>
      </c>
      <c r="K46" t="n">
        <v>0</v>
      </c>
      <c r="L46" t="n">
        <v>0</v>
      </c>
      <c r="M46" t="n">
        <v>0</v>
      </c>
      <c r="N46" t="n">
        <v>0</v>
      </c>
      <c r="O46" t="n">
        <v>2</v>
      </c>
      <c r="P46" t="n">
        <v>0</v>
      </c>
      <c r="Q46" t="n">
        <v>2</v>
      </c>
      <c r="R46" s="2" t="inlineStr">
        <is>
          <t>Granticka
Lunglav</t>
        </is>
      </c>
      <c r="S46">
        <f>HYPERLINK("https://klasma.github.io/Logging_2463/artfynd/A 10292-2023 artfynd.xlsx", "A 10292-2023")</f>
        <v/>
      </c>
      <c r="T46">
        <f>HYPERLINK("https://klasma.github.io/Logging_2463/kartor/A 10292-2023 karta.png", "A 10292-2023")</f>
        <v/>
      </c>
      <c r="V46">
        <f>HYPERLINK("https://klasma.github.io/Logging_2463/klagomål/A 10292-2023 FSC-klagomål.docx", "A 10292-2023")</f>
        <v/>
      </c>
      <c r="W46">
        <f>HYPERLINK("https://klasma.github.io/Logging_2463/klagomålsmail/A 10292-2023 FSC-klagomål mail.docx", "A 10292-2023")</f>
        <v/>
      </c>
      <c r="X46">
        <f>HYPERLINK("https://klasma.github.io/Logging_2463/tillsyn/A 10292-2023 tillsynsbegäran.docx", "A 10292-2023")</f>
        <v/>
      </c>
      <c r="Y46">
        <f>HYPERLINK("https://klasma.github.io/Logging_2463/tillsynsmail/A 10292-2023 tillsynsbegäran mail.docx", "A 10292-2023")</f>
        <v/>
      </c>
    </row>
    <row r="47" ht="15" customHeight="1">
      <c r="A47" t="inlineStr">
        <is>
          <t>A 8880-2024</t>
        </is>
      </c>
      <c r="B47" s="1" t="n">
        <v>45357</v>
      </c>
      <c r="C47" s="1" t="n">
        <v>46181</v>
      </c>
      <c r="D47" t="inlineStr">
        <is>
          <t>VÄSTERBOTTENS LÄN</t>
        </is>
      </c>
      <c r="E47" t="inlineStr">
        <is>
          <t>ÅSELE</t>
        </is>
      </c>
      <c r="F47" t="inlineStr">
        <is>
          <t>SCA</t>
        </is>
      </c>
      <c r="G47" t="n">
        <v>10.8</v>
      </c>
      <c r="H47" t="n">
        <v>0</v>
      </c>
      <c r="I47" t="n">
        <v>0</v>
      </c>
      <c r="J47" t="n">
        <v>2</v>
      </c>
      <c r="K47" t="n">
        <v>0</v>
      </c>
      <c r="L47" t="n">
        <v>0</v>
      </c>
      <c r="M47" t="n">
        <v>0</v>
      </c>
      <c r="N47" t="n">
        <v>0</v>
      </c>
      <c r="O47" t="n">
        <v>2</v>
      </c>
      <c r="P47" t="n">
        <v>0</v>
      </c>
      <c r="Q47" t="n">
        <v>2</v>
      </c>
      <c r="R47" s="2" t="inlineStr">
        <is>
          <t>Dvärgbägarlav
Garnlav</t>
        </is>
      </c>
      <c r="S47">
        <f>HYPERLINK("https://klasma.github.io/Logging_2463/artfynd/A 8880-2024 artfynd.xlsx", "A 8880-2024")</f>
        <v/>
      </c>
      <c r="T47">
        <f>HYPERLINK("https://klasma.github.io/Logging_2463/kartor/A 8880-2024 karta.png", "A 8880-2024")</f>
        <v/>
      </c>
      <c r="V47">
        <f>HYPERLINK("https://klasma.github.io/Logging_2463/klagomål/A 8880-2024 FSC-klagomål.docx", "A 8880-2024")</f>
        <v/>
      </c>
      <c r="W47">
        <f>HYPERLINK("https://klasma.github.io/Logging_2463/klagomålsmail/A 8880-2024 FSC-klagomål mail.docx", "A 8880-2024")</f>
        <v/>
      </c>
      <c r="X47">
        <f>HYPERLINK("https://klasma.github.io/Logging_2463/tillsyn/A 8880-2024 tillsynsbegäran.docx", "A 8880-2024")</f>
        <v/>
      </c>
      <c r="Y47">
        <f>HYPERLINK("https://klasma.github.io/Logging_2463/tillsynsmail/A 8880-2024 tillsynsbegäran mail.docx", "A 8880-2024")</f>
        <v/>
      </c>
    </row>
    <row r="48" ht="15" customHeight="1">
      <c r="A48" t="inlineStr">
        <is>
          <t>A 40328-2022</t>
        </is>
      </c>
      <c r="B48" s="1" t="n">
        <v>44823</v>
      </c>
      <c r="C48" s="1" t="n">
        <v>46181</v>
      </c>
      <c r="D48" t="inlineStr">
        <is>
          <t>VÄSTERBOTTENS LÄN</t>
        </is>
      </c>
      <c r="E48" t="inlineStr">
        <is>
          <t>ÅSELE</t>
        </is>
      </c>
      <c r="G48" t="n">
        <v>5</v>
      </c>
      <c r="H48" t="n">
        <v>1</v>
      </c>
      <c r="I48" t="n">
        <v>0</v>
      </c>
      <c r="J48" t="n">
        <v>1</v>
      </c>
      <c r="K48" t="n">
        <v>0</v>
      </c>
      <c r="L48" t="n">
        <v>0</v>
      </c>
      <c r="M48" t="n">
        <v>0</v>
      </c>
      <c r="N48" t="n">
        <v>0</v>
      </c>
      <c r="O48" t="n">
        <v>1</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19705-2022</t>
        </is>
      </c>
      <c r="B49" s="1" t="n">
        <v>44694.53769675926</v>
      </c>
      <c r="C49" s="1" t="n">
        <v>46181</v>
      </c>
      <c r="D49" t="inlineStr">
        <is>
          <t>VÄSTERBOTTENS LÄN</t>
        </is>
      </c>
      <c r="E49" t="inlineStr">
        <is>
          <t>ÅSELE</t>
        </is>
      </c>
      <c r="F49" t="inlineStr">
        <is>
          <t>Naturvårdsverket</t>
        </is>
      </c>
      <c r="G49" t="n">
        <v>2.2</v>
      </c>
      <c r="H49" t="n">
        <v>1</v>
      </c>
      <c r="I49" t="n">
        <v>0</v>
      </c>
      <c r="J49" t="n">
        <v>1</v>
      </c>
      <c r="K49" t="n">
        <v>0</v>
      </c>
      <c r="L49" t="n">
        <v>0</v>
      </c>
      <c r="M49" t="n">
        <v>0</v>
      </c>
      <c r="N49" t="n">
        <v>0</v>
      </c>
      <c r="O49" t="n">
        <v>1</v>
      </c>
      <c r="P49" t="n">
        <v>0</v>
      </c>
      <c r="Q49" t="n">
        <v>1</v>
      </c>
      <c r="R49" s="2" t="inlineStr">
        <is>
          <t>Tretåig hackspett</t>
        </is>
      </c>
      <c r="S49">
        <f>HYPERLINK("https://klasma.github.io/Logging_2463/artfynd/A 19705-2022 artfynd.xlsx", "A 19705-2022")</f>
        <v/>
      </c>
      <c r="T49">
        <f>HYPERLINK("https://klasma.github.io/Logging_2463/kartor/A 19705-2022 karta.png", "A 19705-2022")</f>
        <v/>
      </c>
      <c r="V49">
        <f>HYPERLINK("https://klasma.github.io/Logging_2463/klagomål/A 19705-2022 FSC-klagomål.docx", "A 19705-2022")</f>
        <v/>
      </c>
      <c r="W49">
        <f>HYPERLINK("https://klasma.github.io/Logging_2463/klagomålsmail/A 19705-2022 FSC-klagomål mail.docx", "A 19705-2022")</f>
        <v/>
      </c>
      <c r="X49">
        <f>HYPERLINK("https://klasma.github.io/Logging_2463/tillsyn/A 19705-2022 tillsynsbegäran.docx", "A 19705-2022")</f>
        <v/>
      </c>
      <c r="Y49">
        <f>HYPERLINK("https://klasma.github.io/Logging_2463/tillsynsmail/A 19705-2022 tillsynsbegäran mail.docx", "A 19705-2022")</f>
        <v/>
      </c>
      <c r="Z49">
        <f>HYPERLINK("https://klasma.github.io/Logging_2463/fåglar/A 19705-2022 prioriterade fågelarter.docx", "A 19705-2022")</f>
        <v/>
      </c>
    </row>
    <row r="50" ht="15" customHeight="1">
      <c r="A50" t="inlineStr">
        <is>
          <t>A 61850-2021</t>
        </is>
      </c>
      <c r="B50" s="1" t="n">
        <v>44501</v>
      </c>
      <c r="C50" s="1" t="n">
        <v>46181</v>
      </c>
      <c r="D50" t="inlineStr">
        <is>
          <t>VÄSTERBOTTENS LÄN</t>
        </is>
      </c>
      <c r="E50" t="inlineStr">
        <is>
          <t>ÅSELE</t>
        </is>
      </c>
      <c r="F50" t="inlineStr">
        <is>
          <t>SCA</t>
        </is>
      </c>
      <c r="G50" t="n">
        <v>12.9</v>
      </c>
      <c r="H50" t="n">
        <v>0</v>
      </c>
      <c r="I50" t="n">
        <v>1</v>
      </c>
      <c r="J50" t="n">
        <v>0</v>
      </c>
      <c r="K50" t="n">
        <v>0</v>
      </c>
      <c r="L50" t="n">
        <v>0</v>
      </c>
      <c r="M50" t="n">
        <v>0</v>
      </c>
      <c r="N50" t="n">
        <v>0</v>
      </c>
      <c r="O50" t="n">
        <v>0</v>
      </c>
      <c r="P50" t="n">
        <v>0</v>
      </c>
      <c r="Q50" t="n">
        <v>1</v>
      </c>
      <c r="R50" s="2" t="inlineStr">
        <is>
          <t>Skinnlav</t>
        </is>
      </c>
      <c r="S50">
        <f>HYPERLINK("https://klasma.github.io/Logging_2463/artfynd/A 61850-2021 artfynd.xlsx", "A 61850-2021")</f>
        <v/>
      </c>
      <c r="T50">
        <f>HYPERLINK("https://klasma.github.io/Logging_2463/kartor/A 61850-2021 karta.png", "A 61850-2021")</f>
        <v/>
      </c>
      <c r="V50">
        <f>HYPERLINK("https://klasma.github.io/Logging_2463/klagomål/A 61850-2021 FSC-klagomål.docx", "A 61850-2021")</f>
        <v/>
      </c>
      <c r="W50">
        <f>HYPERLINK("https://klasma.github.io/Logging_2463/klagomålsmail/A 61850-2021 FSC-klagomål mail.docx", "A 61850-2021")</f>
        <v/>
      </c>
      <c r="X50">
        <f>HYPERLINK("https://klasma.github.io/Logging_2463/tillsyn/A 61850-2021 tillsynsbegäran.docx", "A 61850-2021")</f>
        <v/>
      </c>
      <c r="Y50">
        <f>HYPERLINK("https://klasma.github.io/Logging_2463/tillsynsmail/A 61850-2021 tillsynsbegäran mail.docx", "A 61850-2021")</f>
        <v/>
      </c>
    </row>
    <row r="51" ht="15" customHeight="1">
      <c r="A51" t="inlineStr">
        <is>
          <t>A 31518-2024</t>
        </is>
      </c>
      <c r="B51" s="1" t="n">
        <v>45505</v>
      </c>
      <c r="C51" s="1" t="n">
        <v>46181</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41078-2025</t>
        </is>
      </c>
      <c r="B52" s="1" t="n">
        <v>45898</v>
      </c>
      <c r="C52" s="1" t="n">
        <v>46181</v>
      </c>
      <c r="D52" t="inlineStr">
        <is>
          <t>VÄSTERBOTTENS LÄN</t>
        </is>
      </c>
      <c r="E52" t="inlineStr">
        <is>
          <t>ÅSELE</t>
        </is>
      </c>
      <c r="F52" t="inlineStr">
        <is>
          <t>SCA</t>
        </is>
      </c>
      <c r="G52" t="n">
        <v>14.6</v>
      </c>
      <c r="H52" t="n">
        <v>0</v>
      </c>
      <c r="I52" t="n">
        <v>0</v>
      </c>
      <c r="J52" t="n">
        <v>1</v>
      </c>
      <c r="K52" t="n">
        <v>0</v>
      </c>
      <c r="L52" t="n">
        <v>0</v>
      </c>
      <c r="M52" t="n">
        <v>0</v>
      </c>
      <c r="N52" t="n">
        <v>0</v>
      </c>
      <c r="O52" t="n">
        <v>1</v>
      </c>
      <c r="P52" t="n">
        <v>0</v>
      </c>
      <c r="Q52" t="n">
        <v>1</v>
      </c>
      <c r="R52" s="2" t="inlineStr">
        <is>
          <t>Granticka</t>
        </is>
      </c>
      <c r="S52">
        <f>HYPERLINK("https://klasma.github.io/Logging_2463/artfynd/A 41078-2025 artfynd.xlsx", "A 41078-2025")</f>
        <v/>
      </c>
      <c r="T52">
        <f>HYPERLINK("https://klasma.github.io/Logging_2463/kartor/A 41078-2025 karta.png", "A 41078-2025")</f>
        <v/>
      </c>
      <c r="V52">
        <f>HYPERLINK("https://klasma.github.io/Logging_2463/klagomål/A 41078-2025 FSC-klagomål.docx", "A 41078-2025")</f>
        <v/>
      </c>
      <c r="W52">
        <f>HYPERLINK("https://klasma.github.io/Logging_2463/klagomålsmail/A 41078-2025 FSC-klagomål mail.docx", "A 41078-2025")</f>
        <v/>
      </c>
      <c r="X52">
        <f>HYPERLINK("https://klasma.github.io/Logging_2463/tillsyn/A 41078-2025 tillsynsbegäran.docx", "A 41078-2025")</f>
        <v/>
      </c>
      <c r="Y52">
        <f>HYPERLINK("https://klasma.github.io/Logging_2463/tillsynsmail/A 41078-2025 tillsynsbegäran mail.docx", "A 41078-2025")</f>
        <v/>
      </c>
    </row>
    <row r="53" ht="15" customHeight="1">
      <c r="A53" t="inlineStr">
        <is>
          <t>A 26867-2025</t>
        </is>
      </c>
      <c r="B53" s="1" t="n">
        <v>45810</v>
      </c>
      <c r="C53" s="1" t="n">
        <v>46181</v>
      </c>
      <c r="D53" t="inlineStr">
        <is>
          <t>VÄSTERBOTTENS LÄN</t>
        </is>
      </c>
      <c r="E53" t="inlineStr">
        <is>
          <t>ÅSELE</t>
        </is>
      </c>
      <c r="F53" t="inlineStr">
        <is>
          <t>SCA</t>
        </is>
      </c>
      <c r="G53" t="n">
        <v>1.6</v>
      </c>
      <c r="H53" t="n">
        <v>1</v>
      </c>
      <c r="I53" t="n">
        <v>0</v>
      </c>
      <c r="J53" t="n">
        <v>0</v>
      </c>
      <c r="K53" t="n">
        <v>1</v>
      </c>
      <c r="L53" t="n">
        <v>0</v>
      </c>
      <c r="M53" t="n">
        <v>0</v>
      </c>
      <c r="N53" t="n">
        <v>0</v>
      </c>
      <c r="O53" t="n">
        <v>1</v>
      </c>
      <c r="P53" t="n">
        <v>1</v>
      </c>
      <c r="Q53" t="n">
        <v>1</v>
      </c>
      <c r="R53" s="2" t="inlineStr">
        <is>
          <t>Knärot</t>
        </is>
      </c>
      <c r="S53">
        <f>HYPERLINK("https://klasma.github.io/Logging_2463/artfynd/A 26867-2025 artfynd.xlsx", "A 26867-2025")</f>
        <v/>
      </c>
      <c r="T53">
        <f>HYPERLINK("https://klasma.github.io/Logging_2463/kartor/A 26867-2025 karta.png", "A 26867-2025")</f>
        <v/>
      </c>
      <c r="U53">
        <f>HYPERLINK("https://klasma.github.io/Logging_2463/knärot/A 26867-2025 karta knärot.png", "A 26867-2025")</f>
        <v/>
      </c>
      <c r="V53">
        <f>HYPERLINK("https://klasma.github.io/Logging_2463/klagomål/A 26867-2025 FSC-klagomål.docx", "A 26867-2025")</f>
        <v/>
      </c>
      <c r="W53">
        <f>HYPERLINK("https://klasma.github.io/Logging_2463/klagomålsmail/A 26867-2025 FSC-klagomål mail.docx", "A 26867-2025")</f>
        <v/>
      </c>
      <c r="X53">
        <f>HYPERLINK("https://klasma.github.io/Logging_2463/tillsyn/A 26867-2025 tillsynsbegäran.docx", "A 26867-2025")</f>
        <v/>
      </c>
      <c r="Y53">
        <f>HYPERLINK("https://klasma.github.io/Logging_2463/tillsynsmail/A 26867-2025 tillsynsbegäran mail.docx", "A 26867-2025")</f>
        <v/>
      </c>
    </row>
    <row r="54" ht="15" customHeight="1">
      <c r="A54" t="inlineStr">
        <is>
          <t>A 42090-2025</t>
        </is>
      </c>
      <c r="B54" s="1" t="n">
        <v>45903.69844907407</v>
      </c>
      <c r="C54" s="1" t="n">
        <v>46181</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27106-2025</t>
        </is>
      </c>
      <c r="B55" s="1" t="n">
        <v>45811</v>
      </c>
      <c r="C55" s="1" t="n">
        <v>46181</v>
      </c>
      <c r="D55" t="inlineStr">
        <is>
          <t>VÄSTERBOTTENS LÄN</t>
        </is>
      </c>
      <c r="E55" t="inlineStr">
        <is>
          <t>ÅSELE</t>
        </is>
      </c>
      <c r="F55" t="inlineStr">
        <is>
          <t>SCA</t>
        </is>
      </c>
      <c r="G55" t="n">
        <v>8.300000000000001</v>
      </c>
      <c r="H55" t="n">
        <v>0</v>
      </c>
      <c r="I55" t="n">
        <v>0</v>
      </c>
      <c r="J55" t="n">
        <v>1</v>
      </c>
      <c r="K55" t="n">
        <v>0</v>
      </c>
      <c r="L55" t="n">
        <v>0</v>
      </c>
      <c r="M55" t="n">
        <v>0</v>
      </c>
      <c r="N55" t="n">
        <v>0</v>
      </c>
      <c r="O55" t="n">
        <v>1</v>
      </c>
      <c r="P55" t="n">
        <v>0</v>
      </c>
      <c r="Q55" t="n">
        <v>1</v>
      </c>
      <c r="R55" s="2" t="inlineStr">
        <is>
          <t>Tallticka</t>
        </is>
      </c>
      <c r="S55">
        <f>HYPERLINK("https://klasma.github.io/Logging_2463/artfynd/A 27106-2025 artfynd.xlsx", "A 27106-2025")</f>
        <v/>
      </c>
      <c r="T55">
        <f>HYPERLINK("https://klasma.github.io/Logging_2463/kartor/A 27106-2025 karta.png", "A 27106-2025")</f>
        <v/>
      </c>
      <c r="V55">
        <f>HYPERLINK("https://klasma.github.io/Logging_2463/klagomål/A 27106-2025 FSC-klagomål.docx", "A 27106-2025")</f>
        <v/>
      </c>
      <c r="W55">
        <f>HYPERLINK("https://klasma.github.io/Logging_2463/klagomålsmail/A 27106-2025 FSC-klagomål mail.docx", "A 27106-2025")</f>
        <v/>
      </c>
      <c r="X55">
        <f>HYPERLINK("https://klasma.github.io/Logging_2463/tillsyn/A 27106-2025 tillsynsbegäran.docx", "A 27106-2025")</f>
        <v/>
      </c>
      <c r="Y55">
        <f>HYPERLINK("https://klasma.github.io/Logging_2463/tillsynsmail/A 27106-2025 tillsynsbegäran mail.docx", "A 27106-2025")</f>
        <v/>
      </c>
    </row>
    <row r="56" ht="15" customHeight="1">
      <c r="A56" t="inlineStr">
        <is>
          <t>A 43459-2024</t>
        </is>
      </c>
      <c r="B56" s="1" t="n">
        <v>45568</v>
      </c>
      <c r="C56" s="1" t="n">
        <v>46181</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50420-2024</t>
        </is>
      </c>
      <c r="B57" s="1" t="n">
        <v>45601</v>
      </c>
      <c r="C57" s="1" t="n">
        <v>46181</v>
      </c>
      <c r="D57" t="inlineStr">
        <is>
          <t>VÄSTERBOTTENS LÄN</t>
        </is>
      </c>
      <c r="E57" t="inlineStr">
        <is>
          <t>ÅSELE</t>
        </is>
      </c>
      <c r="F57" t="inlineStr">
        <is>
          <t>SCA</t>
        </is>
      </c>
      <c r="G57" t="n">
        <v>2.5</v>
      </c>
      <c r="H57" t="n">
        <v>0</v>
      </c>
      <c r="I57" t="n">
        <v>1</v>
      </c>
      <c r="J57" t="n">
        <v>0</v>
      </c>
      <c r="K57" t="n">
        <v>0</v>
      </c>
      <c r="L57" t="n">
        <v>0</v>
      </c>
      <c r="M57" t="n">
        <v>0</v>
      </c>
      <c r="N57" t="n">
        <v>0</v>
      </c>
      <c r="O57" t="n">
        <v>0</v>
      </c>
      <c r="P57" t="n">
        <v>0</v>
      </c>
      <c r="Q57" t="n">
        <v>1</v>
      </c>
      <c r="R57" s="2" t="inlineStr">
        <is>
          <t>Skör kvastmossa</t>
        </is>
      </c>
      <c r="S57">
        <f>HYPERLINK("https://klasma.github.io/Logging_2463/artfynd/A 50420-2024 artfynd.xlsx", "A 50420-2024")</f>
        <v/>
      </c>
      <c r="T57">
        <f>HYPERLINK("https://klasma.github.io/Logging_2463/kartor/A 50420-2024 karta.png", "A 50420-2024")</f>
        <v/>
      </c>
      <c r="V57">
        <f>HYPERLINK("https://klasma.github.io/Logging_2463/klagomål/A 50420-2024 FSC-klagomål.docx", "A 50420-2024")</f>
        <v/>
      </c>
      <c r="W57">
        <f>HYPERLINK("https://klasma.github.io/Logging_2463/klagomålsmail/A 50420-2024 FSC-klagomål mail.docx", "A 50420-2024")</f>
        <v/>
      </c>
      <c r="X57">
        <f>HYPERLINK("https://klasma.github.io/Logging_2463/tillsyn/A 50420-2024 tillsynsbegäran.docx", "A 50420-2024")</f>
        <v/>
      </c>
      <c r="Y57">
        <f>HYPERLINK("https://klasma.github.io/Logging_2463/tillsynsmail/A 50420-2024 tillsynsbegäran mail.docx", "A 50420-2024")</f>
        <v/>
      </c>
    </row>
    <row r="58" ht="15" customHeight="1">
      <c r="A58" t="inlineStr">
        <is>
          <t>A 26897-2023</t>
        </is>
      </c>
      <c r="B58" s="1" t="n">
        <v>45093.60384259259</v>
      </c>
      <c r="C58" s="1" t="n">
        <v>46181</v>
      </c>
      <c r="D58" t="inlineStr">
        <is>
          <t>VÄSTERBOTTENS LÄN</t>
        </is>
      </c>
      <c r="E58" t="inlineStr">
        <is>
          <t>ÅSELE</t>
        </is>
      </c>
      <c r="F58" t="inlineStr">
        <is>
          <t>Sveaskog</t>
        </is>
      </c>
      <c r="G58" t="n">
        <v>15</v>
      </c>
      <c r="H58" t="n">
        <v>1</v>
      </c>
      <c r="I58" t="n">
        <v>0</v>
      </c>
      <c r="J58" t="n">
        <v>1</v>
      </c>
      <c r="K58" t="n">
        <v>0</v>
      </c>
      <c r="L58" t="n">
        <v>0</v>
      </c>
      <c r="M58" t="n">
        <v>0</v>
      </c>
      <c r="N58" t="n">
        <v>0</v>
      </c>
      <c r="O58" t="n">
        <v>1</v>
      </c>
      <c r="P58" t="n">
        <v>0</v>
      </c>
      <c r="Q58" t="n">
        <v>1</v>
      </c>
      <c r="R58" s="2" t="inlineStr">
        <is>
          <t>Talltita</t>
        </is>
      </c>
      <c r="S58">
        <f>HYPERLINK("https://klasma.github.io/Logging_2463/artfynd/A 26897-2023 artfynd.xlsx", "A 26897-2023")</f>
        <v/>
      </c>
      <c r="T58">
        <f>HYPERLINK("https://klasma.github.io/Logging_2463/kartor/A 26897-2023 karta.png", "A 26897-2023")</f>
        <v/>
      </c>
      <c r="V58">
        <f>HYPERLINK("https://klasma.github.io/Logging_2463/klagomål/A 26897-2023 FSC-klagomål.docx", "A 26897-2023")</f>
        <v/>
      </c>
      <c r="W58">
        <f>HYPERLINK("https://klasma.github.io/Logging_2463/klagomålsmail/A 26897-2023 FSC-klagomål mail.docx", "A 26897-2023")</f>
        <v/>
      </c>
      <c r="X58">
        <f>HYPERLINK("https://klasma.github.io/Logging_2463/tillsyn/A 26897-2023 tillsynsbegäran.docx", "A 26897-2023")</f>
        <v/>
      </c>
      <c r="Y58">
        <f>HYPERLINK("https://klasma.github.io/Logging_2463/tillsynsmail/A 26897-2023 tillsynsbegäran mail.docx", "A 26897-2023")</f>
        <v/>
      </c>
      <c r="Z58">
        <f>HYPERLINK("https://klasma.github.io/Logging_2463/fåglar/A 26897-2023 prioriterade fågelarter.docx", "A 26897-2023")</f>
        <v/>
      </c>
    </row>
    <row r="59" ht="15" customHeight="1">
      <c r="A59" t="inlineStr">
        <is>
          <t>A 48594-2025</t>
        </is>
      </c>
      <c r="B59" s="1" t="n">
        <v>45936.46305555556</v>
      </c>
      <c r="C59" s="1" t="n">
        <v>46181</v>
      </c>
      <c r="D59" t="inlineStr">
        <is>
          <t>VÄSTERBOTTENS LÄN</t>
        </is>
      </c>
      <c r="E59" t="inlineStr">
        <is>
          <t>ÅSELE</t>
        </is>
      </c>
      <c r="F59" t="inlineStr">
        <is>
          <t>Kommuner</t>
        </is>
      </c>
      <c r="G59" t="n">
        <v>13.3</v>
      </c>
      <c r="H59" t="n">
        <v>0</v>
      </c>
      <c r="I59" t="n">
        <v>0</v>
      </c>
      <c r="J59" t="n">
        <v>1</v>
      </c>
      <c r="K59" t="n">
        <v>0</v>
      </c>
      <c r="L59" t="n">
        <v>0</v>
      </c>
      <c r="M59" t="n">
        <v>0</v>
      </c>
      <c r="N59" t="n">
        <v>0</v>
      </c>
      <c r="O59" t="n">
        <v>1</v>
      </c>
      <c r="P59" t="n">
        <v>0</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49050-2025</t>
        </is>
      </c>
      <c r="B60" s="1" t="n">
        <v>45937.63756944444</v>
      </c>
      <c r="C60" s="1" t="n">
        <v>46181</v>
      </c>
      <c r="D60" t="inlineStr">
        <is>
          <t>VÄSTERBOTTENS LÄN</t>
        </is>
      </c>
      <c r="E60" t="inlineStr">
        <is>
          <t>ÅSELE</t>
        </is>
      </c>
      <c r="F60" t="inlineStr">
        <is>
          <t>SCA</t>
        </is>
      </c>
      <c r="G60" t="n">
        <v>9.300000000000001</v>
      </c>
      <c r="H60" t="n">
        <v>1</v>
      </c>
      <c r="I60" t="n">
        <v>0</v>
      </c>
      <c r="J60" t="n">
        <v>0</v>
      </c>
      <c r="K60" t="n">
        <v>0</v>
      </c>
      <c r="L60" t="n">
        <v>0</v>
      </c>
      <c r="M60" t="n">
        <v>0</v>
      </c>
      <c r="N60" t="n">
        <v>0</v>
      </c>
      <c r="O60" t="n">
        <v>0</v>
      </c>
      <c r="P60" t="n">
        <v>0</v>
      </c>
      <c r="Q60" t="n">
        <v>1</v>
      </c>
      <c r="R60" s="2" t="inlineStr">
        <is>
          <t>Orre</t>
        </is>
      </c>
      <c r="S60">
        <f>HYPERLINK("https://klasma.github.io/Logging_2463/artfynd/A 49050-2025 artfynd.xlsx", "A 49050-2025")</f>
        <v/>
      </c>
      <c r="T60">
        <f>HYPERLINK("https://klasma.github.io/Logging_2463/kartor/A 49050-2025 karta.png", "A 49050-2025")</f>
        <v/>
      </c>
      <c r="V60">
        <f>HYPERLINK("https://klasma.github.io/Logging_2463/klagomål/A 49050-2025 FSC-klagomål.docx", "A 49050-2025")</f>
        <v/>
      </c>
      <c r="W60">
        <f>HYPERLINK("https://klasma.github.io/Logging_2463/klagomålsmail/A 49050-2025 FSC-klagomål mail.docx", "A 49050-2025")</f>
        <v/>
      </c>
      <c r="X60">
        <f>HYPERLINK("https://klasma.github.io/Logging_2463/tillsyn/A 49050-2025 tillsynsbegäran.docx", "A 49050-2025")</f>
        <v/>
      </c>
      <c r="Y60">
        <f>HYPERLINK("https://klasma.github.io/Logging_2463/tillsynsmail/A 49050-2025 tillsynsbegäran mail.docx", "A 49050-2025")</f>
        <v/>
      </c>
      <c r="Z60">
        <f>HYPERLINK("https://klasma.github.io/Logging_2463/fåglar/A 49050-2025 prioriterade fågelarter.docx", "A 49050-2025")</f>
        <v/>
      </c>
    </row>
    <row r="61" ht="15" customHeight="1">
      <c r="A61" t="inlineStr">
        <is>
          <t>A 37568-2025</t>
        </is>
      </c>
      <c r="B61" s="1" t="n">
        <v>45880.3647337963</v>
      </c>
      <c r="C61" s="1" t="n">
        <v>46181</v>
      </c>
      <c r="D61" t="inlineStr">
        <is>
          <t>VÄSTERBOTTENS LÄN</t>
        </is>
      </c>
      <c r="E61" t="inlineStr">
        <is>
          <t>ÅSELE</t>
        </is>
      </c>
      <c r="F61" t="inlineStr">
        <is>
          <t>Kyrkan</t>
        </is>
      </c>
      <c r="G61" t="n">
        <v>8</v>
      </c>
      <c r="H61" t="n">
        <v>0</v>
      </c>
      <c r="I61" t="n">
        <v>0</v>
      </c>
      <c r="J61" t="n">
        <v>1</v>
      </c>
      <c r="K61" t="n">
        <v>0</v>
      </c>
      <c r="L61" t="n">
        <v>0</v>
      </c>
      <c r="M61" t="n">
        <v>0</v>
      </c>
      <c r="N61" t="n">
        <v>0</v>
      </c>
      <c r="O61" t="n">
        <v>1</v>
      </c>
      <c r="P61" t="n">
        <v>0</v>
      </c>
      <c r="Q61" t="n">
        <v>1</v>
      </c>
      <c r="R61" s="2" t="inlineStr">
        <is>
          <t>Lunglav</t>
        </is>
      </c>
      <c r="S61">
        <f>HYPERLINK("https://klasma.github.io/Logging_2463/artfynd/A 37568-2025 artfynd.xlsx", "A 37568-2025")</f>
        <v/>
      </c>
      <c r="T61">
        <f>HYPERLINK("https://klasma.github.io/Logging_2463/kartor/A 37568-2025 karta.png", "A 37568-2025")</f>
        <v/>
      </c>
      <c r="V61">
        <f>HYPERLINK("https://klasma.github.io/Logging_2463/klagomål/A 37568-2025 FSC-klagomål.docx", "A 37568-2025")</f>
        <v/>
      </c>
      <c r="W61">
        <f>HYPERLINK("https://klasma.github.io/Logging_2463/klagomålsmail/A 37568-2025 FSC-klagomål mail.docx", "A 37568-2025")</f>
        <v/>
      </c>
      <c r="X61">
        <f>HYPERLINK("https://klasma.github.io/Logging_2463/tillsyn/A 37568-2025 tillsynsbegäran.docx", "A 37568-2025")</f>
        <v/>
      </c>
      <c r="Y61">
        <f>HYPERLINK("https://klasma.github.io/Logging_2463/tillsynsmail/A 37568-2025 tillsynsbegäran mail.docx", "A 37568-2025")</f>
        <v/>
      </c>
    </row>
    <row r="62" ht="15" customHeight="1">
      <c r="A62" t="inlineStr">
        <is>
          <t>A 54741-2023</t>
        </is>
      </c>
      <c r="B62" s="1" t="n">
        <v>45236.40642361111</v>
      </c>
      <c r="C62" s="1" t="n">
        <v>46181</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43276-2025</t>
        </is>
      </c>
      <c r="B63" s="1" t="n">
        <v>45910</v>
      </c>
      <c r="C63" s="1" t="n">
        <v>46181</v>
      </c>
      <c r="D63" t="inlineStr">
        <is>
          <t>VÄSTERBOTTENS LÄN</t>
        </is>
      </c>
      <c r="E63" t="inlineStr">
        <is>
          <t>ÅSELE</t>
        </is>
      </c>
      <c r="F63" t="inlineStr">
        <is>
          <t>Kyrkan</t>
        </is>
      </c>
      <c r="G63" t="n">
        <v>4.9</v>
      </c>
      <c r="H63" t="n">
        <v>1</v>
      </c>
      <c r="I63" t="n">
        <v>0</v>
      </c>
      <c r="J63" t="n">
        <v>1</v>
      </c>
      <c r="K63" t="n">
        <v>0</v>
      </c>
      <c r="L63" t="n">
        <v>0</v>
      </c>
      <c r="M63" t="n">
        <v>0</v>
      </c>
      <c r="N63" t="n">
        <v>0</v>
      </c>
      <c r="O63" t="n">
        <v>1</v>
      </c>
      <c r="P63" t="n">
        <v>0</v>
      </c>
      <c r="Q63" t="n">
        <v>1</v>
      </c>
      <c r="R63" s="2" t="inlineStr">
        <is>
          <t>Tretåig hackspett</t>
        </is>
      </c>
      <c r="S63">
        <f>HYPERLINK("https://klasma.github.io/Logging_2463/artfynd/A 43276-2025 artfynd.xlsx", "A 43276-2025")</f>
        <v/>
      </c>
      <c r="T63">
        <f>HYPERLINK("https://klasma.github.io/Logging_2463/kartor/A 43276-2025 karta.png", "A 43276-2025")</f>
        <v/>
      </c>
      <c r="V63">
        <f>HYPERLINK("https://klasma.github.io/Logging_2463/klagomål/A 43276-2025 FSC-klagomål.docx", "A 43276-2025")</f>
        <v/>
      </c>
      <c r="W63">
        <f>HYPERLINK("https://klasma.github.io/Logging_2463/klagomålsmail/A 43276-2025 FSC-klagomål mail.docx", "A 43276-2025")</f>
        <v/>
      </c>
      <c r="X63">
        <f>HYPERLINK("https://klasma.github.io/Logging_2463/tillsyn/A 43276-2025 tillsynsbegäran.docx", "A 43276-2025")</f>
        <v/>
      </c>
      <c r="Y63">
        <f>HYPERLINK("https://klasma.github.io/Logging_2463/tillsynsmail/A 43276-2025 tillsynsbegäran mail.docx", "A 43276-2025")</f>
        <v/>
      </c>
      <c r="Z63">
        <f>HYPERLINK("https://klasma.github.io/Logging_2463/fåglar/A 43276-2025 prioriterade fågelarter.docx", "A 43276-2025")</f>
        <v/>
      </c>
    </row>
    <row r="64" ht="15" customHeight="1">
      <c r="A64" t="inlineStr">
        <is>
          <t>A 18000-2025</t>
        </is>
      </c>
      <c r="B64" s="1" t="n">
        <v>45761</v>
      </c>
      <c r="C64" s="1" t="n">
        <v>46181</v>
      </c>
      <c r="D64" t="inlineStr">
        <is>
          <t>VÄSTERBOTTENS LÄN</t>
        </is>
      </c>
      <c r="E64" t="inlineStr">
        <is>
          <t>ÅSELE</t>
        </is>
      </c>
      <c r="G64" t="n">
        <v>4.2</v>
      </c>
      <c r="H64" t="n">
        <v>0</v>
      </c>
      <c r="I64" t="n">
        <v>0</v>
      </c>
      <c r="J64" t="n">
        <v>1</v>
      </c>
      <c r="K64" t="n">
        <v>0</v>
      </c>
      <c r="L64" t="n">
        <v>0</v>
      </c>
      <c r="M64" t="n">
        <v>0</v>
      </c>
      <c r="N64" t="n">
        <v>0</v>
      </c>
      <c r="O64" t="n">
        <v>1</v>
      </c>
      <c r="P64" t="n">
        <v>0</v>
      </c>
      <c r="Q64" t="n">
        <v>1</v>
      </c>
      <c r="R64" s="2" t="inlineStr">
        <is>
          <t>Månlåsbräken</t>
        </is>
      </c>
      <c r="S64">
        <f>HYPERLINK("https://klasma.github.io/Logging_2463/artfynd/A 18000-2025 artfynd.xlsx", "A 18000-2025")</f>
        <v/>
      </c>
      <c r="T64">
        <f>HYPERLINK("https://klasma.github.io/Logging_2463/kartor/A 18000-2025 karta.png", "A 18000-2025")</f>
        <v/>
      </c>
      <c r="V64">
        <f>HYPERLINK("https://klasma.github.io/Logging_2463/klagomål/A 18000-2025 FSC-klagomål.docx", "A 18000-2025")</f>
        <v/>
      </c>
      <c r="W64">
        <f>HYPERLINK("https://klasma.github.io/Logging_2463/klagomålsmail/A 18000-2025 FSC-klagomål mail.docx", "A 18000-2025")</f>
        <v/>
      </c>
      <c r="X64">
        <f>HYPERLINK("https://klasma.github.io/Logging_2463/tillsyn/A 18000-2025 tillsynsbegäran.docx", "A 18000-2025")</f>
        <v/>
      </c>
      <c r="Y64">
        <f>HYPERLINK("https://klasma.github.io/Logging_2463/tillsynsmail/A 18000-2025 tillsynsbegäran mail.docx", "A 18000-2025")</f>
        <v/>
      </c>
    </row>
    <row r="65" ht="15" customHeight="1">
      <c r="A65" t="inlineStr">
        <is>
          <t>A 48743-2023</t>
        </is>
      </c>
      <c r="B65" s="1" t="n">
        <v>45208</v>
      </c>
      <c r="C65" s="1" t="n">
        <v>46181</v>
      </c>
      <c r="D65" t="inlineStr">
        <is>
          <t>VÄSTERBOTTENS LÄN</t>
        </is>
      </c>
      <c r="E65" t="inlineStr">
        <is>
          <t>ÅSELE</t>
        </is>
      </c>
      <c r="G65" t="n">
        <v>18.5</v>
      </c>
      <c r="H65" t="n">
        <v>0</v>
      </c>
      <c r="I65" t="n">
        <v>1</v>
      </c>
      <c r="J65" t="n">
        <v>0</v>
      </c>
      <c r="K65" t="n">
        <v>0</v>
      </c>
      <c r="L65" t="n">
        <v>0</v>
      </c>
      <c r="M65" t="n">
        <v>0</v>
      </c>
      <c r="N65" t="n">
        <v>0</v>
      </c>
      <c r="O65" t="n">
        <v>0</v>
      </c>
      <c r="P65" t="n">
        <v>0</v>
      </c>
      <c r="Q65" t="n">
        <v>1</v>
      </c>
      <c r="R65" s="2" t="inlineStr">
        <is>
          <t>Skinnlav</t>
        </is>
      </c>
      <c r="S65">
        <f>HYPERLINK("https://klasma.github.io/Logging_2463/artfynd/A 48743-2023 artfynd.xlsx", "A 48743-2023")</f>
        <v/>
      </c>
      <c r="T65">
        <f>HYPERLINK("https://klasma.github.io/Logging_2463/kartor/A 48743-2023 karta.png", "A 48743-2023")</f>
        <v/>
      </c>
      <c r="V65">
        <f>HYPERLINK("https://klasma.github.io/Logging_2463/klagomål/A 48743-2023 FSC-klagomål.docx", "A 48743-2023")</f>
        <v/>
      </c>
      <c r="W65">
        <f>HYPERLINK("https://klasma.github.io/Logging_2463/klagomålsmail/A 48743-2023 FSC-klagomål mail.docx", "A 48743-2023")</f>
        <v/>
      </c>
      <c r="X65">
        <f>HYPERLINK("https://klasma.github.io/Logging_2463/tillsyn/A 48743-2023 tillsynsbegäran.docx", "A 48743-2023")</f>
        <v/>
      </c>
      <c r="Y65">
        <f>HYPERLINK("https://klasma.github.io/Logging_2463/tillsynsmail/A 48743-2023 tillsynsbegäran mail.docx", "A 48743-2023")</f>
        <v/>
      </c>
    </row>
    <row r="66" ht="15" customHeight="1">
      <c r="A66" t="inlineStr">
        <is>
          <t>A 64497-2023</t>
        </is>
      </c>
      <c r="B66" s="1" t="n">
        <v>45280</v>
      </c>
      <c r="C66" s="1" t="n">
        <v>46181</v>
      </c>
      <c r="D66" t="inlineStr">
        <is>
          <t>VÄSTERBOTTENS LÄN</t>
        </is>
      </c>
      <c r="E66" t="inlineStr">
        <is>
          <t>ÅSELE</t>
        </is>
      </c>
      <c r="F66" t="inlineStr">
        <is>
          <t>SCA</t>
        </is>
      </c>
      <c r="G66" t="n">
        <v>7.3</v>
      </c>
      <c r="H66" t="n">
        <v>0</v>
      </c>
      <c r="I66" t="n">
        <v>0</v>
      </c>
      <c r="J66" t="n">
        <v>1</v>
      </c>
      <c r="K66" t="n">
        <v>0</v>
      </c>
      <c r="L66" t="n">
        <v>0</v>
      </c>
      <c r="M66" t="n">
        <v>0</v>
      </c>
      <c r="N66" t="n">
        <v>0</v>
      </c>
      <c r="O66" t="n">
        <v>1</v>
      </c>
      <c r="P66" t="n">
        <v>0</v>
      </c>
      <c r="Q66" t="n">
        <v>1</v>
      </c>
      <c r="R66" s="2" t="inlineStr">
        <is>
          <t>Harticka</t>
        </is>
      </c>
      <c r="S66">
        <f>HYPERLINK("https://klasma.github.io/Logging_2463/artfynd/A 64497-2023 artfynd.xlsx", "A 64497-2023")</f>
        <v/>
      </c>
      <c r="T66">
        <f>HYPERLINK("https://klasma.github.io/Logging_2463/kartor/A 64497-2023 karta.png", "A 64497-2023")</f>
        <v/>
      </c>
      <c r="V66">
        <f>HYPERLINK("https://klasma.github.io/Logging_2463/klagomål/A 64497-2023 FSC-klagomål.docx", "A 64497-2023")</f>
        <v/>
      </c>
      <c r="W66">
        <f>HYPERLINK("https://klasma.github.io/Logging_2463/klagomålsmail/A 64497-2023 FSC-klagomål mail.docx", "A 64497-2023")</f>
        <v/>
      </c>
      <c r="X66">
        <f>HYPERLINK("https://klasma.github.io/Logging_2463/tillsyn/A 64497-2023 tillsynsbegäran.docx", "A 64497-2023")</f>
        <v/>
      </c>
      <c r="Y66">
        <f>HYPERLINK("https://klasma.github.io/Logging_2463/tillsynsmail/A 64497-2023 tillsynsbegäran mail.docx", "A 64497-2023")</f>
        <v/>
      </c>
    </row>
    <row r="67" ht="15" customHeight="1">
      <c r="A67" t="inlineStr">
        <is>
          <t>A 39380-2022</t>
        </is>
      </c>
      <c r="B67" s="1" t="n">
        <v>44817</v>
      </c>
      <c r="C67" s="1" t="n">
        <v>46181</v>
      </c>
      <c r="D67" t="inlineStr">
        <is>
          <t>VÄSTERBOTTENS LÄN</t>
        </is>
      </c>
      <c r="E67" t="inlineStr">
        <is>
          <t>ÅSELE</t>
        </is>
      </c>
      <c r="F67" t="inlineStr">
        <is>
          <t>SCA</t>
        </is>
      </c>
      <c r="G67" t="n">
        <v>2.4</v>
      </c>
      <c r="H67" t="n">
        <v>1</v>
      </c>
      <c r="I67" t="n">
        <v>1</v>
      </c>
      <c r="J67" t="n">
        <v>0</v>
      </c>
      <c r="K67" t="n">
        <v>0</v>
      </c>
      <c r="L67" t="n">
        <v>0</v>
      </c>
      <c r="M67" t="n">
        <v>0</v>
      </c>
      <c r="N67" t="n">
        <v>0</v>
      </c>
      <c r="O67" t="n">
        <v>0</v>
      </c>
      <c r="P67" t="n">
        <v>0</v>
      </c>
      <c r="Q67" t="n">
        <v>1</v>
      </c>
      <c r="R67" s="2" t="inlineStr">
        <is>
          <t>Lappranunkel</t>
        </is>
      </c>
      <c r="S67">
        <f>HYPERLINK("https://klasma.github.io/Logging_2463/artfynd/A 39380-2022 artfynd.xlsx", "A 39380-2022")</f>
        <v/>
      </c>
      <c r="T67">
        <f>HYPERLINK("https://klasma.github.io/Logging_2463/kartor/A 39380-2022 karta.png", "A 39380-2022")</f>
        <v/>
      </c>
      <c r="V67">
        <f>HYPERLINK("https://klasma.github.io/Logging_2463/klagomål/A 39380-2022 FSC-klagomål.docx", "A 39380-2022")</f>
        <v/>
      </c>
      <c r="W67">
        <f>HYPERLINK("https://klasma.github.io/Logging_2463/klagomålsmail/A 39380-2022 FSC-klagomål mail.docx", "A 39380-2022")</f>
        <v/>
      </c>
      <c r="X67">
        <f>HYPERLINK("https://klasma.github.io/Logging_2463/tillsyn/A 39380-2022 tillsynsbegäran.docx", "A 39380-2022")</f>
        <v/>
      </c>
      <c r="Y67">
        <f>HYPERLINK("https://klasma.github.io/Logging_2463/tillsynsmail/A 39380-2022 tillsynsbegäran mail.docx", "A 39380-2022")</f>
        <v/>
      </c>
    </row>
    <row r="68" ht="15" customHeight="1">
      <c r="A68" t="inlineStr">
        <is>
          <t>A 42132-2024</t>
        </is>
      </c>
      <c r="B68" s="1" t="n">
        <v>45562</v>
      </c>
      <c r="C68" s="1" t="n">
        <v>46181</v>
      </c>
      <c r="D68" t="inlineStr">
        <is>
          <t>VÄSTERBOTTENS LÄN</t>
        </is>
      </c>
      <c r="E68" t="inlineStr">
        <is>
          <t>ÅSELE</t>
        </is>
      </c>
      <c r="F68" t="inlineStr">
        <is>
          <t>Holmen skog AB</t>
        </is>
      </c>
      <c r="G68" t="n">
        <v>18.5</v>
      </c>
      <c r="H68" t="n">
        <v>0</v>
      </c>
      <c r="I68" t="n">
        <v>0</v>
      </c>
      <c r="J68" t="n">
        <v>1</v>
      </c>
      <c r="K68" t="n">
        <v>0</v>
      </c>
      <c r="L68" t="n">
        <v>0</v>
      </c>
      <c r="M68" t="n">
        <v>0</v>
      </c>
      <c r="N68" t="n">
        <v>0</v>
      </c>
      <c r="O68" t="n">
        <v>1</v>
      </c>
      <c r="P68" t="n">
        <v>0</v>
      </c>
      <c r="Q68" t="n">
        <v>1</v>
      </c>
      <c r="R68" s="2" t="inlineStr">
        <is>
          <t>Kolflarnlav</t>
        </is>
      </c>
      <c r="S68">
        <f>HYPERLINK("https://klasma.github.io/Logging_2463/artfynd/A 42132-2024 artfynd.xlsx", "A 42132-2024")</f>
        <v/>
      </c>
      <c r="T68">
        <f>HYPERLINK("https://klasma.github.io/Logging_2463/kartor/A 42132-2024 karta.png", "A 42132-2024")</f>
        <v/>
      </c>
      <c r="V68">
        <f>HYPERLINK("https://klasma.github.io/Logging_2463/klagomål/A 42132-2024 FSC-klagomål.docx", "A 42132-2024")</f>
        <v/>
      </c>
      <c r="W68">
        <f>HYPERLINK("https://klasma.github.io/Logging_2463/klagomålsmail/A 42132-2024 FSC-klagomål mail.docx", "A 42132-2024")</f>
        <v/>
      </c>
      <c r="X68">
        <f>HYPERLINK("https://klasma.github.io/Logging_2463/tillsyn/A 42132-2024 tillsynsbegäran.docx", "A 42132-2024")</f>
        <v/>
      </c>
      <c r="Y68">
        <f>HYPERLINK("https://klasma.github.io/Logging_2463/tillsynsmail/A 42132-2024 tillsynsbegäran mail.docx", "A 42132-2024")</f>
        <v/>
      </c>
    </row>
    <row r="69" ht="15" customHeight="1">
      <c r="A69" t="inlineStr">
        <is>
          <t>A 36450-2021</t>
        </is>
      </c>
      <c r="B69" s="1" t="n">
        <v>44390</v>
      </c>
      <c r="C69" s="1" t="n">
        <v>46181</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46181</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46181</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42193-2021</t>
        </is>
      </c>
      <c r="B72" s="1" t="n">
        <v>44426.69363425926</v>
      </c>
      <c r="C72" s="1" t="n">
        <v>46181</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48280-2022</t>
        </is>
      </c>
      <c r="B73" s="1" t="n">
        <v>44858.49686342593</v>
      </c>
      <c r="C73" s="1" t="n">
        <v>46181</v>
      </c>
      <c r="D73" t="inlineStr">
        <is>
          <t>VÄSTERBOTTENS LÄN</t>
        </is>
      </c>
      <c r="E73" t="inlineStr">
        <is>
          <t>ÅSELE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46181</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44615.35633101852</v>
      </c>
      <c r="C75" s="1" t="n">
        <v>46181</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40503-2021</t>
        </is>
      </c>
      <c r="B76" s="1" t="n">
        <v>44420.34442129629</v>
      </c>
      <c r="C76" s="1" t="n">
        <v>46181</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46181</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46181</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46181</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46181</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46181</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46181</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46181</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46181</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46181</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46181</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46181</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34786-2022</t>
        </is>
      </c>
      <c r="B88" s="1" t="n">
        <v>44795.94395833334</v>
      </c>
      <c r="C88" s="1" t="n">
        <v>46181</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68105-2021</t>
        </is>
      </c>
      <c r="B89" s="1" t="n">
        <v>44526.36642361111</v>
      </c>
      <c r="C89" s="1" t="n">
        <v>46181</v>
      </c>
      <c r="D89" t="inlineStr">
        <is>
          <t>VÄSTERBOTTENS LÄN</t>
        </is>
      </c>
      <c r="E89" t="inlineStr">
        <is>
          <t>ÅSELE</t>
        </is>
      </c>
      <c r="F89" t="inlineStr">
        <is>
          <t>Holmen skog AB</t>
        </is>
      </c>
      <c r="G89" t="n">
        <v>1.9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46181</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46181</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46181</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46181</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46181</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46181</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46181</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46181</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46181</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46181</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46181</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46181</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46181</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46181</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46181</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46181</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46181</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46181</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46181</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46181</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46181</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49527-2022</t>
        </is>
      </c>
      <c r="B111" s="1" t="n">
        <v>44861.95710648148</v>
      </c>
      <c r="C111" s="1" t="n">
        <v>46181</v>
      </c>
      <c r="D111" t="inlineStr">
        <is>
          <t>VÄSTERBOTTENS LÄN</t>
        </is>
      </c>
      <c r="E111" t="inlineStr">
        <is>
          <t>ÅSELE</t>
        </is>
      </c>
      <c r="F111" t="inlineStr">
        <is>
          <t>SCA</t>
        </is>
      </c>
      <c r="G111" t="n">
        <v>3</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46181</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46181</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46181</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46181</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46181</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46181</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46181</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46181</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46181</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46181</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46181</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46181</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46181</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46181</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46181</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46181</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46181</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46181</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46181</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46181</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46181</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5012-2024</t>
        </is>
      </c>
      <c r="B133" s="1" t="n">
        <v>45329</v>
      </c>
      <c r="C133" s="1" t="n">
        <v>46181</v>
      </c>
      <c r="D133" t="inlineStr">
        <is>
          <t>VÄSTERBOTTENS LÄN</t>
        </is>
      </c>
      <c r="E133" t="inlineStr">
        <is>
          <t>ÅSELE</t>
        </is>
      </c>
      <c r="F133" t="inlineStr">
        <is>
          <t>Övriga Aktiebolag</t>
        </is>
      </c>
      <c r="G133" t="n">
        <v>2.4</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46181</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46181</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4901-2024</t>
        </is>
      </c>
      <c r="B136" s="1" t="n">
        <v>45329</v>
      </c>
      <c r="C136" s="1" t="n">
        <v>46181</v>
      </c>
      <c r="D136" t="inlineStr">
        <is>
          <t>VÄSTERBOTTENS LÄN</t>
        </is>
      </c>
      <c r="E136" t="inlineStr">
        <is>
          <t>ÅSELE</t>
        </is>
      </c>
      <c r="F136" t="inlineStr">
        <is>
          <t>Övriga Aktiebolag</t>
        </is>
      </c>
      <c r="G136" t="n">
        <v>3.9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46181</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46181</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46181</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46181</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48440-2023</t>
        </is>
      </c>
      <c r="B141" s="1" t="n">
        <v>45205</v>
      </c>
      <c r="C141" s="1" t="n">
        <v>46181</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20036-2025</t>
        </is>
      </c>
      <c r="B142" s="1" t="n">
        <v>45772.36670138889</v>
      </c>
      <c r="C142" s="1" t="n">
        <v>46181</v>
      </c>
      <c r="D142" t="inlineStr">
        <is>
          <t>VÄSTERBOTTENS LÄN</t>
        </is>
      </c>
      <c r="E142" t="inlineStr">
        <is>
          <t>ÅSELE</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48488-2023</t>
        </is>
      </c>
      <c r="B143" s="1" t="n">
        <v>45206</v>
      </c>
      <c r="C143" s="1" t="n">
        <v>46181</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46181</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46181</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46181</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46181</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46181</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13011-2025</t>
        </is>
      </c>
      <c r="B149" s="1" t="n">
        <v>45734.53167824074</v>
      </c>
      <c r="C149" s="1" t="n">
        <v>46181</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19330-2024</t>
        </is>
      </c>
      <c r="B150" s="1" t="n">
        <v>45428</v>
      </c>
      <c r="C150" s="1" t="n">
        <v>46181</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17683-2025</t>
        </is>
      </c>
      <c r="B151" s="1" t="n">
        <v>45758.3859375</v>
      </c>
      <c r="C151" s="1" t="n">
        <v>46181</v>
      </c>
      <c r="D151" t="inlineStr">
        <is>
          <t>VÄSTERBOTTENS LÄN</t>
        </is>
      </c>
      <c r="E151" t="inlineStr">
        <is>
          <t>ÅSELE</t>
        </is>
      </c>
      <c r="F151" t="inlineStr">
        <is>
          <t>SCA</t>
        </is>
      </c>
      <c r="G151" t="n">
        <v>8.1</v>
      </c>
      <c r="H151" t="n">
        <v>0</v>
      </c>
      <c r="I151" t="n">
        <v>0</v>
      </c>
      <c r="J151" t="n">
        <v>0</v>
      </c>
      <c r="K151" t="n">
        <v>0</v>
      </c>
      <c r="L151" t="n">
        <v>0</v>
      </c>
      <c r="M151" t="n">
        <v>0</v>
      </c>
      <c r="N151" t="n">
        <v>0</v>
      </c>
      <c r="O151" t="n">
        <v>0</v>
      </c>
      <c r="P151" t="n">
        <v>0</v>
      </c>
      <c r="Q151" t="n">
        <v>0</v>
      </c>
      <c r="R151" s="2" t="inlineStr"/>
    </row>
    <row r="152" ht="15" customHeight="1">
      <c r="A152" t="inlineStr">
        <is>
          <t>A 25549-2024</t>
        </is>
      </c>
      <c r="B152" s="1" t="n">
        <v>45463</v>
      </c>
      <c r="C152" s="1" t="n">
        <v>46181</v>
      </c>
      <c r="D152" t="inlineStr">
        <is>
          <t>VÄSTERBOTTENS LÄN</t>
        </is>
      </c>
      <c r="E152" t="inlineStr">
        <is>
          <t>ÅSELE</t>
        </is>
      </c>
      <c r="F152" t="inlineStr">
        <is>
          <t>Sveaskog</t>
        </is>
      </c>
      <c r="G152" t="n">
        <v>3.8</v>
      </c>
      <c r="H152" t="n">
        <v>0</v>
      </c>
      <c r="I152" t="n">
        <v>0</v>
      </c>
      <c r="J152" t="n">
        <v>0</v>
      </c>
      <c r="K152" t="n">
        <v>0</v>
      </c>
      <c r="L152" t="n">
        <v>0</v>
      </c>
      <c r="M152" t="n">
        <v>0</v>
      </c>
      <c r="N152" t="n">
        <v>0</v>
      </c>
      <c r="O152" t="n">
        <v>0</v>
      </c>
      <c r="P152" t="n">
        <v>0</v>
      </c>
      <c r="Q152" t="n">
        <v>0</v>
      </c>
      <c r="R152" s="2" t="inlineStr"/>
    </row>
    <row r="153" ht="15" customHeight="1">
      <c r="A153" t="inlineStr">
        <is>
          <t>A 25574-2024</t>
        </is>
      </c>
      <c r="B153" s="1" t="n">
        <v>45463.58829861111</v>
      </c>
      <c r="C153" s="1" t="n">
        <v>46181</v>
      </c>
      <c r="D153" t="inlineStr">
        <is>
          <t>VÄSTERBOTTENS LÄN</t>
        </is>
      </c>
      <c r="E153" t="inlineStr">
        <is>
          <t>ÅSELE</t>
        </is>
      </c>
      <c r="F153" t="inlineStr">
        <is>
          <t>Sveaskog</t>
        </is>
      </c>
      <c r="G153" t="n">
        <v>4.6</v>
      </c>
      <c r="H153" t="n">
        <v>0</v>
      </c>
      <c r="I153" t="n">
        <v>0</v>
      </c>
      <c r="J153" t="n">
        <v>0</v>
      </c>
      <c r="K153" t="n">
        <v>0</v>
      </c>
      <c r="L153" t="n">
        <v>0</v>
      </c>
      <c r="M153" t="n">
        <v>0</v>
      </c>
      <c r="N153" t="n">
        <v>0</v>
      </c>
      <c r="O153" t="n">
        <v>0</v>
      </c>
      <c r="P153" t="n">
        <v>0</v>
      </c>
      <c r="Q153" t="n">
        <v>0</v>
      </c>
      <c r="R153" s="2" t="inlineStr"/>
    </row>
    <row r="154" ht="15" customHeight="1">
      <c r="A154" t="inlineStr">
        <is>
          <t>A 52103-2023</t>
        </is>
      </c>
      <c r="B154" s="1" t="n">
        <v>45223</v>
      </c>
      <c r="C154" s="1" t="n">
        <v>46181</v>
      </c>
      <c r="D154" t="inlineStr">
        <is>
          <t>VÄSTERBOTTENS LÄN</t>
        </is>
      </c>
      <c r="E154" t="inlineStr">
        <is>
          <t>ÅSELE</t>
        </is>
      </c>
      <c r="F154" t="inlineStr">
        <is>
          <t>Holmen skog AB</t>
        </is>
      </c>
      <c r="G154" t="n">
        <v>4.1</v>
      </c>
      <c r="H154" t="n">
        <v>0</v>
      </c>
      <c r="I154" t="n">
        <v>0</v>
      </c>
      <c r="J154" t="n">
        <v>0</v>
      </c>
      <c r="K154" t="n">
        <v>0</v>
      </c>
      <c r="L154" t="n">
        <v>0</v>
      </c>
      <c r="M154" t="n">
        <v>0</v>
      </c>
      <c r="N154" t="n">
        <v>0</v>
      </c>
      <c r="O154" t="n">
        <v>0</v>
      </c>
      <c r="P154" t="n">
        <v>0</v>
      </c>
      <c r="Q154" t="n">
        <v>0</v>
      </c>
      <c r="R154" s="2" t="inlineStr"/>
    </row>
    <row r="155" ht="15" customHeight="1">
      <c r="A155" t="inlineStr">
        <is>
          <t>A 31183-2023</t>
        </is>
      </c>
      <c r="B155" s="1" t="n">
        <v>45113.94913194444</v>
      </c>
      <c r="C155" s="1" t="n">
        <v>46181</v>
      </c>
      <c r="D155" t="inlineStr">
        <is>
          <t>VÄSTERBOTTENS LÄN</t>
        </is>
      </c>
      <c r="E155" t="inlineStr">
        <is>
          <t>ÅSELE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4342-2023</t>
        </is>
      </c>
      <c r="B156" s="1" t="n">
        <v>44953.97421296296</v>
      </c>
      <c r="C156" s="1" t="n">
        <v>46181</v>
      </c>
      <c r="D156" t="inlineStr">
        <is>
          <t>VÄSTERBOTTENS LÄN</t>
        </is>
      </c>
      <c r="E156" t="inlineStr">
        <is>
          <t>ÅSELE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46181</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36164-2024</t>
        </is>
      </c>
      <c r="B158" s="1" t="n">
        <v>45534.3956712963</v>
      </c>
      <c r="C158" s="1" t="n">
        <v>46181</v>
      </c>
      <c r="D158" t="inlineStr">
        <is>
          <t>VÄSTERBOTTENS LÄN</t>
        </is>
      </c>
      <c r="E158" t="inlineStr">
        <is>
          <t>ÅSELE</t>
        </is>
      </c>
      <c r="F158" t="inlineStr">
        <is>
          <t>Sveaskog</t>
        </is>
      </c>
      <c r="G158" t="n">
        <v>31</v>
      </c>
      <c r="H158" t="n">
        <v>0</v>
      </c>
      <c r="I158" t="n">
        <v>0</v>
      </c>
      <c r="J158" t="n">
        <v>0</v>
      </c>
      <c r="K158" t="n">
        <v>0</v>
      </c>
      <c r="L158" t="n">
        <v>0</v>
      </c>
      <c r="M158" t="n">
        <v>0</v>
      </c>
      <c r="N158" t="n">
        <v>0</v>
      </c>
      <c r="O158" t="n">
        <v>0</v>
      </c>
      <c r="P158" t="n">
        <v>0</v>
      </c>
      <c r="Q158" t="n">
        <v>0</v>
      </c>
      <c r="R158" s="2" t="inlineStr"/>
    </row>
    <row r="159" ht="15" customHeight="1">
      <c r="A159" t="inlineStr">
        <is>
          <t>A 27436-2023</t>
        </is>
      </c>
      <c r="B159" s="1" t="n">
        <v>45092</v>
      </c>
      <c r="C159" s="1" t="n">
        <v>46181</v>
      </c>
      <c r="D159" t="inlineStr">
        <is>
          <t>VÄSTERBOTTENS LÄN</t>
        </is>
      </c>
      <c r="E159" t="inlineStr">
        <is>
          <t>ÅSELE</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25713-2024</t>
        </is>
      </c>
      <c r="B160" s="1" t="n">
        <v>45463</v>
      </c>
      <c r="C160" s="1" t="n">
        <v>46181</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46181</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42180-2021</t>
        </is>
      </c>
      <c r="B162" s="1" t="n">
        <v>44426.68600694444</v>
      </c>
      <c r="C162" s="1" t="n">
        <v>46181</v>
      </c>
      <c r="D162" t="inlineStr">
        <is>
          <t>VÄSTERBOTTENS LÄN</t>
        </is>
      </c>
      <c r="E162" t="inlineStr">
        <is>
          <t>ÅSELE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46181</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46181</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39450-2024</t>
        </is>
      </c>
      <c r="B165" s="1" t="n">
        <v>45551.61681712963</v>
      </c>
      <c r="C165" s="1" t="n">
        <v>46181</v>
      </c>
      <c r="D165" t="inlineStr">
        <is>
          <t>VÄSTERBOTTENS LÄN</t>
        </is>
      </c>
      <c r="E165" t="inlineStr">
        <is>
          <t>ÅSELE</t>
        </is>
      </c>
      <c r="G165" t="n">
        <v>1.8</v>
      </c>
      <c r="H165" t="n">
        <v>0</v>
      </c>
      <c r="I165" t="n">
        <v>0</v>
      </c>
      <c r="J165" t="n">
        <v>0</v>
      </c>
      <c r="K165" t="n">
        <v>0</v>
      </c>
      <c r="L165" t="n">
        <v>0</v>
      </c>
      <c r="M165" t="n">
        <v>0</v>
      </c>
      <c r="N165" t="n">
        <v>0</v>
      </c>
      <c r="O165" t="n">
        <v>0</v>
      </c>
      <c r="P165" t="n">
        <v>0</v>
      </c>
      <c r="Q165" t="n">
        <v>0</v>
      </c>
      <c r="R165" s="2" t="inlineStr"/>
    </row>
    <row r="166" ht="15" customHeight="1">
      <c r="A166" t="inlineStr">
        <is>
          <t>A 24444-2024</t>
        </is>
      </c>
      <c r="B166" s="1" t="n">
        <v>45457.96425925926</v>
      </c>
      <c r="C166" s="1" t="n">
        <v>46181</v>
      </c>
      <c r="D166" t="inlineStr">
        <is>
          <t>VÄSTERBOTTENS LÄN</t>
        </is>
      </c>
      <c r="E166" t="inlineStr">
        <is>
          <t>ÅSELE</t>
        </is>
      </c>
      <c r="F166" t="inlineStr">
        <is>
          <t>SCA</t>
        </is>
      </c>
      <c r="G166" t="n">
        <v>5.7</v>
      </c>
      <c r="H166" t="n">
        <v>0</v>
      </c>
      <c r="I166" t="n">
        <v>0</v>
      </c>
      <c r="J166" t="n">
        <v>0</v>
      </c>
      <c r="K166" t="n">
        <v>0</v>
      </c>
      <c r="L166" t="n">
        <v>0</v>
      </c>
      <c r="M166" t="n">
        <v>0</v>
      </c>
      <c r="N166" t="n">
        <v>0</v>
      </c>
      <c r="O166" t="n">
        <v>0</v>
      </c>
      <c r="P166" t="n">
        <v>0</v>
      </c>
      <c r="Q166" t="n">
        <v>0</v>
      </c>
      <c r="R166" s="2" t="inlineStr"/>
    </row>
    <row r="167" ht="15" customHeight="1">
      <c r="A167" t="inlineStr">
        <is>
          <t>A 22112-2024</t>
        </is>
      </c>
      <c r="B167" s="1" t="n">
        <v>45443</v>
      </c>
      <c r="C167" s="1" t="n">
        <v>46181</v>
      </c>
      <c r="D167" t="inlineStr">
        <is>
          <t>VÄSTERBOTTENS LÄN</t>
        </is>
      </c>
      <c r="E167" t="inlineStr">
        <is>
          <t>ÅSELE</t>
        </is>
      </c>
      <c r="F167" t="inlineStr">
        <is>
          <t>SCA</t>
        </is>
      </c>
      <c r="G167" t="n">
        <v>25.9</v>
      </c>
      <c r="H167" t="n">
        <v>0</v>
      </c>
      <c r="I167" t="n">
        <v>0</v>
      </c>
      <c r="J167" t="n">
        <v>0</v>
      </c>
      <c r="K167" t="n">
        <v>0</v>
      </c>
      <c r="L167" t="n">
        <v>0</v>
      </c>
      <c r="M167" t="n">
        <v>0</v>
      </c>
      <c r="N167" t="n">
        <v>0</v>
      </c>
      <c r="O167" t="n">
        <v>0</v>
      </c>
      <c r="P167" t="n">
        <v>0</v>
      </c>
      <c r="Q167" t="n">
        <v>0</v>
      </c>
      <c r="R167" s="2" t="inlineStr"/>
    </row>
    <row r="168" ht="15" customHeight="1">
      <c r="A168" t="inlineStr">
        <is>
          <t>A 38449-2025</t>
        </is>
      </c>
      <c r="B168" s="1" t="n">
        <v>45883.67765046296</v>
      </c>
      <c r="C168" s="1" t="n">
        <v>46181</v>
      </c>
      <c r="D168" t="inlineStr">
        <is>
          <t>VÄSTERBOTTENS LÄN</t>
        </is>
      </c>
      <c r="E168" t="inlineStr">
        <is>
          <t>ÅSELE</t>
        </is>
      </c>
      <c r="F168" t="inlineStr">
        <is>
          <t>SCA</t>
        </is>
      </c>
      <c r="G168" t="n">
        <v>6.4</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46181</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23737-2025</t>
        </is>
      </c>
      <c r="B170" s="1" t="n">
        <v>45793.42809027778</v>
      </c>
      <c r="C170" s="1" t="n">
        <v>46181</v>
      </c>
      <c r="D170" t="inlineStr">
        <is>
          <t>VÄSTERBOTTENS LÄN</t>
        </is>
      </c>
      <c r="E170" t="inlineStr">
        <is>
          <t>ÅSELE</t>
        </is>
      </c>
      <c r="F170" t="inlineStr">
        <is>
          <t>SCA</t>
        </is>
      </c>
      <c r="G170" t="n">
        <v>6.5</v>
      </c>
      <c r="H170" t="n">
        <v>0</v>
      </c>
      <c r="I170" t="n">
        <v>0</v>
      </c>
      <c r="J170" t="n">
        <v>0</v>
      </c>
      <c r="K170" t="n">
        <v>0</v>
      </c>
      <c r="L170" t="n">
        <v>0</v>
      </c>
      <c r="M170" t="n">
        <v>0</v>
      </c>
      <c r="N170" t="n">
        <v>0</v>
      </c>
      <c r="O170" t="n">
        <v>0</v>
      </c>
      <c r="P170" t="n">
        <v>0</v>
      </c>
      <c r="Q170" t="n">
        <v>0</v>
      </c>
      <c r="R170" s="2" t="inlineStr"/>
    </row>
    <row r="171" ht="15" customHeight="1">
      <c r="A171" t="inlineStr">
        <is>
          <t>A 16175-2025</t>
        </is>
      </c>
      <c r="B171" s="1" t="n">
        <v>45750.5587962963</v>
      </c>
      <c r="C171" s="1" t="n">
        <v>46181</v>
      </c>
      <c r="D171" t="inlineStr">
        <is>
          <t>VÄSTERBOTTENS LÄN</t>
        </is>
      </c>
      <c r="E171" t="inlineStr">
        <is>
          <t>ÅSELE</t>
        </is>
      </c>
      <c r="G171" t="n">
        <v>15.4</v>
      </c>
      <c r="H171" t="n">
        <v>0</v>
      </c>
      <c r="I171" t="n">
        <v>0</v>
      </c>
      <c r="J171" t="n">
        <v>0</v>
      </c>
      <c r="K171" t="n">
        <v>0</v>
      </c>
      <c r="L171" t="n">
        <v>0</v>
      </c>
      <c r="M171" t="n">
        <v>0</v>
      </c>
      <c r="N171" t="n">
        <v>0</v>
      </c>
      <c r="O171" t="n">
        <v>0</v>
      </c>
      <c r="P171" t="n">
        <v>0</v>
      </c>
      <c r="Q171" t="n">
        <v>0</v>
      </c>
      <c r="R171" s="2" t="inlineStr"/>
    </row>
    <row r="172" ht="15" customHeight="1">
      <c r="A172" t="inlineStr">
        <is>
          <t>A 38222-2025</t>
        </is>
      </c>
      <c r="B172" s="1" t="n">
        <v>45883.34452546296</v>
      </c>
      <c r="C172" s="1" t="n">
        <v>46181</v>
      </c>
      <c r="D172" t="inlineStr">
        <is>
          <t>VÄSTERBOTTENS LÄN</t>
        </is>
      </c>
      <c r="E172" t="inlineStr">
        <is>
          <t>ÅSELE</t>
        </is>
      </c>
      <c r="F172" t="inlineStr">
        <is>
          <t>SCA</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36852-2023</t>
        </is>
      </c>
      <c r="B173" s="1" t="n">
        <v>45154.54208333333</v>
      </c>
      <c r="C173" s="1" t="n">
        <v>46181</v>
      </c>
      <c r="D173" t="inlineStr">
        <is>
          <t>VÄSTERBOTTENS LÄN</t>
        </is>
      </c>
      <c r="E173" t="inlineStr">
        <is>
          <t>ÅSELE</t>
        </is>
      </c>
      <c r="F173" t="inlineStr">
        <is>
          <t>Holmen skog AB</t>
        </is>
      </c>
      <c r="G173" t="n">
        <v>11.8</v>
      </c>
      <c r="H173" t="n">
        <v>0</v>
      </c>
      <c r="I173" t="n">
        <v>0</v>
      </c>
      <c r="J173" t="n">
        <v>0</v>
      </c>
      <c r="K173" t="n">
        <v>0</v>
      </c>
      <c r="L173" t="n">
        <v>0</v>
      </c>
      <c r="M173" t="n">
        <v>0</v>
      </c>
      <c r="N173" t="n">
        <v>0</v>
      </c>
      <c r="O173" t="n">
        <v>0</v>
      </c>
      <c r="P173" t="n">
        <v>0</v>
      </c>
      <c r="Q173" t="n">
        <v>0</v>
      </c>
      <c r="R173" s="2" t="inlineStr"/>
    </row>
    <row r="174" ht="15" customHeight="1">
      <c r="A174" t="inlineStr">
        <is>
          <t>A 37822-2025</t>
        </is>
      </c>
      <c r="B174" s="1" t="n">
        <v>45881.40665509259</v>
      </c>
      <c r="C174" s="1" t="n">
        <v>46181</v>
      </c>
      <c r="D174" t="inlineStr">
        <is>
          <t>VÄSTERBOTTENS LÄN</t>
        </is>
      </c>
      <c r="E174" t="inlineStr">
        <is>
          <t>ÅSELE</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37849-2025</t>
        </is>
      </c>
      <c r="B175" s="1" t="n">
        <v>45881.44828703703</v>
      </c>
      <c r="C175" s="1" t="n">
        <v>46181</v>
      </c>
      <c r="D175" t="inlineStr">
        <is>
          <t>VÄSTERBOTTENS LÄN</t>
        </is>
      </c>
      <c r="E175" t="inlineStr">
        <is>
          <t>ÅSELE</t>
        </is>
      </c>
      <c r="F175" t="inlineStr">
        <is>
          <t>SCA</t>
        </is>
      </c>
      <c r="G175" t="n">
        <v>2.1</v>
      </c>
      <c r="H175" t="n">
        <v>0</v>
      </c>
      <c r="I175" t="n">
        <v>0</v>
      </c>
      <c r="J175" t="n">
        <v>0</v>
      </c>
      <c r="K175" t="n">
        <v>0</v>
      </c>
      <c r="L175" t="n">
        <v>0</v>
      </c>
      <c r="M175" t="n">
        <v>0</v>
      </c>
      <c r="N175" t="n">
        <v>0</v>
      </c>
      <c r="O175" t="n">
        <v>0</v>
      </c>
      <c r="P175" t="n">
        <v>0</v>
      </c>
      <c r="Q175" t="n">
        <v>0</v>
      </c>
      <c r="R175" s="2" t="inlineStr"/>
    </row>
    <row r="176" ht="15" customHeight="1">
      <c r="A176" t="inlineStr">
        <is>
          <t>A 34054-2023</t>
        </is>
      </c>
      <c r="B176" s="1" t="n">
        <v>45135.45417824074</v>
      </c>
      <c r="C176" s="1" t="n">
        <v>46181</v>
      </c>
      <c r="D176" t="inlineStr">
        <is>
          <t>VÄSTERBOTTENS LÄN</t>
        </is>
      </c>
      <c r="E176" t="inlineStr">
        <is>
          <t>ÅSELE</t>
        </is>
      </c>
      <c r="F176" t="inlineStr">
        <is>
          <t>Holmen skog AB</t>
        </is>
      </c>
      <c r="G176" t="n">
        <v>3</v>
      </c>
      <c r="H176" t="n">
        <v>0</v>
      </c>
      <c r="I176" t="n">
        <v>0</v>
      </c>
      <c r="J176" t="n">
        <v>0</v>
      </c>
      <c r="K176" t="n">
        <v>0</v>
      </c>
      <c r="L176" t="n">
        <v>0</v>
      </c>
      <c r="M176" t="n">
        <v>0</v>
      </c>
      <c r="N176" t="n">
        <v>0</v>
      </c>
      <c r="O176" t="n">
        <v>0</v>
      </c>
      <c r="P176" t="n">
        <v>0</v>
      </c>
      <c r="Q176" t="n">
        <v>0</v>
      </c>
      <c r="R176" s="2" t="inlineStr"/>
    </row>
    <row r="177" ht="15" customHeight="1">
      <c r="A177" t="inlineStr">
        <is>
          <t>A 63062-2023</t>
        </is>
      </c>
      <c r="B177" s="1" t="n">
        <v>45272</v>
      </c>
      <c r="C177" s="1" t="n">
        <v>46181</v>
      </c>
      <c r="D177" t="inlineStr">
        <is>
          <t>VÄSTERBOTTENS LÄN</t>
        </is>
      </c>
      <c r="E177" t="inlineStr">
        <is>
          <t>ÅSELE</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413-2026</t>
        </is>
      </c>
      <c r="B178" s="1" t="n">
        <v>46028.75300925926</v>
      </c>
      <c r="C178" s="1" t="n">
        <v>46181</v>
      </c>
      <c r="D178" t="inlineStr">
        <is>
          <t>VÄSTERBOTTENS LÄN</t>
        </is>
      </c>
      <c r="E178" t="inlineStr">
        <is>
          <t>ÅSELE</t>
        </is>
      </c>
      <c r="G178" t="n">
        <v>3.8</v>
      </c>
      <c r="H178" t="n">
        <v>0</v>
      </c>
      <c r="I178" t="n">
        <v>0</v>
      </c>
      <c r="J178" t="n">
        <v>0</v>
      </c>
      <c r="K178" t="n">
        <v>0</v>
      </c>
      <c r="L178" t="n">
        <v>0</v>
      </c>
      <c r="M178" t="n">
        <v>0</v>
      </c>
      <c r="N178" t="n">
        <v>0</v>
      </c>
      <c r="O178" t="n">
        <v>0</v>
      </c>
      <c r="P178" t="n">
        <v>0</v>
      </c>
      <c r="Q178" t="n">
        <v>0</v>
      </c>
      <c r="R178" s="2" t="inlineStr"/>
    </row>
    <row r="179" ht="15" customHeight="1">
      <c r="A179" t="inlineStr">
        <is>
          <t>A 34189-2021</t>
        </is>
      </c>
      <c r="B179" s="1" t="n">
        <v>44379.50560185185</v>
      </c>
      <c r="C179" s="1" t="n">
        <v>46181</v>
      </c>
      <c r="D179" t="inlineStr">
        <is>
          <t>VÄSTERBOTTENS LÄN</t>
        </is>
      </c>
      <c r="E179" t="inlineStr">
        <is>
          <t>ÅSELE</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29597-2024</t>
        </is>
      </c>
      <c r="B180" s="1" t="n">
        <v>45484.58983796297</v>
      </c>
      <c r="C180" s="1" t="n">
        <v>46181</v>
      </c>
      <c r="D180" t="inlineStr">
        <is>
          <t>VÄSTERBOTTENS LÄN</t>
        </is>
      </c>
      <c r="E180" t="inlineStr">
        <is>
          <t>ÅSELE</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22113-2024</t>
        </is>
      </c>
      <c r="B181" s="1" t="n">
        <v>45443</v>
      </c>
      <c r="C181" s="1" t="n">
        <v>46181</v>
      </c>
      <c r="D181" t="inlineStr">
        <is>
          <t>VÄSTERBOTTENS LÄN</t>
        </is>
      </c>
      <c r="E181" t="inlineStr">
        <is>
          <t>ÅSELE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54992-2024</t>
        </is>
      </c>
      <c r="B182" s="1" t="n">
        <v>45620.91673611111</v>
      </c>
      <c r="C182" s="1" t="n">
        <v>46181</v>
      </c>
      <c r="D182" t="inlineStr">
        <is>
          <t>VÄSTERBOTTENS LÄN</t>
        </is>
      </c>
      <c r="E182" t="inlineStr">
        <is>
          <t>ÅSELE</t>
        </is>
      </c>
      <c r="G182" t="n">
        <v>5.7</v>
      </c>
      <c r="H182" t="n">
        <v>0</v>
      </c>
      <c r="I182" t="n">
        <v>0</v>
      </c>
      <c r="J182" t="n">
        <v>0</v>
      </c>
      <c r="K182" t="n">
        <v>0</v>
      </c>
      <c r="L182" t="n">
        <v>0</v>
      </c>
      <c r="M182" t="n">
        <v>0</v>
      </c>
      <c r="N182" t="n">
        <v>0</v>
      </c>
      <c r="O182" t="n">
        <v>0</v>
      </c>
      <c r="P182" t="n">
        <v>0</v>
      </c>
      <c r="Q182" t="n">
        <v>0</v>
      </c>
      <c r="R182" s="2" t="inlineStr"/>
    </row>
    <row r="183" ht="15" customHeight="1">
      <c r="A183" t="inlineStr">
        <is>
          <t>A 11321-2023</t>
        </is>
      </c>
      <c r="B183" s="1" t="n">
        <v>44993.01305555556</v>
      </c>
      <c r="C183" s="1" t="n">
        <v>46181</v>
      </c>
      <c r="D183" t="inlineStr">
        <is>
          <t>VÄSTERBOTTENS LÄN</t>
        </is>
      </c>
      <c r="E183" t="inlineStr">
        <is>
          <t>ÅSELE</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1407-2023</t>
        </is>
      </c>
      <c r="B184" s="1" t="n">
        <v>44936</v>
      </c>
      <c r="C184" s="1" t="n">
        <v>46181</v>
      </c>
      <c r="D184" t="inlineStr">
        <is>
          <t>VÄSTERBOTTENS LÄN</t>
        </is>
      </c>
      <c r="E184" t="inlineStr">
        <is>
          <t>ÅSELE</t>
        </is>
      </c>
      <c r="G184" t="n">
        <v>11.5</v>
      </c>
      <c r="H184" t="n">
        <v>0</v>
      </c>
      <c r="I184" t="n">
        <v>0</v>
      </c>
      <c r="J184" t="n">
        <v>0</v>
      </c>
      <c r="K184" t="n">
        <v>0</v>
      </c>
      <c r="L184" t="n">
        <v>0</v>
      </c>
      <c r="M184" t="n">
        <v>0</v>
      </c>
      <c r="N184" t="n">
        <v>0</v>
      </c>
      <c r="O184" t="n">
        <v>0</v>
      </c>
      <c r="P184" t="n">
        <v>0</v>
      </c>
      <c r="Q184" t="n">
        <v>0</v>
      </c>
      <c r="R184" s="2" t="inlineStr"/>
    </row>
    <row r="185" ht="15" customHeight="1">
      <c r="A185" t="inlineStr">
        <is>
          <t>A 41399-2023</t>
        </is>
      </c>
      <c r="B185" s="1" t="n">
        <v>45174.93857638889</v>
      </c>
      <c r="C185" s="1" t="n">
        <v>46181</v>
      </c>
      <c r="D185" t="inlineStr">
        <is>
          <t>VÄSTERBOTTENS LÄN</t>
        </is>
      </c>
      <c r="E185" t="inlineStr">
        <is>
          <t>ÅSELE</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33524-2021</t>
        </is>
      </c>
      <c r="B186" s="1" t="n">
        <v>44377</v>
      </c>
      <c r="C186" s="1" t="n">
        <v>46181</v>
      </c>
      <c r="D186" t="inlineStr">
        <is>
          <t>VÄSTERBOTTENS LÄN</t>
        </is>
      </c>
      <c r="E186" t="inlineStr">
        <is>
          <t>ÅSELE</t>
        </is>
      </c>
      <c r="G186" t="n">
        <v>6.8</v>
      </c>
      <c r="H186" t="n">
        <v>0</v>
      </c>
      <c r="I186" t="n">
        <v>0</v>
      </c>
      <c r="J186" t="n">
        <v>0</v>
      </c>
      <c r="K186" t="n">
        <v>0</v>
      </c>
      <c r="L186" t="n">
        <v>0</v>
      </c>
      <c r="M186" t="n">
        <v>0</v>
      </c>
      <c r="N186" t="n">
        <v>0</v>
      </c>
      <c r="O186" t="n">
        <v>0</v>
      </c>
      <c r="P186" t="n">
        <v>0</v>
      </c>
      <c r="Q186" t="n">
        <v>0</v>
      </c>
      <c r="R186" s="2" t="inlineStr"/>
    </row>
    <row r="187" ht="15" customHeight="1">
      <c r="A187" t="inlineStr">
        <is>
          <t>A 30385-2024</t>
        </is>
      </c>
      <c r="B187" s="1" t="n">
        <v>45491.4734375</v>
      </c>
      <c r="C187" s="1" t="n">
        <v>46181</v>
      </c>
      <c r="D187" t="inlineStr">
        <is>
          <t>VÄSTERBOTTENS LÄN</t>
        </is>
      </c>
      <c r="E187" t="inlineStr">
        <is>
          <t>ÅSELE</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28977-2024</t>
        </is>
      </c>
      <c r="B188" s="1" t="n">
        <v>45481.46547453704</v>
      </c>
      <c r="C188" s="1" t="n">
        <v>46181</v>
      </c>
      <c r="D188" t="inlineStr">
        <is>
          <t>VÄSTERBOTTENS LÄN</t>
        </is>
      </c>
      <c r="E188" t="inlineStr">
        <is>
          <t>ÅSELE</t>
        </is>
      </c>
      <c r="F188" t="inlineStr">
        <is>
          <t>Sveaskog</t>
        </is>
      </c>
      <c r="G188" t="n">
        <v>5.4</v>
      </c>
      <c r="H188" t="n">
        <v>0</v>
      </c>
      <c r="I188" t="n">
        <v>0</v>
      </c>
      <c r="J188" t="n">
        <v>0</v>
      </c>
      <c r="K188" t="n">
        <v>0</v>
      </c>
      <c r="L188" t="n">
        <v>0</v>
      </c>
      <c r="M188" t="n">
        <v>0</v>
      </c>
      <c r="N188" t="n">
        <v>0</v>
      </c>
      <c r="O188" t="n">
        <v>0</v>
      </c>
      <c r="P188" t="n">
        <v>0</v>
      </c>
      <c r="Q188" t="n">
        <v>0</v>
      </c>
      <c r="R188" s="2" t="inlineStr"/>
    </row>
    <row r="189" ht="15" customHeight="1">
      <c r="A189" t="inlineStr">
        <is>
          <t>A 50308-2025</t>
        </is>
      </c>
      <c r="B189" s="1" t="n">
        <v>45944</v>
      </c>
      <c r="C189" s="1" t="n">
        <v>46181</v>
      </c>
      <c r="D189" t="inlineStr">
        <is>
          <t>VÄSTERBOTTENS LÄN</t>
        </is>
      </c>
      <c r="E189" t="inlineStr">
        <is>
          <t>ÅSELE</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22111-2024</t>
        </is>
      </c>
      <c r="B190" s="1" t="n">
        <v>45443</v>
      </c>
      <c r="C190" s="1" t="n">
        <v>46181</v>
      </c>
      <c r="D190" t="inlineStr">
        <is>
          <t>VÄSTERBOTTENS LÄN</t>
        </is>
      </c>
      <c r="E190" t="inlineStr">
        <is>
          <t>ÅSELE</t>
        </is>
      </c>
      <c r="F190" t="inlineStr">
        <is>
          <t>SCA</t>
        </is>
      </c>
      <c r="G190" t="n">
        <v>5.6</v>
      </c>
      <c r="H190" t="n">
        <v>0</v>
      </c>
      <c r="I190" t="n">
        <v>0</v>
      </c>
      <c r="J190" t="n">
        <v>0</v>
      </c>
      <c r="K190" t="n">
        <v>0</v>
      </c>
      <c r="L190" t="n">
        <v>0</v>
      </c>
      <c r="M190" t="n">
        <v>0</v>
      </c>
      <c r="N190" t="n">
        <v>0</v>
      </c>
      <c r="O190" t="n">
        <v>0</v>
      </c>
      <c r="P190" t="n">
        <v>0</v>
      </c>
      <c r="Q190" t="n">
        <v>0</v>
      </c>
      <c r="R190" s="2" t="inlineStr"/>
    </row>
    <row r="191" ht="15" customHeight="1">
      <c r="A191" t="inlineStr">
        <is>
          <t>A 28881-2024</t>
        </is>
      </c>
      <c r="B191" s="1" t="n">
        <v>45479</v>
      </c>
      <c r="C191" s="1" t="n">
        <v>46181</v>
      </c>
      <c r="D191" t="inlineStr">
        <is>
          <t>VÄSTERBOTTENS LÄN</t>
        </is>
      </c>
      <c r="E191" t="inlineStr">
        <is>
          <t>ÅSELE</t>
        </is>
      </c>
      <c r="G191" t="n">
        <v>3.6</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46181</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24654-2025</t>
        </is>
      </c>
      <c r="B193" s="1" t="n">
        <v>45798</v>
      </c>
      <c r="C193" s="1" t="n">
        <v>46181</v>
      </c>
      <c r="D193" t="inlineStr">
        <is>
          <t>VÄSTERBOTTENS LÄN</t>
        </is>
      </c>
      <c r="E193" t="inlineStr">
        <is>
          <t>ÅSELE</t>
        </is>
      </c>
      <c r="G193" t="n">
        <v>2.4</v>
      </c>
      <c r="H193" t="n">
        <v>0</v>
      </c>
      <c r="I193" t="n">
        <v>0</v>
      </c>
      <c r="J193" t="n">
        <v>0</v>
      </c>
      <c r="K193" t="n">
        <v>0</v>
      </c>
      <c r="L193" t="n">
        <v>0</v>
      </c>
      <c r="M193" t="n">
        <v>0</v>
      </c>
      <c r="N193" t="n">
        <v>0</v>
      </c>
      <c r="O193" t="n">
        <v>0</v>
      </c>
      <c r="P193" t="n">
        <v>0</v>
      </c>
      <c r="Q193" t="n">
        <v>0</v>
      </c>
      <c r="R193" s="2" t="inlineStr"/>
    </row>
    <row r="194" ht="15" customHeight="1">
      <c r="A194" t="inlineStr">
        <is>
          <t>A 37869-2025</t>
        </is>
      </c>
      <c r="B194" s="1" t="n">
        <v>45881.47364583334</v>
      </c>
      <c r="C194" s="1" t="n">
        <v>46181</v>
      </c>
      <c r="D194" t="inlineStr">
        <is>
          <t>VÄSTERBOTTENS LÄN</t>
        </is>
      </c>
      <c r="E194" t="inlineStr">
        <is>
          <t>ÅSELE</t>
        </is>
      </c>
      <c r="F194" t="inlineStr">
        <is>
          <t>Kommuner</t>
        </is>
      </c>
      <c r="G194" t="n">
        <v>5.6</v>
      </c>
      <c r="H194" t="n">
        <v>0</v>
      </c>
      <c r="I194" t="n">
        <v>0</v>
      </c>
      <c r="J194" t="n">
        <v>0</v>
      </c>
      <c r="K194" t="n">
        <v>0</v>
      </c>
      <c r="L194" t="n">
        <v>0</v>
      </c>
      <c r="M194" t="n">
        <v>0</v>
      </c>
      <c r="N194" t="n">
        <v>0</v>
      </c>
      <c r="O194" t="n">
        <v>0</v>
      </c>
      <c r="P194" t="n">
        <v>0</v>
      </c>
      <c r="Q194" t="n">
        <v>0</v>
      </c>
      <c r="R194" s="2" t="inlineStr"/>
    </row>
    <row r="195" ht="15" customHeight="1">
      <c r="A195" t="inlineStr">
        <is>
          <t>A 27951-2024</t>
        </is>
      </c>
      <c r="B195" s="1" t="n">
        <v>45476.32990740741</v>
      </c>
      <c r="C195" s="1" t="n">
        <v>46181</v>
      </c>
      <c r="D195" t="inlineStr">
        <is>
          <t>VÄSTERBOTTENS LÄN</t>
        </is>
      </c>
      <c r="E195" t="inlineStr">
        <is>
          <t>ÅSELE</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38224-2025</t>
        </is>
      </c>
      <c r="B196" s="1" t="n">
        <v>45883.34482638889</v>
      </c>
      <c r="C196" s="1" t="n">
        <v>46181</v>
      </c>
      <c r="D196" t="inlineStr">
        <is>
          <t>VÄSTERBOTTENS LÄN</t>
        </is>
      </c>
      <c r="E196" t="inlineStr">
        <is>
          <t>ÅSELE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2101-2026</t>
        </is>
      </c>
      <c r="B197" s="1" t="n">
        <v>46036.37449074074</v>
      </c>
      <c r="C197" s="1" t="n">
        <v>46181</v>
      </c>
      <c r="D197" t="inlineStr">
        <is>
          <t>VÄSTERBOTTENS LÄN</t>
        </is>
      </c>
      <c r="E197" t="inlineStr">
        <is>
          <t>ÅSELE</t>
        </is>
      </c>
      <c r="F197" t="inlineStr">
        <is>
          <t>Sveaskog</t>
        </is>
      </c>
      <c r="G197" t="n">
        <v>6.6</v>
      </c>
      <c r="H197" t="n">
        <v>0</v>
      </c>
      <c r="I197" t="n">
        <v>0</v>
      </c>
      <c r="J197" t="n">
        <v>0</v>
      </c>
      <c r="K197" t="n">
        <v>0</v>
      </c>
      <c r="L197" t="n">
        <v>0</v>
      </c>
      <c r="M197" t="n">
        <v>0</v>
      </c>
      <c r="N197" t="n">
        <v>0</v>
      </c>
      <c r="O197" t="n">
        <v>0</v>
      </c>
      <c r="P197" t="n">
        <v>0</v>
      </c>
      <c r="Q197" t="n">
        <v>0</v>
      </c>
      <c r="R197" s="2" t="inlineStr"/>
    </row>
    <row r="198" ht="15" customHeight="1">
      <c r="A198" t="inlineStr">
        <is>
          <t>A 2294-2026</t>
        </is>
      </c>
      <c r="B198" s="1" t="n">
        <v>46036.58723379629</v>
      </c>
      <c r="C198" s="1" t="n">
        <v>46181</v>
      </c>
      <c r="D198" t="inlineStr">
        <is>
          <t>VÄSTERBOTTENS LÄN</t>
        </is>
      </c>
      <c r="E198" t="inlineStr">
        <is>
          <t>ÅSELE</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1863-2026</t>
        </is>
      </c>
      <c r="B199" s="1" t="n">
        <v>46035.44826388889</v>
      </c>
      <c r="C199" s="1" t="n">
        <v>46181</v>
      </c>
      <c r="D199" t="inlineStr">
        <is>
          <t>VÄSTERBOTTENS LÄN</t>
        </is>
      </c>
      <c r="E199" t="inlineStr">
        <is>
          <t>ÅSELE</t>
        </is>
      </c>
      <c r="G199" t="n">
        <v>7</v>
      </c>
      <c r="H199" t="n">
        <v>0</v>
      </c>
      <c r="I199" t="n">
        <v>0</v>
      </c>
      <c r="J199" t="n">
        <v>0</v>
      </c>
      <c r="K199" t="n">
        <v>0</v>
      </c>
      <c r="L199" t="n">
        <v>0</v>
      </c>
      <c r="M199" t="n">
        <v>0</v>
      </c>
      <c r="N199" t="n">
        <v>0</v>
      </c>
      <c r="O199" t="n">
        <v>0</v>
      </c>
      <c r="P199" t="n">
        <v>0</v>
      </c>
      <c r="Q199" t="n">
        <v>0</v>
      </c>
      <c r="R199" s="2" t="inlineStr"/>
    </row>
    <row r="200" ht="15" customHeight="1">
      <c r="A200" t="inlineStr">
        <is>
          <t>A 9355-2023</t>
        </is>
      </c>
      <c r="B200" s="1" t="n">
        <v>44980.93821759259</v>
      </c>
      <c r="C200" s="1" t="n">
        <v>46181</v>
      </c>
      <c r="D200" t="inlineStr">
        <is>
          <t>VÄSTERBOTTENS LÄN</t>
        </is>
      </c>
      <c r="E200" t="inlineStr">
        <is>
          <t>ÅSELE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2100-2026</t>
        </is>
      </c>
      <c r="B201" s="1" t="n">
        <v>46036.37225694444</v>
      </c>
      <c r="C201" s="1" t="n">
        <v>46181</v>
      </c>
      <c r="D201" t="inlineStr">
        <is>
          <t>VÄSTERBOTTENS LÄN</t>
        </is>
      </c>
      <c r="E201" t="inlineStr">
        <is>
          <t>ÅSELE</t>
        </is>
      </c>
      <c r="F201" t="inlineStr">
        <is>
          <t>Sveaskog</t>
        </is>
      </c>
      <c r="G201" t="n">
        <v>12.3</v>
      </c>
      <c r="H201" t="n">
        <v>0</v>
      </c>
      <c r="I201" t="n">
        <v>0</v>
      </c>
      <c r="J201" t="n">
        <v>0</v>
      </c>
      <c r="K201" t="n">
        <v>0</v>
      </c>
      <c r="L201" t="n">
        <v>0</v>
      </c>
      <c r="M201" t="n">
        <v>0</v>
      </c>
      <c r="N201" t="n">
        <v>0</v>
      </c>
      <c r="O201" t="n">
        <v>0</v>
      </c>
      <c r="P201" t="n">
        <v>0</v>
      </c>
      <c r="Q201" t="n">
        <v>0</v>
      </c>
      <c r="R201" s="2" t="inlineStr"/>
    </row>
    <row r="202" ht="15" customHeight="1">
      <c r="A202" t="inlineStr">
        <is>
          <t>A 1225-2023</t>
        </is>
      </c>
      <c r="B202" s="1" t="n">
        <v>44935.97194444444</v>
      </c>
      <c r="C202" s="1" t="n">
        <v>46181</v>
      </c>
      <c r="D202" t="inlineStr">
        <is>
          <t>VÄSTERBOTTENS LÄN</t>
        </is>
      </c>
      <c r="E202" t="inlineStr">
        <is>
          <t>ÅSELE</t>
        </is>
      </c>
      <c r="F202" t="inlineStr">
        <is>
          <t>SCA</t>
        </is>
      </c>
      <c r="G202" t="n">
        <v>3.1</v>
      </c>
      <c r="H202" t="n">
        <v>0</v>
      </c>
      <c r="I202" t="n">
        <v>0</v>
      </c>
      <c r="J202" t="n">
        <v>0</v>
      </c>
      <c r="K202" t="n">
        <v>0</v>
      </c>
      <c r="L202" t="n">
        <v>0</v>
      </c>
      <c r="M202" t="n">
        <v>0</v>
      </c>
      <c r="N202" t="n">
        <v>0</v>
      </c>
      <c r="O202" t="n">
        <v>0</v>
      </c>
      <c r="P202" t="n">
        <v>0</v>
      </c>
      <c r="Q202" t="n">
        <v>0</v>
      </c>
      <c r="R202" s="2" t="inlineStr"/>
    </row>
    <row r="203" ht="15" customHeight="1">
      <c r="A203" t="inlineStr">
        <is>
          <t>A 2321-2026</t>
        </is>
      </c>
      <c r="B203" s="1" t="n">
        <v>46036.603125</v>
      </c>
      <c r="C203" s="1" t="n">
        <v>46181</v>
      </c>
      <c r="D203" t="inlineStr">
        <is>
          <t>VÄSTERBOTTENS LÄN</t>
        </is>
      </c>
      <c r="E203" t="inlineStr">
        <is>
          <t>ÅSELE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28939-2024</t>
        </is>
      </c>
      <c r="B204" s="1" t="n">
        <v>45481.37263888889</v>
      </c>
      <c r="C204" s="1" t="n">
        <v>46181</v>
      </c>
      <c r="D204" t="inlineStr">
        <is>
          <t>VÄSTERBOTTENS LÄN</t>
        </is>
      </c>
      <c r="E204" t="inlineStr">
        <is>
          <t>ÅSELE</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39196-2025</t>
        </is>
      </c>
      <c r="B205" s="1" t="n">
        <v>45888.69388888889</v>
      </c>
      <c r="C205" s="1" t="n">
        <v>46181</v>
      </c>
      <c r="D205" t="inlineStr">
        <is>
          <t>VÄSTERBOTTENS LÄN</t>
        </is>
      </c>
      <c r="E205" t="inlineStr">
        <is>
          <t>ÅSELE</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25377-2025</t>
        </is>
      </c>
      <c r="B206" s="1" t="n">
        <v>45800.63631944444</v>
      </c>
      <c r="C206" s="1" t="n">
        <v>46181</v>
      </c>
      <c r="D206" t="inlineStr">
        <is>
          <t>VÄSTERBOTTENS LÄN</t>
        </is>
      </c>
      <c r="E206" t="inlineStr">
        <is>
          <t>ÅSELE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2378-2026</t>
        </is>
      </c>
      <c r="B207" s="1" t="n">
        <v>46036.65756944445</v>
      </c>
      <c r="C207" s="1" t="n">
        <v>46181</v>
      </c>
      <c r="D207" t="inlineStr">
        <is>
          <t>VÄSTERBOTTENS LÄN</t>
        </is>
      </c>
      <c r="E207" t="inlineStr">
        <is>
          <t>ÅSELE</t>
        </is>
      </c>
      <c r="F207" t="inlineStr">
        <is>
          <t>Sveaskog</t>
        </is>
      </c>
      <c r="G207" t="n">
        <v>17.1</v>
      </c>
      <c r="H207" t="n">
        <v>0</v>
      </c>
      <c r="I207" t="n">
        <v>0</v>
      </c>
      <c r="J207" t="n">
        <v>0</v>
      </c>
      <c r="K207" t="n">
        <v>0</v>
      </c>
      <c r="L207" t="n">
        <v>0</v>
      </c>
      <c r="M207" t="n">
        <v>0</v>
      </c>
      <c r="N207" t="n">
        <v>0</v>
      </c>
      <c r="O207" t="n">
        <v>0</v>
      </c>
      <c r="P207" t="n">
        <v>0</v>
      </c>
      <c r="Q207" t="n">
        <v>0</v>
      </c>
      <c r="R207" s="2" t="inlineStr"/>
    </row>
    <row r="208" ht="15" customHeight="1">
      <c r="A208" t="inlineStr">
        <is>
          <t>A 48044-2024</t>
        </is>
      </c>
      <c r="B208" s="1" t="n">
        <v>45589</v>
      </c>
      <c r="C208" s="1" t="n">
        <v>46181</v>
      </c>
      <c r="D208" t="inlineStr">
        <is>
          <t>VÄSTERBOTTENS LÄN</t>
        </is>
      </c>
      <c r="E208" t="inlineStr">
        <is>
          <t>ÅSELE</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32058-2024</t>
        </is>
      </c>
      <c r="B209" s="1" t="n">
        <v>45510</v>
      </c>
      <c r="C209" s="1" t="n">
        <v>46181</v>
      </c>
      <c r="D209" t="inlineStr">
        <is>
          <t>VÄSTERBOTTENS LÄN</t>
        </is>
      </c>
      <c r="E209" t="inlineStr">
        <is>
          <t>ÅSELE</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48051-2024</t>
        </is>
      </c>
      <c r="B210" s="1" t="n">
        <v>45589</v>
      </c>
      <c r="C210" s="1" t="n">
        <v>46181</v>
      </c>
      <c r="D210" t="inlineStr">
        <is>
          <t>VÄSTERBOTTENS LÄN</t>
        </is>
      </c>
      <c r="E210" t="inlineStr">
        <is>
          <t>ÅSELE</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46181</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27946-2024</t>
        </is>
      </c>
      <c r="B212" s="1" t="n">
        <v>45476.31981481481</v>
      </c>
      <c r="C212" s="1" t="n">
        <v>46181</v>
      </c>
      <c r="D212" t="inlineStr">
        <is>
          <t>VÄSTERBOTTENS LÄN</t>
        </is>
      </c>
      <c r="E212" t="inlineStr">
        <is>
          <t>ÅSELE</t>
        </is>
      </c>
      <c r="F212" t="inlineStr">
        <is>
          <t>Sveaskog</t>
        </is>
      </c>
      <c r="G212" t="n">
        <v>7.5</v>
      </c>
      <c r="H212" t="n">
        <v>0</v>
      </c>
      <c r="I212" t="n">
        <v>0</v>
      </c>
      <c r="J212" t="n">
        <v>0</v>
      </c>
      <c r="K212" t="n">
        <v>0</v>
      </c>
      <c r="L212" t="n">
        <v>0</v>
      </c>
      <c r="M212" t="n">
        <v>0</v>
      </c>
      <c r="N212" t="n">
        <v>0</v>
      </c>
      <c r="O212" t="n">
        <v>0</v>
      </c>
      <c r="P212" t="n">
        <v>0</v>
      </c>
      <c r="Q212" t="n">
        <v>0</v>
      </c>
      <c r="R212" s="2" t="inlineStr"/>
    </row>
    <row r="213" ht="15" customHeight="1">
      <c r="A213" t="inlineStr">
        <is>
          <t>A 51405-2024</t>
        </is>
      </c>
      <c r="B213" s="1" t="n">
        <v>45604</v>
      </c>
      <c r="C213" s="1" t="n">
        <v>46181</v>
      </c>
      <c r="D213" t="inlineStr">
        <is>
          <t>VÄSTERBOTTENS LÄN</t>
        </is>
      </c>
      <c r="E213" t="inlineStr">
        <is>
          <t>ÅSELE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30167-2025</t>
        </is>
      </c>
      <c r="B214" s="1" t="n">
        <v>45827</v>
      </c>
      <c r="C214" s="1" t="n">
        <v>46181</v>
      </c>
      <c r="D214" t="inlineStr">
        <is>
          <t>VÄSTERBOTTENS LÄN</t>
        </is>
      </c>
      <c r="E214" t="inlineStr">
        <is>
          <t>ÅSELE</t>
        </is>
      </c>
      <c r="G214" t="n">
        <v>3.1</v>
      </c>
      <c r="H214" t="n">
        <v>0</v>
      </c>
      <c r="I214" t="n">
        <v>0</v>
      </c>
      <c r="J214" t="n">
        <v>0</v>
      </c>
      <c r="K214" t="n">
        <v>0</v>
      </c>
      <c r="L214" t="n">
        <v>0</v>
      </c>
      <c r="M214" t="n">
        <v>0</v>
      </c>
      <c r="N214" t="n">
        <v>0</v>
      </c>
      <c r="O214" t="n">
        <v>0</v>
      </c>
      <c r="P214" t="n">
        <v>0</v>
      </c>
      <c r="Q214" t="n">
        <v>0</v>
      </c>
      <c r="R214" s="2" t="inlineStr"/>
    </row>
    <row r="215" ht="15" customHeight="1">
      <c r="A215" t="inlineStr">
        <is>
          <t>A 25417-2025</t>
        </is>
      </c>
      <c r="B215" s="1" t="n">
        <v>45800.67762731481</v>
      </c>
      <c r="C215" s="1" t="n">
        <v>46181</v>
      </c>
      <c r="D215" t="inlineStr">
        <is>
          <t>VÄSTERBOTTENS LÄN</t>
        </is>
      </c>
      <c r="E215" t="inlineStr">
        <is>
          <t>ÅSELE</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45311-2024</t>
        </is>
      </c>
      <c r="B216" s="1" t="n">
        <v>45576.43226851852</v>
      </c>
      <c r="C216" s="1" t="n">
        <v>46181</v>
      </c>
      <c r="D216" t="inlineStr">
        <is>
          <t>VÄSTERBOTTENS LÄN</t>
        </is>
      </c>
      <c r="E216" t="inlineStr">
        <is>
          <t>ÅSELE</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18936-2025</t>
        </is>
      </c>
      <c r="B217" s="1" t="n">
        <v>45764.48995370371</v>
      </c>
      <c r="C217" s="1" t="n">
        <v>46181</v>
      </c>
      <c r="D217" t="inlineStr">
        <is>
          <t>VÄSTERBOTTENS LÄN</t>
        </is>
      </c>
      <c r="E217" t="inlineStr">
        <is>
          <t>ÅSELE</t>
        </is>
      </c>
      <c r="F217" t="inlineStr">
        <is>
          <t>SCA</t>
        </is>
      </c>
      <c r="G217" t="n">
        <v>6.1</v>
      </c>
      <c r="H217" t="n">
        <v>0</v>
      </c>
      <c r="I217" t="n">
        <v>0</v>
      </c>
      <c r="J217" t="n">
        <v>0</v>
      </c>
      <c r="K217" t="n">
        <v>0</v>
      </c>
      <c r="L217" t="n">
        <v>0</v>
      </c>
      <c r="M217" t="n">
        <v>0</v>
      </c>
      <c r="N217" t="n">
        <v>0</v>
      </c>
      <c r="O217" t="n">
        <v>0</v>
      </c>
      <c r="P217" t="n">
        <v>0</v>
      </c>
      <c r="Q217" t="n">
        <v>0</v>
      </c>
      <c r="R217" s="2" t="inlineStr"/>
    </row>
    <row r="218" ht="15" customHeight="1">
      <c r="A218" t="inlineStr">
        <is>
          <t>A 2763-2026</t>
        </is>
      </c>
      <c r="B218" s="1" t="n">
        <v>46038.34892361111</v>
      </c>
      <c r="C218" s="1" t="n">
        <v>46181</v>
      </c>
      <c r="D218" t="inlineStr">
        <is>
          <t>VÄSTERBOTTENS LÄN</t>
        </is>
      </c>
      <c r="E218" t="inlineStr">
        <is>
          <t>ÅSELE</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25411-2025</t>
        </is>
      </c>
      <c r="B219" s="1" t="n">
        <v>45800.66145833334</v>
      </c>
      <c r="C219" s="1" t="n">
        <v>46181</v>
      </c>
      <c r="D219" t="inlineStr">
        <is>
          <t>VÄSTERBOTTENS LÄN</t>
        </is>
      </c>
      <c r="E219" t="inlineStr">
        <is>
          <t>ÅSELE</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24762-2025</t>
        </is>
      </c>
      <c r="B220" s="1" t="n">
        <v>45799.38585648148</v>
      </c>
      <c r="C220" s="1" t="n">
        <v>46181</v>
      </c>
      <c r="D220" t="inlineStr">
        <is>
          <t>VÄSTERBOTTENS LÄN</t>
        </is>
      </c>
      <c r="E220" t="inlineStr">
        <is>
          <t>ÅSELE</t>
        </is>
      </c>
      <c r="F220" t="inlineStr">
        <is>
          <t>SCA</t>
        </is>
      </c>
      <c r="G220" t="n">
        <v>12</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46181</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38197-2024</t>
        </is>
      </c>
      <c r="B222" s="1" t="n">
        <v>45545</v>
      </c>
      <c r="C222" s="1" t="n">
        <v>46181</v>
      </c>
      <c r="D222" t="inlineStr">
        <is>
          <t>VÄSTERBOTTENS LÄN</t>
        </is>
      </c>
      <c r="E222" t="inlineStr">
        <is>
          <t>ÅSELE</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3063-2024</t>
        </is>
      </c>
      <c r="B223" s="1" t="n">
        <v>45316</v>
      </c>
      <c r="C223" s="1" t="n">
        <v>46181</v>
      </c>
      <c r="D223" t="inlineStr">
        <is>
          <t>VÄSTERBOTTENS LÄN</t>
        </is>
      </c>
      <c r="E223" t="inlineStr">
        <is>
          <t>ÅSELE</t>
        </is>
      </c>
      <c r="G223" t="n">
        <v>0.5</v>
      </c>
      <c r="H223" t="n">
        <v>0</v>
      </c>
      <c r="I223" t="n">
        <v>0</v>
      </c>
      <c r="J223" t="n">
        <v>0</v>
      </c>
      <c r="K223" t="n">
        <v>0</v>
      </c>
      <c r="L223" t="n">
        <v>0</v>
      </c>
      <c r="M223" t="n">
        <v>0</v>
      </c>
      <c r="N223" t="n">
        <v>0</v>
      </c>
      <c r="O223" t="n">
        <v>0</v>
      </c>
      <c r="P223" t="n">
        <v>0</v>
      </c>
      <c r="Q223" t="n">
        <v>0</v>
      </c>
      <c r="R223" s="2" t="inlineStr"/>
    </row>
    <row r="224" ht="15" customHeight="1">
      <c r="A224" t="inlineStr">
        <is>
          <t>A 39109-2025</t>
        </is>
      </c>
      <c r="B224" s="1" t="n">
        <v>45888.53960648148</v>
      </c>
      <c r="C224" s="1" t="n">
        <v>46181</v>
      </c>
      <c r="D224" t="inlineStr">
        <is>
          <t>VÄSTERBOTTENS LÄN</t>
        </is>
      </c>
      <c r="E224" t="inlineStr">
        <is>
          <t>ÅSELE</t>
        </is>
      </c>
      <c r="G224" t="n">
        <v>7.1</v>
      </c>
      <c r="H224" t="n">
        <v>0</v>
      </c>
      <c r="I224" t="n">
        <v>0</v>
      </c>
      <c r="J224" t="n">
        <v>0</v>
      </c>
      <c r="K224" t="n">
        <v>0</v>
      </c>
      <c r="L224" t="n">
        <v>0</v>
      </c>
      <c r="M224" t="n">
        <v>0</v>
      </c>
      <c r="N224" t="n">
        <v>0</v>
      </c>
      <c r="O224" t="n">
        <v>0</v>
      </c>
      <c r="P224" t="n">
        <v>0</v>
      </c>
      <c r="Q224" t="n">
        <v>0</v>
      </c>
      <c r="R224" s="2" t="inlineStr"/>
    </row>
    <row r="225" ht="15" customHeight="1">
      <c r="A225" t="inlineStr">
        <is>
          <t>A 24744-2025</t>
        </is>
      </c>
      <c r="B225" s="1" t="n">
        <v>45799</v>
      </c>
      <c r="C225" s="1" t="n">
        <v>46181</v>
      </c>
      <c r="D225" t="inlineStr">
        <is>
          <t>VÄSTERBOTTENS LÄN</t>
        </is>
      </c>
      <c r="E225" t="inlineStr">
        <is>
          <t>ÅSELE</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39111-2025</t>
        </is>
      </c>
      <c r="B226" s="1" t="n">
        <v>45888.54513888889</v>
      </c>
      <c r="C226" s="1" t="n">
        <v>46181</v>
      </c>
      <c r="D226" t="inlineStr">
        <is>
          <t>VÄSTERBOTTENS LÄN</t>
        </is>
      </c>
      <c r="E226" t="inlineStr">
        <is>
          <t>ÅSELE</t>
        </is>
      </c>
      <c r="G226" t="n">
        <v>1.4</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46181</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39472-2025</t>
        </is>
      </c>
      <c r="B228" s="1" t="n">
        <v>45890.34418981482</v>
      </c>
      <c r="C228" s="1" t="n">
        <v>46181</v>
      </c>
      <c r="D228" t="inlineStr">
        <is>
          <t>VÄSTERBOTTENS LÄN</t>
        </is>
      </c>
      <c r="E228" t="inlineStr">
        <is>
          <t>ÅSELE</t>
        </is>
      </c>
      <c r="F228" t="inlineStr">
        <is>
          <t>SCA</t>
        </is>
      </c>
      <c r="G228" t="n">
        <v>8.6</v>
      </c>
      <c r="H228" t="n">
        <v>0</v>
      </c>
      <c r="I228" t="n">
        <v>0</v>
      </c>
      <c r="J228" t="n">
        <v>0</v>
      </c>
      <c r="K228" t="n">
        <v>0</v>
      </c>
      <c r="L228" t="n">
        <v>0</v>
      </c>
      <c r="M228" t="n">
        <v>0</v>
      </c>
      <c r="N228" t="n">
        <v>0</v>
      </c>
      <c r="O228" t="n">
        <v>0</v>
      </c>
      <c r="P228" t="n">
        <v>0</v>
      </c>
      <c r="Q228" t="n">
        <v>0</v>
      </c>
      <c r="R228" s="2" t="inlineStr"/>
    </row>
    <row r="229" ht="15" customHeight="1">
      <c r="A229" t="inlineStr">
        <is>
          <t>A 39248-2025</t>
        </is>
      </c>
      <c r="B229" s="1" t="n">
        <v>45889.3547800926</v>
      </c>
      <c r="C229" s="1" t="n">
        <v>46181</v>
      </c>
      <c r="D229" t="inlineStr">
        <is>
          <t>VÄSTERBOTTENS LÄN</t>
        </is>
      </c>
      <c r="E229" t="inlineStr">
        <is>
          <t>ÅSELE</t>
        </is>
      </c>
      <c r="G229" t="n">
        <v>1.6</v>
      </c>
      <c r="H229" t="n">
        <v>0</v>
      </c>
      <c r="I229" t="n">
        <v>0</v>
      </c>
      <c r="J229" t="n">
        <v>0</v>
      </c>
      <c r="K229" t="n">
        <v>0</v>
      </c>
      <c r="L229" t="n">
        <v>0</v>
      </c>
      <c r="M229" t="n">
        <v>0</v>
      </c>
      <c r="N229" t="n">
        <v>0</v>
      </c>
      <c r="O229" t="n">
        <v>0</v>
      </c>
      <c r="P229" t="n">
        <v>0</v>
      </c>
      <c r="Q229" t="n">
        <v>0</v>
      </c>
      <c r="R229" s="2" t="inlineStr"/>
    </row>
    <row r="230" ht="15" customHeight="1">
      <c r="A230" t="inlineStr">
        <is>
          <t>A 30058-2024</t>
        </is>
      </c>
      <c r="B230" s="1" t="n">
        <v>45488.94793981482</v>
      </c>
      <c r="C230" s="1" t="n">
        <v>46181</v>
      </c>
      <c r="D230" t="inlineStr">
        <is>
          <t>VÄSTERBOTTENS LÄN</t>
        </is>
      </c>
      <c r="E230" t="inlineStr">
        <is>
          <t>ÅSELE</t>
        </is>
      </c>
      <c r="F230" t="inlineStr">
        <is>
          <t>SCA</t>
        </is>
      </c>
      <c r="G230" t="n">
        <v>7.6</v>
      </c>
      <c r="H230" t="n">
        <v>0</v>
      </c>
      <c r="I230" t="n">
        <v>0</v>
      </c>
      <c r="J230" t="n">
        <v>0</v>
      </c>
      <c r="K230" t="n">
        <v>0</v>
      </c>
      <c r="L230" t="n">
        <v>0</v>
      </c>
      <c r="M230" t="n">
        <v>0</v>
      </c>
      <c r="N230" t="n">
        <v>0</v>
      </c>
      <c r="O230" t="n">
        <v>0</v>
      </c>
      <c r="P230" t="n">
        <v>0</v>
      </c>
      <c r="Q230" t="n">
        <v>0</v>
      </c>
      <c r="R230" s="2" t="inlineStr"/>
    </row>
    <row r="231" ht="15" customHeight="1">
      <c r="A231" t="inlineStr">
        <is>
          <t>A 39251-2025</t>
        </is>
      </c>
      <c r="B231" s="1" t="n">
        <v>45889.36145833333</v>
      </c>
      <c r="C231" s="1" t="n">
        <v>46181</v>
      </c>
      <c r="D231" t="inlineStr">
        <is>
          <t>VÄSTERBOTTENS LÄN</t>
        </is>
      </c>
      <c r="E231" t="inlineStr">
        <is>
          <t>ÅSELE</t>
        </is>
      </c>
      <c r="G231" t="n">
        <v>1.7</v>
      </c>
      <c r="H231" t="n">
        <v>0</v>
      </c>
      <c r="I231" t="n">
        <v>0</v>
      </c>
      <c r="J231" t="n">
        <v>0</v>
      </c>
      <c r="K231" t="n">
        <v>0</v>
      </c>
      <c r="L231" t="n">
        <v>0</v>
      </c>
      <c r="M231" t="n">
        <v>0</v>
      </c>
      <c r="N231" t="n">
        <v>0</v>
      </c>
      <c r="O231" t="n">
        <v>0</v>
      </c>
      <c r="P231" t="n">
        <v>0</v>
      </c>
      <c r="Q231" t="n">
        <v>0</v>
      </c>
      <c r="R231" s="2" t="inlineStr"/>
    </row>
    <row r="232" ht="15" customHeight="1">
      <c r="A232" t="inlineStr">
        <is>
          <t>A 5641-2022</t>
        </is>
      </c>
      <c r="B232" s="1" t="n">
        <v>44595.92319444445</v>
      </c>
      <c r="C232" s="1" t="n">
        <v>46181</v>
      </c>
      <c r="D232" t="inlineStr">
        <is>
          <t>VÄSTERBOTTENS LÄN</t>
        </is>
      </c>
      <c r="E232" t="inlineStr">
        <is>
          <t>ÅSELE</t>
        </is>
      </c>
      <c r="G232" t="n">
        <v>0.9</v>
      </c>
      <c r="H232" t="n">
        <v>0</v>
      </c>
      <c r="I232" t="n">
        <v>0</v>
      </c>
      <c r="J232" t="n">
        <v>0</v>
      </c>
      <c r="K232" t="n">
        <v>0</v>
      </c>
      <c r="L232" t="n">
        <v>0</v>
      </c>
      <c r="M232" t="n">
        <v>0</v>
      </c>
      <c r="N232" t="n">
        <v>0</v>
      </c>
      <c r="O232" t="n">
        <v>0</v>
      </c>
      <c r="P232" t="n">
        <v>0</v>
      </c>
      <c r="Q232" t="n">
        <v>0</v>
      </c>
      <c r="R232" s="2" t="inlineStr"/>
    </row>
    <row r="233" ht="15" customHeight="1">
      <c r="A233" t="inlineStr">
        <is>
          <t>A 39557-2025</t>
        </is>
      </c>
      <c r="B233" s="1" t="n">
        <v>45890</v>
      </c>
      <c r="C233" s="1" t="n">
        <v>46181</v>
      </c>
      <c r="D233" t="inlineStr">
        <is>
          <t>VÄSTERBOTTENS LÄN</t>
        </is>
      </c>
      <c r="E233" t="inlineStr">
        <is>
          <t>ÅSELE</t>
        </is>
      </c>
      <c r="F233" t="inlineStr">
        <is>
          <t>SCA</t>
        </is>
      </c>
      <c r="G233" t="n">
        <v>5.8</v>
      </c>
      <c r="H233" t="n">
        <v>0</v>
      </c>
      <c r="I233" t="n">
        <v>0</v>
      </c>
      <c r="J233" t="n">
        <v>0</v>
      </c>
      <c r="K233" t="n">
        <v>0</v>
      </c>
      <c r="L233" t="n">
        <v>0</v>
      </c>
      <c r="M233" t="n">
        <v>0</v>
      </c>
      <c r="N233" t="n">
        <v>0</v>
      </c>
      <c r="O233" t="n">
        <v>0</v>
      </c>
      <c r="P233" t="n">
        <v>0</v>
      </c>
      <c r="Q233" t="n">
        <v>0</v>
      </c>
      <c r="R233" s="2" t="inlineStr"/>
    </row>
    <row r="234" ht="15" customHeight="1">
      <c r="A234" t="inlineStr">
        <is>
          <t>A 56572-2022</t>
        </is>
      </c>
      <c r="B234" s="1" t="n">
        <v>44888</v>
      </c>
      <c r="C234" s="1" t="n">
        <v>46181</v>
      </c>
      <c r="D234" t="inlineStr">
        <is>
          <t>VÄSTERBOTTENS LÄN</t>
        </is>
      </c>
      <c r="E234" t="inlineStr">
        <is>
          <t>ÅSELE</t>
        </is>
      </c>
      <c r="G234" t="n">
        <v>1.1</v>
      </c>
      <c r="H234" t="n">
        <v>0</v>
      </c>
      <c r="I234" t="n">
        <v>0</v>
      </c>
      <c r="J234" t="n">
        <v>0</v>
      </c>
      <c r="K234" t="n">
        <v>0</v>
      </c>
      <c r="L234" t="n">
        <v>0</v>
      </c>
      <c r="M234" t="n">
        <v>0</v>
      </c>
      <c r="N234" t="n">
        <v>0</v>
      </c>
      <c r="O234" t="n">
        <v>0</v>
      </c>
      <c r="P234" t="n">
        <v>0</v>
      </c>
      <c r="Q234" t="n">
        <v>0</v>
      </c>
      <c r="R234" s="2" t="inlineStr"/>
    </row>
    <row r="235" ht="15" customHeight="1">
      <c r="A235" t="inlineStr">
        <is>
          <t>A 39431-2025</t>
        </is>
      </c>
      <c r="B235" s="1" t="n">
        <v>45889</v>
      </c>
      <c r="C235" s="1" t="n">
        <v>46181</v>
      </c>
      <c r="D235" t="inlineStr">
        <is>
          <t>VÄSTERBOTTENS LÄN</t>
        </is>
      </c>
      <c r="E235" t="inlineStr">
        <is>
          <t>ÅSELE</t>
        </is>
      </c>
      <c r="F235" t="inlineStr">
        <is>
          <t>SCA</t>
        </is>
      </c>
      <c r="G235" t="n">
        <v>14.4</v>
      </c>
      <c r="H235" t="n">
        <v>0</v>
      </c>
      <c r="I235" t="n">
        <v>0</v>
      </c>
      <c r="J235" t="n">
        <v>0</v>
      </c>
      <c r="K235" t="n">
        <v>0</v>
      </c>
      <c r="L235" t="n">
        <v>0</v>
      </c>
      <c r="M235" t="n">
        <v>0</v>
      </c>
      <c r="N235" t="n">
        <v>0</v>
      </c>
      <c r="O235" t="n">
        <v>0</v>
      </c>
      <c r="P235" t="n">
        <v>0</v>
      </c>
      <c r="Q235" t="n">
        <v>0</v>
      </c>
      <c r="R235" s="2" t="inlineStr"/>
    </row>
    <row r="236" ht="15" customHeight="1">
      <c r="A236" t="inlineStr">
        <is>
          <t>A 39437-2025</t>
        </is>
      </c>
      <c r="B236" s="1" t="n">
        <v>45889.67877314815</v>
      </c>
      <c r="C236" s="1" t="n">
        <v>46181</v>
      </c>
      <c r="D236" t="inlineStr">
        <is>
          <t>VÄSTERBOTTENS LÄN</t>
        </is>
      </c>
      <c r="E236" t="inlineStr">
        <is>
          <t>ÅSELE</t>
        </is>
      </c>
      <c r="F236" t="inlineStr">
        <is>
          <t>SCA</t>
        </is>
      </c>
      <c r="G236" t="n">
        <v>4.6</v>
      </c>
      <c r="H236" t="n">
        <v>0</v>
      </c>
      <c r="I236" t="n">
        <v>0</v>
      </c>
      <c r="J236" t="n">
        <v>0</v>
      </c>
      <c r="K236" t="n">
        <v>0</v>
      </c>
      <c r="L236" t="n">
        <v>0</v>
      </c>
      <c r="M236" t="n">
        <v>0</v>
      </c>
      <c r="N236" t="n">
        <v>0</v>
      </c>
      <c r="O236" t="n">
        <v>0</v>
      </c>
      <c r="P236" t="n">
        <v>0</v>
      </c>
      <c r="Q236" t="n">
        <v>0</v>
      </c>
      <c r="R236" s="2" t="inlineStr"/>
    </row>
    <row r="237" ht="15" customHeight="1">
      <c r="A237" t="inlineStr">
        <is>
          <t>A 33194-2024</t>
        </is>
      </c>
      <c r="B237" s="1" t="n">
        <v>45518</v>
      </c>
      <c r="C237" s="1" t="n">
        <v>46181</v>
      </c>
      <c r="D237" t="inlineStr">
        <is>
          <t>VÄSTERBOTTENS LÄN</t>
        </is>
      </c>
      <c r="E237" t="inlineStr">
        <is>
          <t>ÅSELE</t>
        </is>
      </c>
      <c r="G237" t="n">
        <v>2.7</v>
      </c>
      <c r="H237" t="n">
        <v>0</v>
      </c>
      <c r="I237" t="n">
        <v>0</v>
      </c>
      <c r="J237" t="n">
        <v>0</v>
      </c>
      <c r="K237" t="n">
        <v>0</v>
      </c>
      <c r="L237" t="n">
        <v>0</v>
      </c>
      <c r="M237" t="n">
        <v>0</v>
      </c>
      <c r="N237" t="n">
        <v>0</v>
      </c>
      <c r="O237" t="n">
        <v>0</v>
      </c>
      <c r="P237" t="n">
        <v>0</v>
      </c>
      <c r="Q237" t="n">
        <v>0</v>
      </c>
      <c r="R237" s="2" t="inlineStr"/>
    </row>
    <row r="238" ht="15" customHeight="1">
      <c r="A238" t="inlineStr">
        <is>
          <t>A 48328-2024</t>
        </is>
      </c>
      <c r="B238" s="1" t="n">
        <v>45590</v>
      </c>
      <c r="C238" s="1" t="n">
        <v>46181</v>
      </c>
      <c r="D238" t="inlineStr">
        <is>
          <t>VÄSTERBOTTENS LÄN</t>
        </is>
      </c>
      <c r="E238" t="inlineStr">
        <is>
          <t>ÅSELE</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39556-2025</t>
        </is>
      </c>
      <c r="B239" s="1" t="n">
        <v>45890</v>
      </c>
      <c r="C239" s="1" t="n">
        <v>46181</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39647-2025</t>
        </is>
      </c>
      <c r="B240" s="1" t="n">
        <v>45890</v>
      </c>
      <c r="C240" s="1" t="n">
        <v>46181</v>
      </c>
      <c r="D240" t="inlineStr">
        <is>
          <t>VÄSTERBOTTENS LÄN</t>
        </is>
      </c>
      <c r="E240" t="inlineStr">
        <is>
          <t>ÅSELE</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40969-2024</t>
        </is>
      </c>
      <c r="B241" s="1" t="n">
        <v>45558</v>
      </c>
      <c r="C241" s="1" t="n">
        <v>46181</v>
      </c>
      <c r="D241" t="inlineStr">
        <is>
          <t>VÄSTERBOTTENS LÄN</t>
        </is>
      </c>
      <c r="E241" t="inlineStr">
        <is>
          <t>ÅSELE</t>
        </is>
      </c>
      <c r="F241" t="inlineStr">
        <is>
          <t>Sveaskog</t>
        </is>
      </c>
      <c r="G241" t="n">
        <v>14.2</v>
      </c>
      <c r="H241" t="n">
        <v>0</v>
      </c>
      <c r="I241" t="n">
        <v>0</v>
      </c>
      <c r="J241" t="n">
        <v>0</v>
      </c>
      <c r="K241" t="n">
        <v>0</v>
      </c>
      <c r="L241" t="n">
        <v>0</v>
      </c>
      <c r="M241" t="n">
        <v>0</v>
      </c>
      <c r="N241" t="n">
        <v>0</v>
      </c>
      <c r="O241" t="n">
        <v>0</v>
      </c>
      <c r="P241" t="n">
        <v>0</v>
      </c>
      <c r="Q241" t="n">
        <v>0</v>
      </c>
      <c r="R241" s="2" t="inlineStr"/>
    </row>
    <row r="242" ht="15" customHeight="1">
      <c r="A242" t="inlineStr">
        <is>
          <t>A 38590-2021</t>
        </is>
      </c>
      <c r="B242" s="1" t="n">
        <v>44407</v>
      </c>
      <c r="C242" s="1" t="n">
        <v>46181</v>
      </c>
      <c r="D242" t="inlineStr">
        <is>
          <t>VÄSTERBOTTENS LÄN</t>
        </is>
      </c>
      <c r="E242" t="inlineStr">
        <is>
          <t>ÅSELE</t>
        </is>
      </c>
      <c r="F242" t="inlineStr">
        <is>
          <t>SCA</t>
        </is>
      </c>
      <c r="G242" t="n">
        <v>107.3</v>
      </c>
      <c r="H242" t="n">
        <v>0</v>
      </c>
      <c r="I242" t="n">
        <v>0</v>
      </c>
      <c r="J242" t="n">
        <v>0</v>
      </c>
      <c r="K242" t="n">
        <v>0</v>
      </c>
      <c r="L242" t="n">
        <v>0</v>
      </c>
      <c r="M242" t="n">
        <v>0</v>
      </c>
      <c r="N242" t="n">
        <v>0</v>
      </c>
      <c r="O242" t="n">
        <v>0</v>
      </c>
      <c r="P242" t="n">
        <v>0</v>
      </c>
      <c r="Q242" t="n">
        <v>0</v>
      </c>
      <c r="R242" s="2" t="inlineStr"/>
    </row>
    <row r="243" ht="15" customHeight="1">
      <c r="A243" t="inlineStr">
        <is>
          <t>A 40124-2025</t>
        </is>
      </c>
      <c r="B243" s="1" t="n">
        <v>45894.53172453704</v>
      </c>
      <c r="C243" s="1" t="n">
        <v>46181</v>
      </c>
      <c r="D243" t="inlineStr">
        <is>
          <t>VÄSTERBOTTENS LÄN</t>
        </is>
      </c>
      <c r="E243" t="inlineStr">
        <is>
          <t>ÅSELE</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40035-2025</t>
        </is>
      </c>
      <c r="B244" s="1" t="n">
        <v>45894.38201388889</v>
      </c>
      <c r="C244" s="1" t="n">
        <v>46181</v>
      </c>
      <c r="D244" t="inlineStr">
        <is>
          <t>VÄSTERBOTTENS LÄN</t>
        </is>
      </c>
      <c r="E244" t="inlineStr">
        <is>
          <t>ÅSELE</t>
        </is>
      </c>
      <c r="G244" t="n">
        <v>3.3</v>
      </c>
      <c r="H244" t="n">
        <v>0</v>
      </c>
      <c r="I244" t="n">
        <v>0</v>
      </c>
      <c r="J244" t="n">
        <v>0</v>
      </c>
      <c r="K244" t="n">
        <v>0</v>
      </c>
      <c r="L244" t="n">
        <v>0</v>
      </c>
      <c r="M244" t="n">
        <v>0</v>
      </c>
      <c r="N244" t="n">
        <v>0</v>
      </c>
      <c r="O244" t="n">
        <v>0</v>
      </c>
      <c r="P244" t="n">
        <v>0</v>
      </c>
      <c r="Q244" t="n">
        <v>0</v>
      </c>
      <c r="R244" s="2" t="inlineStr"/>
    </row>
    <row r="245" ht="15" customHeight="1">
      <c r="A245" t="inlineStr">
        <is>
          <t>A 34236-2023</t>
        </is>
      </c>
      <c r="B245" s="1" t="n">
        <v>45127</v>
      </c>
      <c r="C245" s="1" t="n">
        <v>46181</v>
      </c>
      <c r="D245" t="inlineStr">
        <is>
          <t>VÄSTERBOTTENS LÄN</t>
        </is>
      </c>
      <c r="E245" t="inlineStr">
        <is>
          <t>ÅSELE</t>
        </is>
      </c>
      <c r="F245" t="inlineStr">
        <is>
          <t>Kommuner</t>
        </is>
      </c>
      <c r="G245" t="n">
        <v>0.7</v>
      </c>
      <c r="H245" t="n">
        <v>0</v>
      </c>
      <c r="I245" t="n">
        <v>0</v>
      </c>
      <c r="J245" t="n">
        <v>0</v>
      </c>
      <c r="K245" t="n">
        <v>0</v>
      </c>
      <c r="L245" t="n">
        <v>0</v>
      </c>
      <c r="M245" t="n">
        <v>0</v>
      </c>
      <c r="N245" t="n">
        <v>0</v>
      </c>
      <c r="O245" t="n">
        <v>0</v>
      </c>
      <c r="P245" t="n">
        <v>0</v>
      </c>
      <c r="Q245" t="n">
        <v>0</v>
      </c>
      <c r="R245" s="2" t="inlineStr"/>
    </row>
    <row r="246" ht="15" customHeight="1">
      <c r="A246" t="inlineStr">
        <is>
          <t>A 42910-2024</t>
        </is>
      </c>
      <c r="B246" s="1" t="n">
        <v>45566.94626157408</v>
      </c>
      <c r="C246" s="1" t="n">
        <v>46181</v>
      </c>
      <c r="D246" t="inlineStr">
        <is>
          <t>VÄSTERBOTTENS LÄN</t>
        </is>
      </c>
      <c r="E246" t="inlineStr">
        <is>
          <t>ÅSELE</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40223-2025</t>
        </is>
      </c>
      <c r="B247" s="1" t="n">
        <v>45894.69829861111</v>
      </c>
      <c r="C247" s="1" t="n">
        <v>46181</v>
      </c>
      <c r="D247" t="inlineStr">
        <is>
          <t>VÄSTERBOTTENS LÄN</t>
        </is>
      </c>
      <c r="E247" t="inlineStr">
        <is>
          <t>ÅSELE</t>
        </is>
      </c>
      <c r="F247" t="inlineStr">
        <is>
          <t>SCA</t>
        </is>
      </c>
      <c r="G247" t="n">
        <v>11.6</v>
      </c>
      <c r="H247" t="n">
        <v>0</v>
      </c>
      <c r="I247" t="n">
        <v>0</v>
      </c>
      <c r="J247" t="n">
        <v>0</v>
      </c>
      <c r="K247" t="n">
        <v>0</v>
      </c>
      <c r="L247" t="n">
        <v>0</v>
      </c>
      <c r="M247" t="n">
        <v>0</v>
      </c>
      <c r="N247" t="n">
        <v>0</v>
      </c>
      <c r="O247" t="n">
        <v>0</v>
      </c>
      <c r="P247" t="n">
        <v>0</v>
      </c>
      <c r="Q247" t="n">
        <v>0</v>
      </c>
      <c r="R247" s="2" t="inlineStr"/>
    </row>
    <row r="248" ht="15" customHeight="1">
      <c r="A248" t="inlineStr">
        <is>
          <t>A 40028-2025</t>
        </is>
      </c>
      <c r="B248" s="1" t="n">
        <v>45894.37039351852</v>
      </c>
      <c r="C248" s="1" t="n">
        <v>46181</v>
      </c>
      <c r="D248" t="inlineStr">
        <is>
          <t>VÄSTERBOTTENS LÄN</t>
        </is>
      </c>
      <c r="E248" t="inlineStr">
        <is>
          <t>ÅSELE</t>
        </is>
      </c>
      <c r="G248" t="n">
        <v>5.3</v>
      </c>
      <c r="H248" t="n">
        <v>0</v>
      </c>
      <c r="I248" t="n">
        <v>0</v>
      </c>
      <c r="J248" t="n">
        <v>0</v>
      </c>
      <c r="K248" t="n">
        <v>0</v>
      </c>
      <c r="L248" t="n">
        <v>0</v>
      </c>
      <c r="M248" t="n">
        <v>0</v>
      </c>
      <c r="N248" t="n">
        <v>0</v>
      </c>
      <c r="O248" t="n">
        <v>0</v>
      </c>
      <c r="P248" t="n">
        <v>0</v>
      </c>
      <c r="Q248" t="n">
        <v>0</v>
      </c>
      <c r="R248" s="2" t="inlineStr"/>
    </row>
    <row r="249" ht="15" customHeight="1">
      <c r="A249" t="inlineStr">
        <is>
          <t>A 39978-2025</t>
        </is>
      </c>
      <c r="B249" s="1" t="n">
        <v>45893.69837962963</v>
      </c>
      <c r="C249" s="1" t="n">
        <v>46181</v>
      </c>
      <c r="D249" t="inlineStr">
        <is>
          <t>VÄSTERBOTTENS LÄN</t>
        </is>
      </c>
      <c r="E249" t="inlineStr">
        <is>
          <t>ÅSELE</t>
        </is>
      </c>
      <c r="F249" t="inlineStr">
        <is>
          <t>SCA</t>
        </is>
      </c>
      <c r="G249" t="n">
        <v>5.2</v>
      </c>
      <c r="H249" t="n">
        <v>0</v>
      </c>
      <c r="I249" t="n">
        <v>0</v>
      </c>
      <c r="J249" t="n">
        <v>0</v>
      </c>
      <c r="K249" t="n">
        <v>0</v>
      </c>
      <c r="L249" t="n">
        <v>0</v>
      </c>
      <c r="M249" t="n">
        <v>0</v>
      </c>
      <c r="N249" t="n">
        <v>0</v>
      </c>
      <c r="O249" t="n">
        <v>0</v>
      </c>
      <c r="P249" t="n">
        <v>0</v>
      </c>
      <c r="Q249" t="n">
        <v>0</v>
      </c>
      <c r="R249" s="2" t="inlineStr"/>
    </row>
    <row r="250" ht="15" customHeight="1">
      <c r="A250" t="inlineStr">
        <is>
          <t>A 61397-2022</t>
        </is>
      </c>
      <c r="B250" s="1" t="n">
        <v>44915.94381944444</v>
      </c>
      <c r="C250" s="1" t="n">
        <v>46181</v>
      </c>
      <c r="D250" t="inlineStr">
        <is>
          <t>VÄSTERBOTTENS LÄN</t>
        </is>
      </c>
      <c r="E250" t="inlineStr">
        <is>
          <t>ÅSELE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10082-2023</t>
        </is>
      </c>
      <c r="B251" s="1" t="n">
        <v>44985</v>
      </c>
      <c r="C251" s="1" t="n">
        <v>46181</v>
      </c>
      <c r="D251" t="inlineStr">
        <is>
          <t>VÄSTERBOTTENS LÄN</t>
        </is>
      </c>
      <c r="E251" t="inlineStr">
        <is>
          <t>ÅSELE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11291-2023</t>
        </is>
      </c>
      <c r="B252" s="1" t="n">
        <v>44992</v>
      </c>
      <c r="C252" s="1" t="n">
        <v>46181</v>
      </c>
      <c r="D252" t="inlineStr">
        <is>
          <t>VÄSTERBOTTENS LÄN</t>
        </is>
      </c>
      <c r="E252" t="inlineStr">
        <is>
          <t>ÅSELE</t>
        </is>
      </c>
      <c r="G252" t="n">
        <v>0.5</v>
      </c>
      <c r="H252" t="n">
        <v>0</v>
      </c>
      <c r="I252" t="n">
        <v>0</v>
      </c>
      <c r="J252" t="n">
        <v>0</v>
      </c>
      <c r="K252" t="n">
        <v>0</v>
      </c>
      <c r="L252" t="n">
        <v>0</v>
      </c>
      <c r="M252" t="n">
        <v>0</v>
      </c>
      <c r="N252" t="n">
        <v>0</v>
      </c>
      <c r="O252" t="n">
        <v>0</v>
      </c>
      <c r="P252" t="n">
        <v>0</v>
      </c>
      <c r="Q252" t="n">
        <v>0</v>
      </c>
      <c r="R252" s="2" t="inlineStr"/>
    </row>
    <row r="253" ht="15" customHeight="1">
      <c r="A253" t="inlineStr">
        <is>
          <t>A 39971-2025</t>
        </is>
      </c>
      <c r="B253" s="1" t="n">
        <v>45892.69835648148</v>
      </c>
      <c r="C253" s="1" t="n">
        <v>46181</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40125-2025</t>
        </is>
      </c>
      <c r="B254" s="1" t="n">
        <v>45894.53178240741</v>
      </c>
      <c r="C254" s="1" t="n">
        <v>46181</v>
      </c>
      <c r="D254" t="inlineStr">
        <is>
          <t>VÄSTERBOTTENS LÄN</t>
        </is>
      </c>
      <c r="E254" t="inlineStr">
        <is>
          <t>ÅSELE</t>
        </is>
      </c>
      <c r="F254" t="inlineStr">
        <is>
          <t>SCA</t>
        </is>
      </c>
      <c r="G254" t="n">
        <v>5.7</v>
      </c>
      <c r="H254" t="n">
        <v>0</v>
      </c>
      <c r="I254" t="n">
        <v>0</v>
      </c>
      <c r="J254" t="n">
        <v>0</v>
      </c>
      <c r="K254" t="n">
        <v>0</v>
      </c>
      <c r="L254" t="n">
        <v>0</v>
      </c>
      <c r="M254" t="n">
        <v>0</v>
      </c>
      <c r="N254" t="n">
        <v>0</v>
      </c>
      <c r="O254" t="n">
        <v>0</v>
      </c>
      <c r="P254" t="n">
        <v>0</v>
      </c>
      <c r="Q254" t="n">
        <v>0</v>
      </c>
      <c r="R254" s="2" t="inlineStr"/>
    </row>
    <row r="255" ht="15" customHeight="1">
      <c r="A255" t="inlineStr">
        <is>
          <t>A 47616-2023</t>
        </is>
      </c>
      <c r="B255" s="1" t="n">
        <v>45198</v>
      </c>
      <c r="C255" s="1" t="n">
        <v>46181</v>
      </c>
      <c r="D255" t="inlineStr">
        <is>
          <t>VÄSTERBOTTENS LÄN</t>
        </is>
      </c>
      <c r="E255" t="inlineStr">
        <is>
          <t>ÅSELE</t>
        </is>
      </c>
      <c r="G255" t="n">
        <v>1.5</v>
      </c>
      <c r="H255" t="n">
        <v>0</v>
      </c>
      <c r="I255" t="n">
        <v>0</v>
      </c>
      <c r="J255" t="n">
        <v>0</v>
      </c>
      <c r="K255" t="n">
        <v>0</v>
      </c>
      <c r="L255" t="n">
        <v>0</v>
      </c>
      <c r="M255" t="n">
        <v>0</v>
      </c>
      <c r="N255" t="n">
        <v>0</v>
      </c>
      <c r="O255" t="n">
        <v>0</v>
      </c>
      <c r="P255" t="n">
        <v>0</v>
      </c>
      <c r="Q255" t="n">
        <v>0</v>
      </c>
      <c r="R255" s="2" t="inlineStr"/>
    </row>
    <row r="256" ht="15" customHeight="1">
      <c r="A256" t="inlineStr">
        <is>
          <t>A 40479-2025</t>
        </is>
      </c>
      <c r="B256" s="1" t="n">
        <v>45895.72991898148</v>
      </c>
      <c r="C256" s="1" t="n">
        <v>46181</v>
      </c>
      <c r="D256" t="inlineStr">
        <is>
          <t>VÄSTERBOTTENS LÄN</t>
        </is>
      </c>
      <c r="E256" t="inlineStr">
        <is>
          <t>ÅSELE</t>
        </is>
      </c>
      <c r="F256" t="inlineStr">
        <is>
          <t>Naturvårdsverket</t>
        </is>
      </c>
      <c r="G256" t="n">
        <v>4.4</v>
      </c>
      <c r="H256" t="n">
        <v>0</v>
      </c>
      <c r="I256" t="n">
        <v>0</v>
      </c>
      <c r="J256" t="n">
        <v>0</v>
      </c>
      <c r="K256" t="n">
        <v>0</v>
      </c>
      <c r="L256" t="n">
        <v>0</v>
      </c>
      <c r="M256" t="n">
        <v>0</v>
      </c>
      <c r="N256" t="n">
        <v>0</v>
      </c>
      <c r="O256" t="n">
        <v>0</v>
      </c>
      <c r="P256" t="n">
        <v>0</v>
      </c>
      <c r="Q256" t="n">
        <v>0</v>
      </c>
      <c r="R256" s="2" t="inlineStr"/>
    </row>
    <row r="257" ht="15" customHeight="1">
      <c r="A257" t="inlineStr">
        <is>
          <t>A 40349-2025</t>
        </is>
      </c>
      <c r="B257" s="1" t="n">
        <v>45895.48251157408</v>
      </c>
      <c r="C257" s="1" t="n">
        <v>46181</v>
      </c>
      <c r="D257" t="inlineStr">
        <is>
          <t>VÄSTERBOTTENS LÄN</t>
        </is>
      </c>
      <c r="E257" t="inlineStr">
        <is>
          <t>ÅSELE</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40454-2025</t>
        </is>
      </c>
      <c r="B258" s="1" t="n">
        <v>45895.63664351852</v>
      </c>
      <c r="C258" s="1" t="n">
        <v>46181</v>
      </c>
      <c r="D258" t="inlineStr">
        <is>
          <t>VÄSTERBOTTENS LÄN</t>
        </is>
      </c>
      <c r="E258" t="inlineStr">
        <is>
          <t>ÅSELE</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40350-2025</t>
        </is>
      </c>
      <c r="B259" s="1" t="n">
        <v>45895.48373842592</v>
      </c>
      <c r="C259" s="1" t="n">
        <v>46181</v>
      </c>
      <c r="D259" t="inlineStr">
        <is>
          <t>VÄSTERBOTTENS LÄN</t>
        </is>
      </c>
      <c r="E259" t="inlineStr">
        <is>
          <t>ÅSELE</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10582-2023</t>
        </is>
      </c>
      <c r="B260" s="1" t="n">
        <v>44984</v>
      </c>
      <c r="C260" s="1" t="n">
        <v>46181</v>
      </c>
      <c r="D260" t="inlineStr">
        <is>
          <t>VÄSTERBOTTENS LÄN</t>
        </is>
      </c>
      <c r="E260" t="inlineStr">
        <is>
          <t>ÅSELE</t>
        </is>
      </c>
      <c r="G260" t="n">
        <v>1.9</v>
      </c>
      <c r="H260" t="n">
        <v>0</v>
      </c>
      <c r="I260" t="n">
        <v>0</v>
      </c>
      <c r="J260" t="n">
        <v>0</v>
      </c>
      <c r="K260" t="n">
        <v>0</v>
      </c>
      <c r="L260" t="n">
        <v>0</v>
      </c>
      <c r="M260" t="n">
        <v>0</v>
      </c>
      <c r="N260" t="n">
        <v>0</v>
      </c>
      <c r="O260" t="n">
        <v>0</v>
      </c>
      <c r="P260" t="n">
        <v>0</v>
      </c>
      <c r="Q260" t="n">
        <v>0</v>
      </c>
      <c r="R260" s="2" t="inlineStr"/>
    </row>
    <row r="261" ht="15" customHeight="1">
      <c r="A261" t="inlineStr">
        <is>
          <t>A 56646-2022</t>
        </is>
      </c>
      <c r="B261" s="1" t="n">
        <v>44888</v>
      </c>
      <c r="C261" s="1" t="n">
        <v>46181</v>
      </c>
      <c r="D261" t="inlineStr">
        <is>
          <t>VÄSTERBOTTENS LÄN</t>
        </is>
      </c>
      <c r="E261" t="inlineStr">
        <is>
          <t>ÅSELE</t>
        </is>
      </c>
      <c r="G261" t="n">
        <v>5.1</v>
      </c>
      <c r="H261" t="n">
        <v>0</v>
      </c>
      <c r="I261" t="n">
        <v>0</v>
      </c>
      <c r="J261" t="n">
        <v>0</v>
      </c>
      <c r="K261" t="n">
        <v>0</v>
      </c>
      <c r="L261" t="n">
        <v>0</v>
      </c>
      <c r="M261" t="n">
        <v>0</v>
      </c>
      <c r="N261" t="n">
        <v>0</v>
      </c>
      <c r="O261" t="n">
        <v>0</v>
      </c>
      <c r="P261" t="n">
        <v>0</v>
      </c>
      <c r="Q261" t="n">
        <v>0</v>
      </c>
      <c r="R261" s="2" t="inlineStr"/>
    </row>
    <row r="262" ht="15" customHeight="1">
      <c r="A262" t="inlineStr">
        <is>
          <t>A 60873-2022</t>
        </is>
      </c>
      <c r="B262" s="1" t="n">
        <v>44908</v>
      </c>
      <c r="C262" s="1" t="n">
        <v>46181</v>
      </c>
      <c r="D262" t="inlineStr">
        <is>
          <t>VÄSTERBOTTENS LÄN</t>
        </is>
      </c>
      <c r="E262" t="inlineStr">
        <is>
          <t>ÅSELE</t>
        </is>
      </c>
      <c r="G262" t="n">
        <v>1.6</v>
      </c>
      <c r="H262" t="n">
        <v>0</v>
      </c>
      <c r="I262" t="n">
        <v>0</v>
      </c>
      <c r="J262" t="n">
        <v>0</v>
      </c>
      <c r="K262" t="n">
        <v>0</v>
      </c>
      <c r="L262" t="n">
        <v>0</v>
      </c>
      <c r="M262" t="n">
        <v>0</v>
      </c>
      <c r="N262" t="n">
        <v>0</v>
      </c>
      <c r="O262" t="n">
        <v>0</v>
      </c>
      <c r="P262" t="n">
        <v>0</v>
      </c>
      <c r="Q262" t="n">
        <v>0</v>
      </c>
      <c r="R262" s="2" t="inlineStr"/>
    </row>
    <row r="263" ht="15" customHeight="1">
      <c r="A263" t="inlineStr">
        <is>
          <t>A 28936-2024</t>
        </is>
      </c>
      <c r="B263" s="1" t="n">
        <v>45481</v>
      </c>
      <c r="C263" s="1" t="n">
        <v>46181</v>
      </c>
      <c r="D263" t="inlineStr">
        <is>
          <t>VÄSTERBOTTENS LÄN</t>
        </is>
      </c>
      <c r="E263" t="inlineStr">
        <is>
          <t>ÅSELE</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26113-2025</t>
        </is>
      </c>
      <c r="B264" s="1" t="n">
        <v>45805.36946759259</v>
      </c>
      <c r="C264" s="1" t="n">
        <v>46181</v>
      </c>
      <c r="D264" t="inlineStr">
        <is>
          <t>VÄSTERBOTTENS LÄN</t>
        </is>
      </c>
      <c r="E264" t="inlineStr">
        <is>
          <t>ÅSELE</t>
        </is>
      </c>
      <c r="F264" t="inlineStr">
        <is>
          <t>Sveaskog</t>
        </is>
      </c>
      <c r="G264" t="n">
        <v>45.5</v>
      </c>
      <c r="H264" t="n">
        <v>0</v>
      </c>
      <c r="I264" t="n">
        <v>0</v>
      </c>
      <c r="J264" t="n">
        <v>0</v>
      </c>
      <c r="K264" t="n">
        <v>0</v>
      </c>
      <c r="L264" t="n">
        <v>0</v>
      </c>
      <c r="M264" t="n">
        <v>0</v>
      </c>
      <c r="N264" t="n">
        <v>0</v>
      </c>
      <c r="O264" t="n">
        <v>0</v>
      </c>
      <c r="P264" t="n">
        <v>0</v>
      </c>
      <c r="Q264" t="n">
        <v>0</v>
      </c>
      <c r="R264" s="2" t="inlineStr"/>
    </row>
    <row r="265" ht="15" customHeight="1">
      <c r="A265" t="inlineStr">
        <is>
          <t>A 2891-2025</t>
        </is>
      </c>
      <c r="B265" s="1" t="n">
        <v>45677</v>
      </c>
      <c r="C265" s="1" t="n">
        <v>46181</v>
      </c>
      <c r="D265" t="inlineStr">
        <is>
          <t>VÄSTERBOTTENS LÄN</t>
        </is>
      </c>
      <c r="E265" t="inlineStr">
        <is>
          <t>ÅSELE</t>
        </is>
      </c>
      <c r="G265" t="n">
        <v>4.2</v>
      </c>
      <c r="H265" t="n">
        <v>0</v>
      </c>
      <c r="I265" t="n">
        <v>0</v>
      </c>
      <c r="J265" t="n">
        <v>0</v>
      </c>
      <c r="K265" t="n">
        <v>0</v>
      </c>
      <c r="L265" t="n">
        <v>0</v>
      </c>
      <c r="M265" t="n">
        <v>0</v>
      </c>
      <c r="N265" t="n">
        <v>0</v>
      </c>
      <c r="O265" t="n">
        <v>0</v>
      </c>
      <c r="P265" t="n">
        <v>0</v>
      </c>
      <c r="Q265" t="n">
        <v>0</v>
      </c>
      <c r="R265" s="2" t="inlineStr"/>
    </row>
    <row r="266" ht="15" customHeight="1">
      <c r="A266" t="inlineStr">
        <is>
          <t>A 26159-2025</t>
        </is>
      </c>
      <c r="B266" s="1" t="n">
        <v>45805.44869212963</v>
      </c>
      <c r="C266" s="1" t="n">
        <v>46181</v>
      </c>
      <c r="D266" t="inlineStr">
        <is>
          <t>VÄSTERBOTTENS LÄN</t>
        </is>
      </c>
      <c r="E266" t="inlineStr">
        <is>
          <t>ÅSELE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26104-2025</t>
        </is>
      </c>
      <c r="B267" s="1" t="n">
        <v>45805.36008101852</v>
      </c>
      <c r="C267" s="1" t="n">
        <v>46181</v>
      </c>
      <c r="D267" t="inlineStr">
        <is>
          <t>VÄSTERBOTTENS LÄN</t>
        </is>
      </c>
      <c r="E267" t="inlineStr">
        <is>
          <t>ÅSELE</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41160-2025</t>
        </is>
      </c>
      <c r="B268" s="1" t="n">
        <v>45898.53180555555</v>
      </c>
      <c r="C268" s="1" t="n">
        <v>46181</v>
      </c>
      <c r="D268" t="inlineStr">
        <is>
          <t>VÄSTERBOTTENS LÄN</t>
        </is>
      </c>
      <c r="E268" t="inlineStr">
        <is>
          <t>ÅSELE</t>
        </is>
      </c>
      <c r="F268" t="inlineStr">
        <is>
          <t>SCA</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41177-2025</t>
        </is>
      </c>
      <c r="B269" s="1" t="n">
        <v>45898.55245370371</v>
      </c>
      <c r="C269" s="1" t="n">
        <v>46181</v>
      </c>
      <c r="D269" t="inlineStr">
        <is>
          <t>VÄSTERBOTTENS LÄN</t>
        </is>
      </c>
      <c r="E269" t="inlineStr">
        <is>
          <t>ÅSELE</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26075-2025</t>
        </is>
      </c>
      <c r="B270" s="1" t="n">
        <v>45805.32921296296</v>
      </c>
      <c r="C270" s="1" t="n">
        <v>46181</v>
      </c>
      <c r="D270" t="inlineStr">
        <is>
          <t>VÄSTERBOTTENS LÄN</t>
        </is>
      </c>
      <c r="E270" t="inlineStr">
        <is>
          <t>ÅSELE</t>
        </is>
      </c>
      <c r="F270" t="inlineStr">
        <is>
          <t>Sveaskog</t>
        </is>
      </c>
      <c r="G270" t="n">
        <v>10</v>
      </c>
      <c r="H270" t="n">
        <v>0</v>
      </c>
      <c r="I270" t="n">
        <v>0</v>
      </c>
      <c r="J270" t="n">
        <v>0</v>
      </c>
      <c r="K270" t="n">
        <v>0</v>
      </c>
      <c r="L270" t="n">
        <v>0</v>
      </c>
      <c r="M270" t="n">
        <v>0</v>
      </c>
      <c r="N270" t="n">
        <v>0</v>
      </c>
      <c r="O270" t="n">
        <v>0</v>
      </c>
      <c r="P270" t="n">
        <v>0</v>
      </c>
      <c r="Q270" t="n">
        <v>0</v>
      </c>
      <c r="R270" s="2" t="inlineStr"/>
    </row>
    <row r="271" ht="15" customHeight="1">
      <c r="A271" t="inlineStr">
        <is>
          <t>A 26078-2025</t>
        </is>
      </c>
      <c r="B271" s="1" t="n">
        <v>45805.3371412037</v>
      </c>
      <c r="C271" s="1" t="n">
        <v>46181</v>
      </c>
      <c r="D271" t="inlineStr">
        <is>
          <t>VÄSTERBOTTENS LÄN</t>
        </is>
      </c>
      <c r="E271" t="inlineStr">
        <is>
          <t>ÅSELE</t>
        </is>
      </c>
      <c r="F271" t="inlineStr">
        <is>
          <t>Sveaskog</t>
        </is>
      </c>
      <c r="G271" t="n">
        <v>15.4</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46181</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26115-2025</t>
        </is>
      </c>
      <c r="B273" s="1" t="n">
        <v>45805.37388888889</v>
      </c>
      <c r="C273" s="1" t="n">
        <v>46181</v>
      </c>
      <c r="D273" t="inlineStr">
        <is>
          <t>VÄSTERBOTTENS LÄN</t>
        </is>
      </c>
      <c r="E273" t="inlineStr">
        <is>
          <t>ÅSELE</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40922-2025</t>
        </is>
      </c>
      <c r="B274" s="1" t="n">
        <v>45897.63563657407</v>
      </c>
      <c r="C274" s="1" t="n">
        <v>46181</v>
      </c>
      <c r="D274" t="inlineStr">
        <is>
          <t>VÄSTERBOTTENS LÄN</t>
        </is>
      </c>
      <c r="E274" t="inlineStr">
        <is>
          <t>ÅSELE</t>
        </is>
      </c>
      <c r="F274" t="inlineStr">
        <is>
          <t>Holmen skog AB</t>
        </is>
      </c>
      <c r="G274" t="n">
        <v>2.9</v>
      </c>
      <c r="H274" t="n">
        <v>0</v>
      </c>
      <c r="I274" t="n">
        <v>0</v>
      </c>
      <c r="J274" t="n">
        <v>0</v>
      </c>
      <c r="K274" t="n">
        <v>0</v>
      </c>
      <c r="L274" t="n">
        <v>0</v>
      </c>
      <c r="M274" t="n">
        <v>0</v>
      </c>
      <c r="N274" t="n">
        <v>0</v>
      </c>
      <c r="O274" t="n">
        <v>0</v>
      </c>
      <c r="P274" t="n">
        <v>0</v>
      </c>
      <c r="Q274" t="n">
        <v>0</v>
      </c>
      <c r="R274" s="2" t="inlineStr"/>
    </row>
    <row r="275" ht="15" customHeight="1">
      <c r="A275" t="inlineStr">
        <is>
          <t>A 41523-2025</t>
        </is>
      </c>
      <c r="B275" s="1" t="n">
        <v>45901.55246527777</v>
      </c>
      <c r="C275" s="1" t="n">
        <v>46181</v>
      </c>
      <c r="D275" t="inlineStr">
        <is>
          <t>VÄSTERBOTTENS LÄN</t>
        </is>
      </c>
      <c r="E275" t="inlineStr">
        <is>
          <t>ÅSELE</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26782-2025</t>
        </is>
      </c>
      <c r="B276" s="1" t="n">
        <v>45810</v>
      </c>
      <c r="C276" s="1" t="n">
        <v>46181</v>
      </c>
      <c r="D276" t="inlineStr">
        <is>
          <t>VÄSTERBOTTENS LÄN</t>
        </is>
      </c>
      <c r="E276" t="inlineStr">
        <is>
          <t>ÅSELE</t>
        </is>
      </c>
      <c r="G276" t="n">
        <v>3.3</v>
      </c>
      <c r="H276" t="n">
        <v>0</v>
      </c>
      <c r="I276" t="n">
        <v>0</v>
      </c>
      <c r="J276" t="n">
        <v>0</v>
      </c>
      <c r="K276" t="n">
        <v>0</v>
      </c>
      <c r="L276" t="n">
        <v>0</v>
      </c>
      <c r="M276" t="n">
        <v>0</v>
      </c>
      <c r="N276" t="n">
        <v>0</v>
      </c>
      <c r="O276" t="n">
        <v>0</v>
      </c>
      <c r="P276" t="n">
        <v>0</v>
      </c>
      <c r="Q276" t="n">
        <v>0</v>
      </c>
      <c r="R276" s="2" t="inlineStr"/>
    </row>
    <row r="277" ht="15" customHeight="1">
      <c r="A277" t="inlineStr">
        <is>
          <t>A 8855-2025</t>
        </is>
      </c>
      <c r="B277" s="1" t="n">
        <v>45713</v>
      </c>
      <c r="C277" s="1" t="n">
        <v>46181</v>
      </c>
      <c r="D277" t="inlineStr">
        <is>
          <t>VÄSTERBOTTENS LÄN</t>
        </is>
      </c>
      <c r="E277" t="inlineStr">
        <is>
          <t>ÅSELE</t>
        </is>
      </c>
      <c r="G277" t="n">
        <v>23.5</v>
      </c>
      <c r="H277" t="n">
        <v>0</v>
      </c>
      <c r="I277" t="n">
        <v>0</v>
      </c>
      <c r="J277" t="n">
        <v>0</v>
      </c>
      <c r="K277" t="n">
        <v>0</v>
      </c>
      <c r="L277" t="n">
        <v>0</v>
      </c>
      <c r="M277" t="n">
        <v>0</v>
      </c>
      <c r="N277" t="n">
        <v>0</v>
      </c>
      <c r="O277" t="n">
        <v>0</v>
      </c>
      <c r="P277" t="n">
        <v>0</v>
      </c>
      <c r="Q277" t="n">
        <v>0</v>
      </c>
      <c r="R277" s="2" t="inlineStr"/>
    </row>
    <row r="278" ht="15" customHeight="1">
      <c r="A278" t="inlineStr">
        <is>
          <t>A 26774-2025</t>
        </is>
      </c>
      <c r="B278" s="1" t="n">
        <v>45810.57378472222</v>
      </c>
      <c r="C278" s="1" t="n">
        <v>46181</v>
      </c>
      <c r="D278" t="inlineStr">
        <is>
          <t>VÄSTERBOTTENS LÄN</t>
        </is>
      </c>
      <c r="E278" t="inlineStr">
        <is>
          <t>ÅSELE</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4093-2023</t>
        </is>
      </c>
      <c r="B279" s="1" t="n">
        <v>44952</v>
      </c>
      <c r="C279" s="1" t="n">
        <v>46181</v>
      </c>
      <c r="D279" t="inlineStr">
        <is>
          <t>VÄSTERBOTTENS LÄN</t>
        </is>
      </c>
      <c r="E279" t="inlineStr">
        <is>
          <t>ÅSELE</t>
        </is>
      </c>
      <c r="G279" t="n">
        <v>1.6</v>
      </c>
      <c r="H279" t="n">
        <v>0</v>
      </c>
      <c r="I279" t="n">
        <v>0</v>
      </c>
      <c r="J279" t="n">
        <v>0</v>
      </c>
      <c r="K279" t="n">
        <v>0</v>
      </c>
      <c r="L279" t="n">
        <v>0</v>
      </c>
      <c r="M279" t="n">
        <v>0</v>
      </c>
      <c r="N279" t="n">
        <v>0</v>
      </c>
      <c r="O279" t="n">
        <v>0</v>
      </c>
      <c r="P279" t="n">
        <v>0</v>
      </c>
      <c r="Q279" t="n">
        <v>0</v>
      </c>
      <c r="R279" s="2" t="inlineStr"/>
    </row>
    <row r="280" ht="15" customHeight="1">
      <c r="A280" t="inlineStr">
        <is>
          <t>A 39266-2024</t>
        </is>
      </c>
      <c r="B280" s="1" t="n">
        <v>45551.34447916667</v>
      </c>
      <c r="C280" s="1" t="n">
        <v>46181</v>
      </c>
      <c r="D280" t="inlineStr">
        <is>
          <t>VÄSTERBOTTENS LÄN</t>
        </is>
      </c>
      <c r="E280" t="inlineStr">
        <is>
          <t>ÅSELE</t>
        </is>
      </c>
      <c r="F280" t="inlineStr">
        <is>
          <t>SCA</t>
        </is>
      </c>
      <c r="G280" t="n">
        <v>11.7</v>
      </c>
      <c r="H280" t="n">
        <v>0</v>
      </c>
      <c r="I280" t="n">
        <v>0</v>
      </c>
      <c r="J280" t="n">
        <v>0</v>
      </c>
      <c r="K280" t="n">
        <v>0</v>
      </c>
      <c r="L280" t="n">
        <v>0</v>
      </c>
      <c r="M280" t="n">
        <v>0</v>
      </c>
      <c r="N280" t="n">
        <v>0</v>
      </c>
      <c r="O280" t="n">
        <v>0</v>
      </c>
      <c r="P280" t="n">
        <v>0</v>
      </c>
      <c r="Q280" t="n">
        <v>0</v>
      </c>
      <c r="R280" s="2" t="inlineStr"/>
    </row>
    <row r="281" ht="15" customHeight="1">
      <c r="A281" t="inlineStr">
        <is>
          <t>A 26474-2025</t>
        </is>
      </c>
      <c r="B281" s="1" t="n">
        <v>45807</v>
      </c>
      <c r="C281" s="1" t="n">
        <v>46181</v>
      </c>
      <c r="D281" t="inlineStr">
        <is>
          <t>VÄSTERBOTTENS LÄN</t>
        </is>
      </c>
      <c r="E281" t="inlineStr">
        <is>
          <t>ÅSELE</t>
        </is>
      </c>
      <c r="F281" t="inlineStr">
        <is>
          <t>SCA</t>
        </is>
      </c>
      <c r="G281" t="n">
        <v>11.5</v>
      </c>
      <c r="H281" t="n">
        <v>0</v>
      </c>
      <c r="I281" t="n">
        <v>0</v>
      </c>
      <c r="J281" t="n">
        <v>0</v>
      </c>
      <c r="K281" t="n">
        <v>0</v>
      </c>
      <c r="L281" t="n">
        <v>0</v>
      </c>
      <c r="M281" t="n">
        <v>0</v>
      </c>
      <c r="N281" t="n">
        <v>0</v>
      </c>
      <c r="O281" t="n">
        <v>0</v>
      </c>
      <c r="P281" t="n">
        <v>0</v>
      </c>
      <c r="Q281" t="n">
        <v>0</v>
      </c>
      <c r="R281" s="2" t="inlineStr"/>
    </row>
    <row r="282" ht="15" customHeight="1">
      <c r="A282" t="inlineStr">
        <is>
          <t>A 41525-2025</t>
        </is>
      </c>
      <c r="B282" s="1" t="n">
        <v>45901.55268518518</v>
      </c>
      <c r="C282" s="1" t="n">
        <v>46181</v>
      </c>
      <c r="D282" t="inlineStr">
        <is>
          <t>VÄSTERBOTTENS LÄN</t>
        </is>
      </c>
      <c r="E282" t="inlineStr">
        <is>
          <t>ÅSELE</t>
        </is>
      </c>
      <c r="F282" t="inlineStr">
        <is>
          <t>SCA</t>
        </is>
      </c>
      <c r="G282" t="n">
        <v>5.4</v>
      </c>
      <c r="H282" t="n">
        <v>0</v>
      </c>
      <c r="I282" t="n">
        <v>0</v>
      </c>
      <c r="J282" t="n">
        <v>0</v>
      </c>
      <c r="K282" t="n">
        <v>0</v>
      </c>
      <c r="L282" t="n">
        <v>0</v>
      </c>
      <c r="M282" t="n">
        <v>0</v>
      </c>
      <c r="N282" t="n">
        <v>0</v>
      </c>
      <c r="O282" t="n">
        <v>0</v>
      </c>
      <c r="P282" t="n">
        <v>0</v>
      </c>
      <c r="Q282" t="n">
        <v>0</v>
      </c>
      <c r="R282" s="2" t="inlineStr"/>
    </row>
    <row r="283" ht="15" customHeight="1">
      <c r="A283" t="inlineStr">
        <is>
          <t>A 33241-2023</t>
        </is>
      </c>
      <c r="B283" s="1" t="n">
        <v>45114</v>
      </c>
      <c r="C283" s="1" t="n">
        <v>46181</v>
      </c>
      <c r="D283" t="inlineStr">
        <is>
          <t>VÄSTERBOTTENS LÄN</t>
        </is>
      </c>
      <c r="E283" t="inlineStr">
        <is>
          <t>ÅSELE</t>
        </is>
      </c>
      <c r="G283" t="n">
        <v>22.8</v>
      </c>
      <c r="H283" t="n">
        <v>0</v>
      </c>
      <c r="I283" t="n">
        <v>0</v>
      </c>
      <c r="J283" t="n">
        <v>0</v>
      </c>
      <c r="K283" t="n">
        <v>0</v>
      </c>
      <c r="L283" t="n">
        <v>0</v>
      </c>
      <c r="M283" t="n">
        <v>0</v>
      </c>
      <c r="N283" t="n">
        <v>0</v>
      </c>
      <c r="O283" t="n">
        <v>0</v>
      </c>
      <c r="P283" t="n">
        <v>0</v>
      </c>
      <c r="Q283" t="n">
        <v>0</v>
      </c>
      <c r="R283" s="2" t="inlineStr"/>
    </row>
    <row r="284" ht="15" customHeight="1">
      <c r="A284" t="inlineStr">
        <is>
          <t>A 42068-2025</t>
        </is>
      </c>
      <c r="B284" s="1" t="n">
        <v>45903</v>
      </c>
      <c r="C284" s="1" t="n">
        <v>46181</v>
      </c>
      <c r="D284" t="inlineStr">
        <is>
          <t>VÄSTERBOTTENS LÄN</t>
        </is>
      </c>
      <c r="E284" t="inlineStr">
        <is>
          <t>ÅSELE</t>
        </is>
      </c>
      <c r="F284" t="inlineStr">
        <is>
          <t>SCA</t>
        </is>
      </c>
      <c r="G284" t="n">
        <v>13.5</v>
      </c>
      <c r="H284" t="n">
        <v>0</v>
      </c>
      <c r="I284" t="n">
        <v>0</v>
      </c>
      <c r="J284" t="n">
        <v>0</v>
      </c>
      <c r="K284" t="n">
        <v>0</v>
      </c>
      <c r="L284" t="n">
        <v>0</v>
      </c>
      <c r="M284" t="n">
        <v>0</v>
      </c>
      <c r="N284" t="n">
        <v>0</v>
      </c>
      <c r="O284" t="n">
        <v>0</v>
      </c>
      <c r="P284" t="n">
        <v>0</v>
      </c>
      <c r="Q284" t="n">
        <v>0</v>
      </c>
      <c r="R284" s="2" t="inlineStr"/>
    </row>
    <row r="285" ht="15" customHeight="1">
      <c r="A285" t="inlineStr">
        <is>
          <t>A 42276-2025</t>
        </is>
      </c>
      <c r="B285" s="1" t="n">
        <v>45904.61506944444</v>
      </c>
      <c r="C285" s="1" t="n">
        <v>46181</v>
      </c>
      <c r="D285" t="inlineStr">
        <is>
          <t>VÄSTERBOTTENS LÄN</t>
        </is>
      </c>
      <c r="E285" t="inlineStr">
        <is>
          <t>ÅSELE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37576-2024</t>
        </is>
      </c>
      <c r="B286" s="1" t="n">
        <v>45541</v>
      </c>
      <c r="C286" s="1" t="n">
        <v>46181</v>
      </c>
      <c r="D286" t="inlineStr">
        <is>
          <t>VÄSTERBOTTENS LÄN</t>
        </is>
      </c>
      <c r="E286" t="inlineStr">
        <is>
          <t>ÅSELE</t>
        </is>
      </c>
      <c r="F286" t="inlineStr">
        <is>
          <t>Holmen skog AB</t>
        </is>
      </c>
      <c r="G286" t="n">
        <v>17</v>
      </c>
      <c r="H286" t="n">
        <v>0</v>
      </c>
      <c r="I286" t="n">
        <v>0</v>
      </c>
      <c r="J286" t="n">
        <v>0</v>
      </c>
      <c r="K286" t="n">
        <v>0</v>
      </c>
      <c r="L286" t="n">
        <v>0</v>
      </c>
      <c r="M286" t="n">
        <v>0</v>
      </c>
      <c r="N286" t="n">
        <v>0</v>
      </c>
      <c r="O286" t="n">
        <v>0</v>
      </c>
      <c r="P286" t="n">
        <v>0</v>
      </c>
      <c r="Q286" t="n">
        <v>0</v>
      </c>
      <c r="R286" s="2" t="inlineStr"/>
    </row>
    <row r="287" ht="15" customHeight="1">
      <c r="A287" t="inlineStr">
        <is>
          <t>A 41961-2025</t>
        </is>
      </c>
      <c r="B287" s="1" t="n">
        <v>45903</v>
      </c>
      <c r="C287" s="1" t="n">
        <v>46181</v>
      </c>
      <c r="D287" t="inlineStr">
        <is>
          <t>VÄSTERBOTTENS LÄN</t>
        </is>
      </c>
      <c r="E287" t="inlineStr">
        <is>
          <t>ÅSELE</t>
        </is>
      </c>
      <c r="F287" t="inlineStr">
        <is>
          <t>SCA</t>
        </is>
      </c>
      <c r="G287" t="n">
        <v>8.1</v>
      </c>
      <c r="H287" t="n">
        <v>0</v>
      </c>
      <c r="I287" t="n">
        <v>0</v>
      </c>
      <c r="J287" t="n">
        <v>0</v>
      </c>
      <c r="K287" t="n">
        <v>0</v>
      </c>
      <c r="L287" t="n">
        <v>0</v>
      </c>
      <c r="M287" t="n">
        <v>0</v>
      </c>
      <c r="N287" t="n">
        <v>0</v>
      </c>
      <c r="O287" t="n">
        <v>0</v>
      </c>
      <c r="P287" t="n">
        <v>0</v>
      </c>
      <c r="Q287" t="n">
        <v>0</v>
      </c>
      <c r="R287" s="2" t="inlineStr"/>
    </row>
    <row r="288" ht="15" customHeight="1">
      <c r="A288" t="inlineStr">
        <is>
          <t>A 42066-2025</t>
        </is>
      </c>
      <c r="B288" s="1" t="n">
        <v>45903.65673611111</v>
      </c>
      <c r="C288" s="1" t="n">
        <v>46181</v>
      </c>
      <c r="D288" t="inlineStr">
        <is>
          <t>VÄSTERBOTTENS LÄN</t>
        </is>
      </c>
      <c r="E288" t="inlineStr">
        <is>
          <t>ÅSELE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44742-2024</t>
        </is>
      </c>
      <c r="B289" s="1" t="n">
        <v>45574.59653935185</v>
      </c>
      <c r="C289" s="1" t="n">
        <v>46181</v>
      </c>
      <c r="D289" t="inlineStr">
        <is>
          <t>VÄSTERBOTTENS LÄN</t>
        </is>
      </c>
      <c r="E289" t="inlineStr">
        <is>
          <t>ÅSELE</t>
        </is>
      </c>
      <c r="F289" t="inlineStr">
        <is>
          <t>Sveaskog</t>
        </is>
      </c>
      <c r="G289" t="n">
        <v>5.9</v>
      </c>
      <c r="H289" t="n">
        <v>0</v>
      </c>
      <c r="I289" t="n">
        <v>0</v>
      </c>
      <c r="J289" t="n">
        <v>0</v>
      </c>
      <c r="K289" t="n">
        <v>0</v>
      </c>
      <c r="L289" t="n">
        <v>0</v>
      </c>
      <c r="M289" t="n">
        <v>0</v>
      </c>
      <c r="N289" t="n">
        <v>0</v>
      </c>
      <c r="O289" t="n">
        <v>0</v>
      </c>
      <c r="P289" t="n">
        <v>0</v>
      </c>
      <c r="Q289" t="n">
        <v>0</v>
      </c>
      <c r="R289" s="2" t="inlineStr"/>
    </row>
    <row r="290" ht="15" customHeight="1">
      <c r="A290" t="inlineStr">
        <is>
          <t>A 67685-2021</t>
        </is>
      </c>
      <c r="B290" s="1" t="n">
        <v>44524</v>
      </c>
      <c r="C290" s="1" t="n">
        <v>46181</v>
      </c>
      <c r="D290" t="inlineStr">
        <is>
          <t>VÄSTERBOTTENS LÄN</t>
        </is>
      </c>
      <c r="E290" t="inlineStr">
        <is>
          <t>ÅSELE</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27168-2025</t>
        </is>
      </c>
      <c r="B291" s="1" t="n">
        <v>45812.34475694445</v>
      </c>
      <c r="C291" s="1" t="n">
        <v>46181</v>
      </c>
      <c r="D291" t="inlineStr">
        <is>
          <t>VÄSTERBOTTENS LÄN</t>
        </is>
      </c>
      <c r="E291" t="inlineStr">
        <is>
          <t>ÅSELE</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45622-2023</t>
        </is>
      </c>
      <c r="B292" s="1" t="n">
        <v>45194.66240740741</v>
      </c>
      <c r="C292" s="1" t="n">
        <v>46181</v>
      </c>
      <c r="D292" t="inlineStr">
        <is>
          <t>VÄSTERBOTTENS LÄN</t>
        </is>
      </c>
      <c r="E292" t="inlineStr">
        <is>
          <t>ÅSELE</t>
        </is>
      </c>
      <c r="G292" t="n">
        <v>1.7</v>
      </c>
      <c r="H292" t="n">
        <v>0</v>
      </c>
      <c r="I292" t="n">
        <v>0</v>
      </c>
      <c r="J292" t="n">
        <v>0</v>
      </c>
      <c r="K292" t="n">
        <v>0</v>
      </c>
      <c r="L292" t="n">
        <v>0</v>
      </c>
      <c r="M292" t="n">
        <v>0</v>
      </c>
      <c r="N292" t="n">
        <v>0</v>
      </c>
      <c r="O292" t="n">
        <v>0</v>
      </c>
      <c r="P292" t="n">
        <v>0</v>
      </c>
      <c r="Q292" t="n">
        <v>0</v>
      </c>
      <c r="R292" s="2" t="inlineStr"/>
    </row>
    <row r="293" ht="15" customHeight="1">
      <c r="A293" t="inlineStr">
        <is>
          <t>A 3558-2026</t>
        </is>
      </c>
      <c r="B293" s="1" t="n">
        <v>46042.67096064815</v>
      </c>
      <c r="C293" s="1" t="n">
        <v>46181</v>
      </c>
      <c r="D293" t="inlineStr">
        <is>
          <t>VÄSTERBOTTENS LÄN</t>
        </is>
      </c>
      <c r="E293" t="inlineStr">
        <is>
          <t>ÅSELE</t>
        </is>
      </c>
      <c r="F293" t="inlineStr">
        <is>
          <t>SCA</t>
        </is>
      </c>
      <c r="G293" t="n">
        <v>6.1</v>
      </c>
      <c r="H293" t="n">
        <v>0</v>
      </c>
      <c r="I293" t="n">
        <v>0</v>
      </c>
      <c r="J293" t="n">
        <v>0</v>
      </c>
      <c r="K293" t="n">
        <v>0</v>
      </c>
      <c r="L293" t="n">
        <v>0</v>
      </c>
      <c r="M293" t="n">
        <v>0</v>
      </c>
      <c r="N293" t="n">
        <v>0</v>
      </c>
      <c r="O293" t="n">
        <v>0</v>
      </c>
      <c r="P293" t="n">
        <v>0</v>
      </c>
      <c r="Q293" t="n">
        <v>0</v>
      </c>
      <c r="R293" s="2" t="inlineStr"/>
    </row>
    <row r="294" ht="15" customHeight="1">
      <c r="A294" t="inlineStr">
        <is>
          <t>A 42399-2024</t>
        </is>
      </c>
      <c r="B294" s="1" t="n">
        <v>45565.33832175926</v>
      </c>
      <c r="C294" s="1" t="n">
        <v>46181</v>
      </c>
      <c r="D294" t="inlineStr">
        <is>
          <t>VÄSTERBOTTENS LÄN</t>
        </is>
      </c>
      <c r="E294" t="inlineStr">
        <is>
          <t>ÅSELE</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21044-2025</t>
        </is>
      </c>
      <c r="B295" s="1" t="n">
        <v>45777.55259259259</v>
      </c>
      <c r="C295" s="1" t="n">
        <v>46181</v>
      </c>
      <c r="D295" t="inlineStr">
        <is>
          <t>VÄSTERBOTTENS LÄN</t>
        </is>
      </c>
      <c r="E295" t="inlineStr">
        <is>
          <t>ÅSELE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42883-2025</t>
        </is>
      </c>
      <c r="B296" s="1" t="n">
        <v>45908.6425</v>
      </c>
      <c r="C296" s="1" t="n">
        <v>46181</v>
      </c>
      <c r="D296" t="inlineStr">
        <is>
          <t>VÄSTERBOTTENS LÄN</t>
        </is>
      </c>
      <c r="E296" t="inlineStr">
        <is>
          <t>ÅSELE</t>
        </is>
      </c>
      <c r="G296" t="n">
        <v>1.8</v>
      </c>
      <c r="H296" t="n">
        <v>0</v>
      </c>
      <c r="I296" t="n">
        <v>0</v>
      </c>
      <c r="J296" t="n">
        <v>0</v>
      </c>
      <c r="K296" t="n">
        <v>0</v>
      </c>
      <c r="L296" t="n">
        <v>0</v>
      </c>
      <c r="M296" t="n">
        <v>0</v>
      </c>
      <c r="N296" t="n">
        <v>0</v>
      </c>
      <c r="O296" t="n">
        <v>0</v>
      </c>
      <c r="P296" t="n">
        <v>0</v>
      </c>
      <c r="Q296" t="n">
        <v>0</v>
      </c>
      <c r="R296" s="2" t="inlineStr"/>
    </row>
    <row r="297" ht="15" customHeight="1">
      <c r="A297" t="inlineStr">
        <is>
          <t>A 7706-2025</t>
        </is>
      </c>
      <c r="B297" s="1" t="n">
        <v>45706</v>
      </c>
      <c r="C297" s="1" t="n">
        <v>46181</v>
      </c>
      <c r="D297" t="inlineStr">
        <is>
          <t>VÄSTERBOTTENS LÄN</t>
        </is>
      </c>
      <c r="E297" t="inlineStr">
        <is>
          <t>ÅSELE</t>
        </is>
      </c>
      <c r="F297" t="inlineStr">
        <is>
          <t>Sveaskog</t>
        </is>
      </c>
      <c r="G297" t="n">
        <v>24.8</v>
      </c>
      <c r="H297" t="n">
        <v>0</v>
      </c>
      <c r="I297" t="n">
        <v>0</v>
      </c>
      <c r="J297" t="n">
        <v>0</v>
      </c>
      <c r="K297" t="n">
        <v>0</v>
      </c>
      <c r="L297" t="n">
        <v>0</v>
      </c>
      <c r="M297" t="n">
        <v>0</v>
      </c>
      <c r="N297" t="n">
        <v>0</v>
      </c>
      <c r="O297" t="n">
        <v>0</v>
      </c>
      <c r="P297" t="n">
        <v>0</v>
      </c>
      <c r="Q297" t="n">
        <v>0</v>
      </c>
      <c r="R297" s="2" t="inlineStr"/>
    </row>
    <row r="298" ht="15" customHeight="1">
      <c r="A298" t="inlineStr">
        <is>
          <t>A 42286-2024</t>
        </is>
      </c>
      <c r="B298" s="1" t="n">
        <v>45562</v>
      </c>
      <c r="C298" s="1" t="n">
        <v>46181</v>
      </c>
      <c r="D298" t="inlineStr">
        <is>
          <t>VÄSTERBOTTENS LÄN</t>
        </is>
      </c>
      <c r="E298" t="inlineStr">
        <is>
          <t>ÅSELE</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35520-2023</t>
        </is>
      </c>
      <c r="B299" s="1" t="n">
        <v>45147.32908564815</v>
      </c>
      <c r="C299" s="1" t="n">
        <v>46181</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27698-2025</t>
        </is>
      </c>
      <c r="B300" s="1" t="n">
        <v>45813.67741898148</v>
      </c>
      <c r="C300" s="1" t="n">
        <v>46181</v>
      </c>
      <c r="D300" t="inlineStr">
        <is>
          <t>VÄSTERBOTTENS LÄN</t>
        </is>
      </c>
      <c r="E300" t="inlineStr">
        <is>
          <t>ÅSELE</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27722-2025</t>
        </is>
      </c>
      <c r="B301" s="1" t="n">
        <v>45814</v>
      </c>
      <c r="C301" s="1" t="n">
        <v>46181</v>
      </c>
      <c r="D301" t="inlineStr">
        <is>
          <t>VÄSTERBOTTENS LÄN</t>
        </is>
      </c>
      <c r="E301" t="inlineStr">
        <is>
          <t>ÅSELE</t>
        </is>
      </c>
      <c r="G301" t="n">
        <v>11</v>
      </c>
      <c r="H301" t="n">
        <v>0</v>
      </c>
      <c r="I301" t="n">
        <v>0</v>
      </c>
      <c r="J301" t="n">
        <v>0</v>
      </c>
      <c r="K301" t="n">
        <v>0</v>
      </c>
      <c r="L301" t="n">
        <v>0</v>
      </c>
      <c r="M301" t="n">
        <v>0</v>
      </c>
      <c r="N301" t="n">
        <v>0</v>
      </c>
      <c r="O301" t="n">
        <v>0</v>
      </c>
      <c r="P301" t="n">
        <v>0</v>
      </c>
      <c r="Q301" t="n">
        <v>0</v>
      </c>
      <c r="R301" s="2" t="inlineStr"/>
    </row>
    <row r="302" ht="15" customHeight="1">
      <c r="A302" t="inlineStr">
        <is>
          <t>A 27720-2025</t>
        </is>
      </c>
      <c r="B302" s="1" t="n">
        <v>45814</v>
      </c>
      <c r="C302" s="1" t="n">
        <v>46181</v>
      </c>
      <c r="D302" t="inlineStr">
        <is>
          <t>VÄSTERBOTTENS LÄN</t>
        </is>
      </c>
      <c r="E302" t="inlineStr">
        <is>
          <t>ÅSELE</t>
        </is>
      </c>
      <c r="G302" t="n">
        <v>4.7</v>
      </c>
      <c r="H302" t="n">
        <v>0</v>
      </c>
      <c r="I302" t="n">
        <v>0</v>
      </c>
      <c r="J302" t="n">
        <v>0</v>
      </c>
      <c r="K302" t="n">
        <v>0</v>
      </c>
      <c r="L302" t="n">
        <v>0</v>
      </c>
      <c r="M302" t="n">
        <v>0</v>
      </c>
      <c r="N302" t="n">
        <v>0</v>
      </c>
      <c r="O302" t="n">
        <v>0</v>
      </c>
      <c r="P302" t="n">
        <v>0</v>
      </c>
      <c r="Q302" t="n">
        <v>0</v>
      </c>
      <c r="R302" s="2" t="inlineStr"/>
    </row>
    <row r="303" ht="15" customHeight="1">
      <c r="A303" t="inlineStr">
        <is>
          <t>A 40046-2024</t>
        </is>
      </c>
      <c r="B303" s="1" t="n">
        <v>45553.76251157407</v>
      </c>
      <c r="C303" s="1" t="n">
        <v>46181</v>
      </c>
      <c r="D303" t="inlineStr">
        <is>
          <t>VÄSTERBOTTENS LÄN</t>
        </is>
      </c>
      <c r="E303" t="inlineStr">
        <is>
          <t>ÅSELE</t>
        </is>
      </c>
      <c r="G303" t="n">
        <v>5.6</v>
      </c>
      <c r="H303" t="n">
        <v>0</v>
      </c>
      <c r="I303" t="n">
        <v>0</v>
      </c>
      <c r="J303" t="n">
        <v>0</v>
      </c>
      <c r="K303" t="n">
        <v>0</v>
      </c>
      <c r="L303" t="n">
        <v>0</v>
      </c>
      <c r="M303" t="n">
        <v>0</v>
      </c>
      <c r="N303" t="n">
        <v>0</v>
      </c>
      <c r="O303" t="n">
        <v>0</v>
      </c>
      <c r="P303" t="n">
        <v>0</v>
      </c>
      <c r="Q303" t="n">
        <v>0</v>
      </c>
      <c r="R303" s="2" t="inlineStr"/>
    </row>
    <row r="304" ht="15" customHeight="1">
      <c r="A304" t="inlineStr">
        <is>
          <t>A 27721-2025</t>
        </is>
      </c>
      <c r="B304" s="1" t="n">
        <v>45814</v>
      </c>
      <c r="C304" s="1" t="n">
        <v>46181</v>
      </c>
      <c r="D304" t="inlineStr">
        <is>
          <t>VÄSTERBOTTENS LÄN</t>
        </is>
      </c>
      <c r="E304" t="inlineStr">
        <is>
          <t>ÅSELE</t>
        </is>
      </c>
      <c r="G304" t="n">
        <v>3.7</v>
      </c>
      <c r="H304" t="n">
        <v>0</v>
      </c>
      <c r="I304" t="n">
        <v>0</v>
      </c>
      <c r="J304" t="n">
        <v>0</v>
      </c>
      <c r="K304" t="n">
        <v>0</v>
      </c>
      <c r="L304" t="n">
        <v>0</v>
      </c>
      <c r="M304" t="n">
        <v>0</v>
      </c>
      <c r="N304" t="n">
        <v>0</v>
      </c>
      <c r="O304" t="n">
        <v>0</v>
      </c>
      <c r="P304" t="n">
        <v>0</v>
      </c>
      <c r="Q304" t="n">
        <v>0</v>
      </c>
      <c r="R304" s="2" t="inlineStr"/>
    </row>
    <row r="305" ht="15" customHeight="1">
      <c r="A305" t="inlineStr">
        <is>
          <t>A 27723-2025</t>
        </is>
      </c>
      <c r="B305" s="1" t="n">
        <v>45814.39700231481</v>
      </c>
      <c r="C305" s="1" t="n">
        <v>46181</v>
      </c>
      <c r="D305" t="inlineStr">
        <is>
          <t>VÄSTERBOTTENS LÄN</t>
        </is>
      </c>
      <c r="E305" t="inlineStr">
        <is>
          <t>ÅSELE</t>
        </is>
      </c>
      <c r="G305" t="n">
        <v>3.6</v>
      </c>
      <c r="H305" t="n">
        <v>0</v>
      </c>
      <c r="I305" t="n">
        <v>0</v>
      </c>
      <c r="J305" t="n">
        <v>0</v>
      </c>
      <c r="K305" t="n">
        <v>0</v>
      </c>
      <c r="L305" t="n">
        <v>0</v>
      </c>
      <c r="M305" t="n">
        <v>0</v>
      </c>
      <c r="N305" t="n">
        <v>0</v>
      </c>
      <c r="O305" t="n">
        <v>0</v>
      </c>
      <c r="P305" t="n">
        <v>0</v>
      </c>
      <c r="Q305" t="n">
        <v>0</v>
      </c>
      <c r="R305" s="2" t="inlineStr"/>
    </row>
    <row r="306" ht="15" customHeight="1">
      <c r="A306" t="inlineStr">
        <is>
          <t>A 3559-2024</t>
        </is>
      </c>
      <c r="B306" s="1" t="n">
        <v>45320</v>
      </c>
      <c r="C306" s="1" t="n">
        <v>46181</v>
      </c>
      <c r="D306" t="inlineStr">
        <is>
          <t>VÄSTERBOTTENS LÄN</t>
        </is>
      </c>
      <c r="E306" t="inlineStr">
        <is>
          <t>ÅSELE</t>
        </is>
      </c>
      <c r="G306" t="n">
        <v>2.3</v>
      </c>
      <c r="H306" t="n">
        <v>0</v>
      </c>
      <c r="I306" t="n">
        <v>0</v>
      </c>
      <c r="J306" t="n">
        <v>0</v>
      </c>
      <c r="K306" t="n">
        <v>0</v>
      </c>
      <c r="L306" t="n">
        <v>0</v>
      </c>
      <c r="M306" t="n">
        <v>0</v>
      </c>
      <c r="N306" t="n">
        <v>0</v>
      </c>
      <c r="O306" t="n">
        <v>0</v>
      </c>
      <c r="P306" t="n">
        <v>0</v>
      </c>
      <c r="Q306" t="n">
        <v>0</v>
      </c>
      <c r="R306" s="2" t="inlineStr"/>
    </row>
    <row r="307" ht="15" customHeight="1">
      <c r="A307" t="inlineStr">
        <is>
          <t>A 51544-2024</t>
        </is>
      </c>
      <c r="B307" s="1" t="n">
        <v>45604</v>
      </c>
      <c r="C307" s="1" t="n">
        <v>46181</v>
      </c>
      <c r="D307" t="inlineStr">
        <is>
          <t>VÄSTERBOTTENS LÄN</t>
        </is>
      </c>
      <c r="E307" t="inlineStr">
        <is>
          <t>ÅSELE</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1409-2023</t>
        </is>
      </c>
      <c r="B308" s="1" t="n">
        <v>44936.86325231481</v>
      </c>
      <c r="C308" s="1" t="n">
        <v>46181</v>
      </c>
      <c r="D308" t="inlineStr">
        <is>
          <t>VÄSTERBOTTENS LÄN</t>
        </is>
      </c>
      <c r="E308" t="inlineStr">
        <is>
          <t>ÅSELE</t>
        </is>
      </c>
      <c r="G308" t="n">
        <v>4.8</v>
      </c>
      <c r="H308" t="n">
        <v>0</v>
      </c>
      <c r="I308" t="n">
        <v>0</v>
      </c>
      <c r="J308" t="n">
        <v>0</v>
      </c>
      <c r="K308" t="n">
        <v>0</v>
      </c>
      <c r="L308" t="n">
        <v>0</v>
      </c>
      <c r="M308" t="n">
        <v>0</v>
      </c>
      <c r="N308" t="n">
        <v>0</v>
      </c>
      <c r="O308" t="n">
        <v>0</v>
      </c>
      <c r="P308" t="n">
        <v>0</v>
      </c>
      <c r="Q308" t="n">
        <v>0</v>
      </c>
      <c r="R308" s="2" t="inlineStr"/>
    </row>
    <row r="309" ht="15" customHeight="1">
      <c r="A309" t="inlineStr">
        <is>
          <t>A 4612-2022</t>
        </is>
      </c>
      <c r="B309" s="1" t="n">
        <v>44592.37475694445</v>
      </c>
      <c r="C309" s="1" t="n">
        <v>46181</v>
      </c>
      <c r="D309" t="inlineStr">
        <is>
          <t>VÄSTERBOTTENS LÄN</t>
        </is>
      </c>
      <c r="E309" t="inlineStr">
        <is>
          <t>ÅSELE</t>
        </is>
      </c>
      <c r="G309" t="n">
        <v>3.7</v>
      </c>
      <c r="H309" t="n">
        <v>0</v>
      </c>
      <c r="I309" t="n">
        <v>0</v>
      </c>
      <c r="J309" t="n">
        <v>0</v>
      </c>
      <c r="K309" t="n">
        <v>0</v>
      </c>
      <c r="L309" t="n">
        <v>0</v>
      </c>
      <c r="M309" t="n">
        <v>0</v>
      </c>
      <c r="N309" t="n">
        <v>0</v>
      </c>
      <c r="O309" t="n">
        <v>0</v>
      </c>
      <c r="P309" t="n">
        <v>0</v>
      </c>
      <c r="Q309" t="n">
        <v>0</v>
      </c>
      <c r="R309" s="2" t="inlineStr"/>
    </row>
    <row r="310" ht="15" customHeight="1">
      <c r="A310" t="inlineStr">
        <is>
          <t>A 27464-2025</t>
        </is>
      </c>
      <c r="B310" s="1" t="n">
        <v>45813</v>
      </c>
      <c r="C310" s="1" t="n">
        <v>46181</v>
      </c>
      <c r="D310" t="inlineStr">
        <is>
          <t>VÄSTERBOTTENS LÄN</t>
        </is>
      </c>
      <c r="E310" t="inlineStr">
        <is>
          <t>ÅSELE</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48209-2024</t>
        </is>
      </c>
      <c r="B311" s="1" t="n">
        <v>45590</v>
      </c>
      <c r="C311" s="1" t="n">
        <v>46181</v>
      </c>
      <c r="D311" t="inlineStr">
        <is>
          <t>VÄSTERBOTTENS LÄN</t>
        </is>
      </c>
      <c r="E311" t="inlineStr">
        <is>
          <t>ÅSELE</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48206-2024</t>
        </is>
      </c>
      <c r="B312" s="1" t="n">
        <v>45590</v>
      </c>
      <c r="C312" s="1" t="n">
        <v>46181</v>
      </c>
      <c r="D312" t="inlineStr">
        <is>
          <t>VÄSTERBOTTENS LÄN</t>
        </is>
      </c>
      <c r="E312" t="inlineStr">
        <is>
          <t>ÅSELE</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53679-2024</t>
        </is>
      </c>
      <c r="B313" s="1" t="n">
        <v>45615</v>
      </c>
      <c r="C313" s="1" t="n">
        <v>46181</v>
      </c>
      <c r="D313" t="inlineStr">
        <is>
          <t>VÄSTERBOTTENS LÄN</t>
        </is>
      </c>
      <c r="E313" t="inlineStr">
        <is>
          <t>ÅSELE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42560-2025</t>
        </is>
      </c>
      <c r="B314" s="1" t="n">
        <v>45905.59663194444</v>
      </c>
      <c r="C314" s="1" t="n">
        <v>46181</v>
      </c>
      <c r="D314" t="inlineStr">
        <is>
          <t>VÄSTERBOTTENS LÄN</t>
        </is>
      </c>
      <c r="E314" t="inlineStr">
        <is>
          <t>ÅSELE</t>
        </is>
      </c>
      <c r="G314" t="n">
        <v>6.3</v>
      </c>
      <c r="H314" t="n">
        <v>0</v>
      </c>
      <c r="I314" t="n">
        <v>0</v>
      </c>
      <c r="J314" t="n">
        <v>0</v>
      </c>
      <c r="K314" t="n">
        <v>0</v>
      </c>
      <c r="L314" t="n">
        <v>0</v>
      </c>
      <c r="M314" t="n">
        <v>0</v>
      </c>
      <c r="N314" t="n">
        <v>0</v>
      </c>
      <c r="O314" t="n">
        <v>0</v>
      </c>
      <c r="P314" t="n">
        <v>0</v>
      </c>
      <c r="Q314" t="n">
        <v>0</v>
      </c>
      <c r="R314" s="2" t="inlineStr"/>
    </row>
    <row r="315" ht="15" customHeight="1">
      <c r="A315" t="inlineStr">
        <is>
          <t>A 22908-2025</t>
        </is>
      </c>
      <c r="B315" s="1" t="n">
        <v>45790</v>
      </c>
      <c r="C315" s="1" t="n">
        <v>46181</v>
      </c>
      <c r="D315" t="inlineStr">
        <is>
          <t>VÄSTERBOTTENS LÄN</t>
        </is>
      </c>
      <c r="E315" t="inlineStr">
        <is>
          <t>ÅSELE</t>
        </is>
      </c>
      <c r="G315" t="n">
        <v>7.3</v>
      </c>
      <c r="H315" t="n">
        <v>0</v>
      </c>
      <c r="I315" t="n">
        <v>0</v>
      </c>
      <c r="J315" t="n">
        <v>0</v>
      </c>
      <c r="K315" t="n">
        <v>0</v>
      </c>
      <c r="L315" t="n">
        <v>0</v>
      </c>
      <c r="M315" t="n">
        <v>0</v>
      </c>
      <c r="N315" t="n">
        <v>0</v>
      </c>
      <c r="O315" t="n">
        <v>0</v>
      </c>
      <c r="P315" t="n">
        <v>0</v>
      </c>
      <c r="Q315" t="n">
        <v>0</v>
      </c>
      <c r="R315" s="2" t="inlineStr"/>
    </row>
    <row r="316" ht="15" customHeight="1">
      <c r="A316" t="inlineStr">
        <is>
          <t>A 46691-2023</t>
        </is>
      </c>
      <c r="B316" s="1" t="n">
        <v>45198.52241898148</v>
      </c>
      <c r="C316" s="1" t="n">
        <v>46181</v>
      </c>
      <c r="D316" t="inlineStr">
        <is>
          <t>VÄSTERBOTTENS LÄN</t>
        </is>
      </c>
      <c r="E316" t="inlineStr">
        <is>
          <t>ÅSELE</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62534-2021</t>
        </is>
      </c>
      <c r="B317" s="1" t="n">
        <v>44503</v>
      </c>
      <c r="C317" s="1" t="n">
        <v>46181</v>
      </c>
      <c r="D317" t="inlineStr">
        <is>
          <t>VÄSTERBOTTENS LÄN</t>
        </is>
      </c>
      <c r="E317" t="inlineStr">
        <is>
          <t>ÅSELE</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28066-2025</t>
        </is>
      </c>
      <c r="B318" s="1" t="n">
        <v>45817</v>
      </c>
      <c r="C318" s="1" t="n">
        <v>46181</v>
      </c>
      <c r="D318" t="inlineStr">
        <is>
          <t>VÄSTERBOTTENS LÄN</t>
        </is>
      </c>
      <c r="E318" t="inlineStr">
        <is>
          <t>ÅSELE</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28495-2025</t>
        </is>
      </c>
      <c r="B319" s="1" t="n">
        <v>45818</v>
      </c>
      <c r="C319" s="1" t="n">
        <v>46181</v>
      </c>
      <c r="D319" t="inlineStr">
        <is>
          <t>VÄSTERBOTTENS LÄN</t>
        </is>
      </c>
      <c r="E319" t="inlineStr">
        <is>
          <t>ÅSELE</t>
        </is>
      </c>
      <c r="G319" t="n">
        <v>37.6</v>
      </c>
      <c r="H319" t="n">
        <v>0</v>
      </c>
      <c r="I319" t="n">
        <v>0</v>
      </c>
      <c r="J319" t="n">
        <v>0</v>
      </c>
      <c r="K319" t="n">
        <v>0</v>
      </c>
      <c r="L319" t="n">
        <v>0</v>
      </c>
      <c r="M319" t="n">
        <v>0</v>
      </c>
      <c r="N319" t="n">
        <v>0</v>
      </c>
      <c r="O319" t="n">
        <v>0</v>
      </c>
      <c r="P319" t="n">
        <v>0</v>
      </c>
      <c r="Q319" t="n">
        <v>0</v>
      </c>
      <c r="R319" s="2" t="inlineStr"/>
    </row>
    <row r="320" ht="15" customHeight="1">
      <c r="A320" t="inlineStr">
        <is>
          <t>A 43334-2025</t>
        </is>
      </c>
      <c r="B320" s="1" t="n">
        <v>45910.71481481481</v>
      </c>
      <c r="C320" s="1" t="n">
        <v>46181</v>
      </c>
      <c r="D320" t="inlineStr">
        <is>
          <t>VÄSTERBOTTENS LÄN</t>
        </is>
      </c>
      <c r="E320" t="inlineStr">
        <is>
          <t>ÅSELE</t>
        </is>
      </c>
      <c r="F320" t="inlineStr">
        <is>
          <t>Holmen skog AB</t>
        </is>
      </c>
      <c r="G320" t="n">
        <v>5</v>
      </c>
      <c r="H320" t="n">
        <v>0</v>
      </c>
      <c r="I320" t="n">
        <v>0</v>
      </c>
      <c r="J320" t="n">
        <v>0</v>
      </c>
      <c r="K320" t="n">
        <v>0</v>
      </c>
      <c r="L320" t="n">
        <v>0</v>
      </c>
      <c r="M320" t="n">
        <v>0</v>
      </c>
      <c r="N320" t="n">
        <v>0</v>
      </c>
      <c r="O320" t="n">
        <v>0</v>
      </c>
      <c r="P320" t="n">
        <v>0</v>
      </c>
      <c r="Q320" t="n">
        <v>0</v>
      </c>
      <c r="R320" s="2" t="inlineStr"/>
    </row>
    <row r="321" ht="15" customHeight="1">
      <c r="A321" t="inlineStr">
        <is>
          <t>A 43289-2025</t>
        </is>
      </c>
      <c r="B321" s="1" t="n">
        <v>45910</v>
      </c>
      <c r="C321" s="1" t="n">
        <v>46181</v>
      </c>
      <c r="D321" t="inlineStr">
        <is>
          <t>VÄSTERBOTTENS LÄN</t>
        </is>
      </c>
      <c r="E321" t="inlineStr">
        <is>
          <t>ÅSELE</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49382-2024</t>
        </is>
      </c>
      <c r="B322" s="1" t="n">
        <v>45595</v>
      </c>
      <c r="C322" s="1" t="n">
        <v>46181</v>
      </c>
      <c r="D322" t="inlineStr">
        <is>
          <t>VÄSTERBOTTENS LÄN</t>
        </is>
      </c>
      <c r="E322" t="inlineStr">
        <is>
          <t>ÅSELE</t>
        </is>
      </c>
      <c r="F322" t="inlineStr">
        <is>
          <t>Holmen skog AB</t>
        </is>
      </c>
      <c r="G322" t="n">
        <v>1.8</v>
      </c>
      <c r="H322" t="n">
        <v>0</v>
      </c>
      <c r="I322" t="n">
        <v>0</v>
      </c>
      <c r="J322" t="n">
        <v>0</v>
      </c>
      <c r="K322" t="n">
        <v>0</v>
      </c>
      <c r="L322" t="n">
        <v>0</v>
      </c>
      <c r="M322" t="n">
        <v>0</v>
      </c>
      <c r="N322" t="n">
        <v>0</v>
      </c>
      <c r="O322" t="n">
        <v>0</v>
      </c>
      <c r="P322" t="n">
        <v>0</v>
      </c>
      <c r="Q322" t="n">
        <v>0</v>
      </c>
      <c r="R322" s="2" t="inlineStr"/>
    </row>
    <row r="323" ht="15" customHeight="1">
      <c r="A323" t="inlineStr">
        <is>
          <t>A 47441-2024</t>
        </is>
      </c>
      <c r="B323" s="1" t="n">
        <v>45587</v>
      </c>
      <c r="C323" s="1" t="n">
        <v>46181</v>
      </c>
      <c r="D323" t="inlineStr">
        <is>
          <t>VÄSTERBOTTENS LÄN</t>
        </is>
      </c>
      <c r="E323" t="inlineStr">
        <is>
          <t>ÅSELE</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42935-2025</t>
        </is>
      </c>
      <c r="B324" s="1" t="n">
        <v>45909.32541666667</v>
      </c>
      <c r="C324" s="1" t="n">
        <v>46181</v>
      </c>
      <c r="D324" t="inlineStr">
        <is>
          <t>VÄSTERBOTTENS LÄN</t>
        </is>
      </c>
      <c r="E324" t="inlineStr">
        <is>
          <t>ÅSELE</t>
        </is>
      </c>
      <c r="G324" t="n">
        <v>0.8</v>
      </c>
      <c r="H324" t="n">
        <v>0</v>
      </c>
      <c r="I324" t="n">
        <v>0</v>
      </c>
      <c r="J324" t="n">
        <v>0</v>
      </c>
      <c r="K324" t="n">
        <v>0</v>
      </c>
      <c r="L324" t="n">
        <v>0</v>
      </c>
      <c r="M324" t="n">
        <v>0</v>
      </c>
      <c r="N324" t="n">
        <v>0</v>
      </c>
      <c r="O324" t="n">
        <v>0</v>
      </c>
      <c r="P324" t="n">
        <v>0</v>
      </c>
      <c r="Q324" t="n">
        <v>0</v>
      </c>
      <c r="R324" s="2" t="inlineStr"/>
    </row>
    <row r="325" ht="15" customHeight="1">
      <c r="A325" t="inlineStr">
        <is>
          <t>A 43540-2025</t>
        </is>
      </c>
      <c r="B325" s="1" t="n">
        <v>45911.60609953704</v>
      </c>
      <c r="C325" s="1" t="n">
        <v>46181</v>
      </c>
      <c r="D325" t="inlineStr">
        <is>
          <t>VÄSTERBOTTENS LÄN</t>
        </is>
      </c>
      <c r="E325" t="inlineStr">
        <is>
          <t>ÅSELE</t>
        </is>
      </c>
      <c r="F325" t="inlineStr">
        <is>
          <t>Holmen skog AB</t>
        </is>
      </c>
      <c r="G325" t="n">
        <v>3.3</v>
      </c>
      <c r="H325" t="n">
        <v>0</v>
      </c>
      <c r="I325" t="n">
        <v>0</v>
      </c>
      <c r="J325" t="n">
        <v>0</v>
      </c>
      <c r="K325" t="n">
        <v>0</v>
      </c>
      <c r="L325" t="n">
        <v>0</v>
      </c>
      <c r="M325" t="n">
        <v>0</v>
      </c>
      <c r="N325" t="n">
        <v>0</v>
      </c>
      <c r="O325" t="n">
        <v>0</v>
      </c>
      <c r="P325" t="n">
        <v>0</v>
      </c>
      <c r="Q325" t="n">
        <v>0</v>
      </c>
      <c r="R325" s="2" t="inlineStr"/>
    </row>
    <row r="326" ht="15" customHeight="1">
      <c r="A326" t="inlineStr">
        <is>
          <t>A 43547-2025</t>
        </is>
      </c>
      <c r="B326" s="1" t="n">
        <v>45911.61565972222</v>
      </c>
      <c r="C326" s="1" t="n">
        <v>46181</v>
      </c>
      <c r="D326" t="inlineStr">
        <is>
          <t>VÄSTERBOTTENS LÄN</t>
        </is>
      </c>
      <c r="E326" t="inlineStr">
        <is>
          <t>ÅSELE</t>
        </is>
      </c>
      <c r="F326" t="inlineStr">
        <is>
          <t>SCA</t>
        </is>
      </c>
      <c r="G326" t="n">
        <v>4.8</v>
      </c>
      <c r="H326" t="n">
        <v>0</v>
      </c>
      <c r="I326" t="n">
        <v>0</v>
      </c>
      <c r="J326" t="n">
        <v>0</v>
      </c>
      <c r="K326" t="n">
        <v>0</v>
      </c>
      <c r="L326" t="n">
        <v>0</v>
      </c>
      <c r="M326" t="n">
        <v>0</v>
      </c>
      <c r="N326" t="n">
        <v>0</v>
      </c>
      <c r="O326" t="n">
        <v>0</v>
      </c>
      <c r="P326" t="n">
        <v>0</v>
      </c>
      <c r="Q326" t="n">
        <v>0</v>
      </c>
      <c r="R326" s="2" t="inlineStr"/>
    </row>
    <row r="327" ht="15" customHeight="1">
      <c r="A327" t="inlineStr">
        <is>
          <t>A 28929-2025</t>
        </is>
      </c>
      <c r="B327" s="1" t="n">
        <v>45820.6775</v>
      </c>
      <c r="C327" s="1" t="n">
        <v>46181</v>
      </c>
      <c r="D327" t="inlineStr">
        <is>
          <t>VÄSTERBOTTENS LÄN</t>
        </is>
      </c>
      <c r="E327" t="inlineStr">
        <is>
          <t>ÅSELE</t>
        </is>
      </c>
      <c r="F327" t="inlineStr">
        <is>
          <t>SCA</t>
        </is>
      </c>
      <c r="G327" t="n">
        <v>11.4</v>
      </c>
      <c r="H327" t="n">
        <v>0</v>
      </c>
      <c r="I327" t="n">
        <v>0</v>
      </c>
      <c r="J327" t="n">
        <v>0</v>
      </c>
      <c r="K327" t="n">
        <v>0</v>
      </c>
      <c r="L327" t="n">
        <v>0</v>
      </c>
      <c r="M327" t="n">
        <v>0</v>
      </c>
      <c r="N327" t="n">
        <v>0</v>
      </c>
      <c r="O327" t="n">
        <v>0</v>
      </c>
      <c r="P327" t="n">
        <v>0</v>
      </c>
      <c r="Q327" t="n">
        <v>0</v>
      </c>
      <c r="R327" s="2" t="inlineStr"/>
    </row>
    <row r="328" ht="15" customHeight="1">
      <c r="A328" t="inlineStr">
        <is>
          <t>A 61744-2024</t>
        </is>
      </c>
      <c r="B328" s="1" t="n">
        <v>45649</v>
      </c>
      <c r="C328" s="1" t="n">
        <v>46181</v>
      </c>
      <c r="D328" t="inlineStr">
        <is>
          <t>VÄSTERBOTTENS LÄN</t>
        </is>
      </c>
      <c r="E328" t="inlineStr">
        <is>
          <t>ÅSELE</t>
        </is>
      </c>
      <c r="G328" t="n">
        <v>6.6</v>
      </c>
      <c r="H328" t="n">
        <v>0</v>
      </c>
      <c r="I328" t="n">
        <v>0</v>
      </c>
      <c r="J328" t="n">
        <v>0</v>
      </c>
      <c r="K328" t="n">
        <v>0</v>
      </c>
      <c r="L328" t="n">
        <v>0</v>
      </c>
      <c r="M328" t="n">
        <v>0</v>
      </c>
      <c r="N328" t="n">
        <v>0</v>
      </c>
      <c r="O328" t="n">
        <v>0</v>
      </c>
      <c r="P328" t="n">
        <v>0</v>
      </c>
      <c r="Q328" t="n">
        <v>0</v>
      </c>
      <c r="R328" s="2" t="inlineStr"/>
    </row>
    <row r="329" ht="15" customHeight="1">
      <c r="A329" t="inlineStr">
        <is>
          <t>A 28581-2025</t>
        </is>
      </c>
      <c r="B329" s="1" t="n">
        <v>45819</v>
      </c>
      <c r="C329" s="1" t="n">
        <v>46181</v>
      </c>
      <c r="D329" t="inlineStr">
        <is>
          <t>VÄSTERBOTTENS LÄN</t>
        </is>
      </c>
      <c r="E329" t="inlineStr">
        <is>
          <t>ÅSELE</t>
        </is>
      </c>
      <c r="G329" t="n">
        <v>3.9</v>
      </c>
      <c r="H329" t="n">
        <v>0</v>
      </c>
      <c r="I329" t="n">
        <v>0</v>
      </c>
      <c r="J329" t="n">
        <v>0</v>
      </c>
      <c r="K329" t="n">
        <v>0</v>
      </c>
      <c r="L329" t="n">
        <v>0</v>
      </c>
      <c r="M329" t="n">
        <v>0</v>
      </c>
      <c r="N329" t="n">
        <v>0</v>
      </c>
      <c r="O329" t="n">
        <v>0</v>
      </c>
      <c r="P329" t="n">
        <v>0</v>
      </c>
      <c r="Q329" t="n">
        <v>0</v>
      </c>
      <c r="R329" s="2" t="inlineStr"/>
    </row>
    <row r="330" ht="15" customHeight="1">
      <c r="A330" t="inlineStr">
        <is>
          <t>A 43518-2025</t>
        </is>
      </c>
      <c r="B330" s="1" t="n">
        <v>45911.57329861111</v>
      </c>
      <c r="C330" s="1" t="n">
        <v>46181</v>
      </c>
      <c r="D330" t="inlineStr">
        <is>
          <t>VÄSTERBOTTENS LÄN</t>
        </is>
      </c>
      <c r="E330" t="inlineStr">
        <is>
          <t>ÅSELE</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48033-2024</t>
        </is>
      </c>
      <c r="B331" s="1" t="n">
        <v>45589.49001157407</v>
      </c>
      <c r="C331" s="1" t="n">
        <v>46181</v>
      </c>
      <c r="D331" t="inlineStr">
        <is>
          <t>VÄSTERBOTTENS LÄN</t>
        </is>
      </c>
      <c r="E331" t="inlineStr">
        <is>
          <t>ÅSELE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29983-2025</t>
        </is>
      </c>
      <c r="B332" s="1" t="n">
        <v>45826.49555555556</v>
      </c>
      <c r="C332" s="1" t="n">
        <v>46181</v>
      </c>
      <c r="D332" t="inlineStr">
        <is>
          <t>VÄSTERBOTTENS LÄN</t>
        </is>
      </c>
      <c r="E332" t="inlineStr">
        <is>
          <t>ÅSELE</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29963-2025</t>
        </is>
      </c>
      <c r="B333" s="1" t="n">
        <v>45826.48354166667</v>
      </c>
      <c r="C333" s="1" t="n">
        <v>46181</v>
      </c>
      <c r="D333" t="inlineStr">
        <is>
          <t>VÄSTERBOTTENS LÄN</t>
        </is>
      </c>
      <c r="E333" t="inlineStr">
        <is>
          <t>ÅSELE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30043-2025</t>
        </is>
      </c>
      <c r="B334" s="1" t="n">
        <v>45826</v>
      </c>
      <c r="C334" s="1" t="n">
        <v>46181</v>
      </c>
      <c r="D334" t="inlineStr">
        <is>
          <t>VÄSTERBOTTENS LÄN</t>
        </is>
      </c>
      <c r="E334" t="inlineStr">
        <is>
          <t>ÅSELE</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29849-2025</t>
        </is>
      </c>
      <c r="B335" s="1" t="n">
        <v>45826.32945601852</v>
      </c>
      <c r="C335" s="1" t="n">
        <v>46181</v>
      </c>
      <c r="D335" t="inlineStr">
        <is>
          <t>VÄSTERBOTTENS LÄN</t>
        </is>
      </c>
      <c r="E335" t="inlineStr">
        <is>
          <t>ÅSELE</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43657-2025</t>
        </is>
      </c>
      <c r="B336" s="1" t="n">
        <v>45912.34260416667</v>
      </c>
      <c r="C336" s="1" t="n">
        <v>46181</v>
      </c>
      <c r="D336" t="inlineStr">
        <is>
          <t>VÄSTERBOTTENS LÄN</t>
        </is>
      </c>
      <c r="E336" t="inlineStr">
        <is>
          <t>ÅSELE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29843-2025</t>
        </is>
      </c>
      <c r="B337" s="1" t="n">
        <v>45826.31524305556</v>
      </c>
      <c r="C337" s="1" t="n">
        <v>46181</v>
      </c>
      <c r="D337" t="inlineStr">
        <is>
          <t>VÄSTERBOTTENS LÄN</t>
        </is>
      </c>
      <c r="E337" t="inlineStr">
        <is>
          <t>ÅSELE</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29850-2025</t>
        </is>
      </c>
      <c r="B338" s="1" t="n">
        <v>45826</v>
      </c>
      <c r="C338" s="1" t="n">
        <v>46181</v>
      </c>
      <c r="D338" t="inlineStr">
        <is>
          <t>VÄSTERBOTTENS LÄN</t>
        </is>
      </c>
      <c r="E338" t="inlineStr">
        <is>
          <t>ÅSELE</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10360-2025</t>
        </is>
      </c>
      <c r="B339" s="1" t="n">
        <v>45720</v>
      </c>
      <c r="C339" s="1" t="n">
        <v>46181</v>
      </c>
      <c r="D339" t="inlineStr">
        <is>
          <t>VÄSTERBOTTENS LÄN</t>
        </is>
      </c>
      <c r="E339" t="inlineStr">
        <is>
          <t>ÅSELE</t>
        </is>
      </c>
      <c r="G339" t="n">
        <v>0.8</v>
      </c>
      <c r="H339" t="n">
        <v>0</v>
      </c>
      <c r="I339" t="n">
        <v>0</v>
      </c>
      <c r="J339" t="n">
        <v>0</v>
      </c>
      <c r="K339" t="n">
        <v>0</v>
      </c>
      <c r="L339" t="n">
        <v>0</v>
      </c>
      <c r="M339" t="n">
        <v>0</v>
      </c>
      <c r="N339" t="n">
        <v>0</v>
      </c>
      <c r="O339" t="n">
        <v>0</v>
      </c>
      <c r="P339" t="n">
        <v>0</v>
      </c>
      <c r="Q339" t="n">
        <v>0</v>
      </c>
      <c r="R339" s="2" t="inlineStr"/>
    </row>
    <row r="340" ht="15" customHeight="1">
      <c r="A340" t="inlineStr">
        <is>
          <t>A 10381-2025</t>
        </is>
      </c>
      <c r="B340" s="1" t="n">
        <v>45720.57324074074</v>
      </c>
      <c r="C340" s="1" t="n">
        <v>46181</v>
      </c>
      <c r="D340" t="inlineStr">
        <is>
          <t>VÄSTERBOTTENS LÄN</t>
        </is>
      </c>
      <c r="E340" t="inlineStr">
        <is>
          <t>ÅSELE</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30037-2025</t>
        </is>
      </c>
      <c r="B341" s="1" t="n">
        <v>45826.57112268519</v>
      </c>
      <c r="C341" s="1" t="n">
        <v>46181</v>
      </c>
      <c r="D341" t="inlineStr">
        <is>
          <t>VÄSTERBOTTENS LÄN</t>
        </is>
      </c>
      <c r="E341" t="inlineStr">
        <is>
          <t>ÅSELE</t>
        </is>
      </c>
      <c r="F341" t="inlineStr">
        <is>
          <t>Sveaskog</t>
        </is>
      </c>
      <c r="G341" t="n">
        <v>8.9</v>
      </c>
      <c r="H341" t="n">
        <v>0</v>
      </c>
      <c r="I341" t="n">
        <v>0</v>
      </c>
      <c r="J341" t="n">
        <v>0</v>
      </c>
      <c r="K341" t="n">
        <v>0</v>
      </c>
      <c r="L341" t="n">
        <v>0</v>
      </c>
      <c r="M341" t="n">
        <v>0</v>
      </c>
      <c r="N341" t="n">
        <v>0</v>
      </c>
      <c r="O341" t="n">
        <v>0</v>
      </c>
      <c r="P341" t="n">
        <v>0</v>
      </c>
      <c r="Q341" t="n">
        <v>0</v>
      </c>
      <c r="R341" s="2" t="inlineStr"/>
    </row>
    <row r="342" ht="15" customHeight="1">
      <c r="A342" t="inlineStr">
        <is>
          <t>A 43489-2025</t>
        </is>
      </c>
      <c r="B342" s="1" t="n">
        <v>45911.51107638889</v>
      </c>
      <c r="C342" s="1" t="n">
        <v>46181</v>
      </c>
      <c r="D342" t="inlineStr">
        <is>
          <t>VÄSTERBOTTENS LÄN</t>
        </is>
      </c>
      <c r="E342" t="inlineStr">
        <is>
          <t>ÅSELE</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5145-2026</t>
        </is>
      </c>
      <c r="B343" s="1" t="n">
        <v>46048</v>
      </c>
      <c r="C343" s="1" t="n">
        <v>46181</v>
      </c>
      <c r="D343" t="inlineStr">
        <is>
          <t>VÄSTERBOTTENS LÄN</t>
        </is>
      </c>
      <c r="E343" t="inlineStr">
        <is>
          <t>ÅSELE</t>
        </is>
      </c>
      <c r="G343" t="n">
        <v>0.7</v>
      </c>
      <c r="H343" t="n">
        <v>0</v>
      </c>
      <c r="I343" t="n">
        <v>0</v>
      </c>
      <c r="J343" t="n">
        <v>0</v>
      </c>
      <c r="K343" t="n">
        <v>0</v>
      </c>
      <c r="L343" t="n">
        <v>0</v>
      </c>
      <c r="M343" t="n">
        <v>0</v>
      </c>
      <c r="N343" t="n">
        <v>0</v>
      </c>
      <c r="O343" t="n">
        <v>0</v>
      </c>
      <c r="P343" t="n">
        <v>0</v>
      </c>
      <c r="Q343" t="n">
        <v>0</v>
      </c>
      <c r="R343" s="2" t="inlineStr"/>
    </row>
    <row r="344" ht="15" customHeight="1">
      <c r="A344" t="inlineStr">
        <is>
          <t>A 44279-2025</t>
        </is>
      </c>
      <c r="B344" s="1" t="n">
        <v>45916.34494212963</v>
      </c>
      <c r="C344" s="1" t="n">
        <v>46181</v>
      </c>
      <c r="D344" t="inlineStr">
        <is>
          <t>VÄSTERBOTTENS LÄN</t>
        </is>
      </c>
      <c r="E344" t="inlineStr">
        <is>
          <t>ÅSELE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44208-2025</t>
        </is>
      </c>
      <c r="B345" s="1" t="n">
        <v>45915.62952546297</v>
      </c>
      <c r="C345" s="1" t="n">
        <v>46181</v>
      </c>
      <c r="D345" t="inlineStr">
        <is>
          <t>VÄSTERBOTTENS LÄN</t>
        </is>
      </c>
      <c r="E345" t="inlineStr">
        <is>
          <t>ÅSELE</t>
        </is>
      </c>
      <c r="F345" t="inlineStr">
        <is>
          <t>Naturvårdsverket</t>
        </is>
      </c>
      <c r="G345" t="n">
        <v>1.9</v>
      </c>
      <c r="H345" t="n">
        <v>0</v>
      </c>
      <c r="I345" t="n">
        <v>0</v>
      </c>
      <c r="J345" t="n">
        <v>0</v>
      </c>
      <c r="K345" t="n">
        <v>0</v>
      </c>
      <c r="L345" t="n">
        <v>0</v>
      </c>
      <c r="M345" t="n">
        <v>0</v>
      </c>
      <c r="N345" t="n">
        <v>0</v>
      </c>
      <c r="O345" t="n">
        <v>0</v>
      </c>
      <c r="P345" t="n">
        <v>0</v>
      </c>
      <c r="Q345" t="n">
        <v>0</v>
      </c>
      <c r="R345" s="2" t="inlineStr"/>
    </row>
    <row r="346" ht="15" customHeight="1">
      <c r="A346" t="inlineStr">
        <is>
          <t>A 44210-2025</t>
        </is>
      </c>
      <c r="B346" s="1" t="n">
        <v>45915.63162037037</v>
      </c>
      <c r="C346" s="1" t="n">
        <v>46181</v>
      </c>
      <c r="D346" t="inlineStr">
        <is>
          <t>VÄSTERBOTTENS LÄN</t>
        </is>
      </c>
      <c r="E346" t="inlineStr">
        <is>
          <t>ÅSELE</t>
        </is>
      </c>
      <c r="F346" t="inlineStr">
        <is>
          <t>Holmen skog AB</t>
        </is>
      </c>
      <c r="G346" t="n">
        <v>4.5</v>
      </c>
      <c r="H346" t="n">
        <v>0</v>
      </c>
      <c r="I346" t="n">
        <v>0</v>
      </c>
      <c r="J346" t="n">
        <v>0</v>
      </c>
      <c r="K346" t="n">
        <v>0</v>
      </c>
      <c r="L346" t="n">
        <v>0</v>
      </c>
      <c r="M346" t="n">
        <v>0</v>
      </c>
      <c r="N346" t="n">
        <v>0</v>
      </c>
      <c r="O346" t="n">
        <v>0</v>
      </c>
      <c r="P346" t="n">
        <v>0</v>
      </c>
      <c r="Q346" t="n">
        <v>0</v>
      </c>
      <c r="R346" s="2" t="inlineStr"/>
    </row>
    <row r="347" ht="15" customHeight="1">
      <c r="A347" t="inlineStr">
        <is>
          <t>A 44242-2025</t>
        </is>
      </c>
      <c r="B347" s="1" t="n">
        <v>45915.67774305555</v>
      </c>
      <c r="C347" s="1" t="n">
        <v>46181</v>
      </c>
      <c r="D347" t="inlineStr">
        <is>
          <t>VÄSTERBOTTENS LÄN</t>
        </is>
      </c>
      <c r="E347" t="inlineStr">
        <is>
          <t>ÅSELE</t>
        </is>
      </c>
      <c r="F347" t="inlineStr">
        <is>
          <t>SCA</t>
        </is>
      </c>
      <c r="G347" t="n">
        <v>39.9</v>
      </c>
      <c r="H347" t="n">
        <v>0</v>
      </c>
      <c r="I347" t="n">
        <v>0</v>
      </c>
      <c r="J347" t="n">
        <v>0</v>
      </c>
      <c r="K347" t="n">
        <v>0</v>
      </c>
      <c r="L347" t="n">
        <v>0</v>
      </c>
      <c r="M347" t="n">
        <v>0</v>
      </c>
      <c r="N347" t="n">
        <v>0</v>
      </c>
      <c r="O347" t="n">
        <v>0</v>
      </c>
      <c r="P347" t="n">
        <v>0</v>
      </c>
      <c r="Q347" t="n">
        <v>0</v>
      </c>
      <c r="R347" s="2" t="inlineStr"/>
    </row>
    <row r="348" ht="15" customHeight="1">
      <c r="A348" t="inlineStr">
        <is>
          <t>A 44414-2025</t>
        </is>
      </c>
      <c r="B348" s="1" t="n">
        <v>45916.54280092593</v>
      </c>
      <c r="C348" s="1" t="n">
        <v>46181</v>
      </c>
      <c r="D348" t="inlineStr">
        <is>
          <t>VÄSTERBOTTENS LÄN</t>
        </is>
      </c>
      <c r="E348" t="inlineStr">
        <is>
          <t>ÅSELE</t>
        </is>
      </c>
      <c r="G348" t="n">
        <v>1.3</v>
      </c>
      <c r="H348" t="n">
        <v>0</v>
      </c>
      <c r="I348" t="n">
        <v>0</v>
      </c>
      <c r="J348" t="n">
        <v>0</v>
      </c>
      <c r="K348" t="n">
        <v>0</v>
      </c>
      <c r="L348" t="n">
        <v>0</v>
      </c>
      <c r="M348" t="n">
        <v>0</v>
      </c>
      <c r="N348" t="n">
        <v>0</v>
      </c>
      <c r="O348" t="n">
        <v>0</v>
      </c>
      <c r="P348" t="n">
        <v>0</v>
      </c>
      <c r="Q348" t="n">
        <v>0</v>
      </c>
      <c r="R348" s="2" t="inlineStr"/>
    </row>
    <row r="349" ht="15" customHeight="1">
      <c r="A349" t="inlineStr">
        <is>
          <t>A 43985-2025</t>
        </is>
      </c>
      <c r="B349" s="1" t="n">
        <v>45915.43275462963</v>
      </c>
      <c r="C349" s="1" t="n">
        <v>46181</v>
      </c>
      <c r="D349" t="inlineStr">
        <is>
          <t>VÄSTERBOTTENS LÄN</t>
        </is>
      </c>
      <c r="E349" t="inlineStr">
        <is>
          <t>ÅSELE</t>
        </is>
      </c>
      <c r="F349" t="inlineStr">
        <is>
          <t>Holmen skog AB</t>
        </is>
      </c>
      <c r="G349" t="n">
        <v>5.8</v>
      </c>
      <c r="H349" t="n">
        <v>0</v>
      </c>
      <c r="I349" t="n">
        <v>0</v>
      </c>
      <c r="J349" t="n">
        <v>0</v>
      </c>
      <c r="K349" t="n">
        <v>0</v>
      </c>
      <c r="L349" t="n">
        <v>0</v>
      </c>
      <c r="M349" t="n">
        <v>0</v>
      </c>
      <c r="N349" t="n">
        <v>0</v>
      </c>
      <c r="O349" t="n">
        <v>0</v>
      </c>
      <c r="P349" t="n">
        <v>0</v>
      </c>
      <c r="Q349" t="n">
        <v>0</v>
      </c>
      <c r="R349" s="2" t="inlineStr"/>
    </row>
    <row r="350" ht="15" customHeight="1">
      <c r="A350" t="inlineStr">
        <is>
          <t>A 29947-2025</t>
        </is>
      </c>
      <c r="B350" s="1" t="n">
        <v>45826</v>
      </c>
      <c r="C350" s="1" t="n">
        <v>46181</v>
      </c>
      <c r="D350" t="inlineStr">
        <is>
          <t>VÄSTERBOTTENS LÄN</t>
        </is>
      </c>
      <c r="E350" t="inlineStr">
        <is>
          <t>ÅSELE</t>
        </is>
      </c>
      <c r="F350" t="inlineStr">
        <is>
          <t>Sveaskog</t>
        </is>
      </c>
      <c r="G350" t="n">
        <v>15.4</v>
      </c>
      <c r="H350" t="n">
        <v>0</v>
      </c>
      <c r="I350" t="n">
        <v>0</v>
      </c>
      <c r="J350" t="n">
        <v>0</v>
      </c>
      <c r="K350" t="n">
        <v>0</v>
      </c>
      <c r="L350" t="n">
        <v>0</v>
      </c>
      <c r="M350" t="n">
        <v>0</v>
      </c>
      <c r="N350" t="n">
        <v>0</v>
      </c>
      <c r="O350" t="n">
        <v>0</v>
      </c>
      <c r="P350" t="n">
        <v>0</v>
      </c>
      <c r="Q350" t="n">
        <v>0</v>
      </c>
      <c r="R350" s="2" t="inlineStr"/>
    </row>
    <row r="351" ht="15" customHeight="1">
      <c r="A351" t="inlineStr">
        <is>
          <t>A 29978-2025</t>
        </is>
      </c>
      <c r="B351" s="1" t="n">
        <v>45826.49273148148</v>
      </c>
      <c r="C351" s="1" t="n">
        <v>46181</v>
      </c>
      <c r="D351" t="inlineStr">
        <is>
          <t>VÄSTERBOTTENS LÄN</t>
        </is>
      </c>
      <c r="E351" t="inlineStr">
        <is>
          <t>ÅSELE</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29998-2025</t>
        </is>
      </c>
      <c r="B352" s="1" t="n">
        <v>45826</v>
      </c>
      <c r="C352" s="1" t="n">
        <v>46181</v>
      </c>
      <c r="D352" t="inlineStr">
        <is>
          <t>VÄSTERBOTTENS LÄN</t>
        </is>
      </c>
      <c r="E352" t="inlineStr">
        <is>
          <t>ÅSELE</t>
        </is>
      </c>
      <c r="F352" t="inlineStr">
        <is>
          <t>Sveaskog</t>
        </is>
      </c>
      <c r="G352" t="n">
        <v>4.3</v>
      </c>
      <c r="H352" t="n">
        <v>0</v>
      </c>
      <c r="I352" t="n">
        <v>0</v>
      </c>
      <c r="J352" t="n">
        <v>0</v>
      </c>
      <c r="K352" t="n">
        <v>0</v>
      </c>
      <c r="L352" t="n">
        <v>0</v>
      </c>
      <c r="M352" t="n">
        <v>0</v>
      </c>
      <c r="N352" t="n">
        <v>0</v>
      </c>
      <c r="O352" t="n">
        <v>0</v>
      </c>
      <c r="P352" t="n">
        <v>0</v>
      </c>
      <c r="Q352" t="n">
        <v>0</v>
      </c>
      <c r="R352" s="2" t="inlineStr"/>
    </row>
    <row r="353" ht="15" customHeight="1">
      <c r="A353" t="inlineStr">
        <is>
          <t>A 44416-2025</t>
        </is>
      </c>
      <c r="B353" s="1" t="n">
        <v>45916.54385416667</v>
      </c>
      <c r="C353" s="1" t="n">
        <v>46181</v>
      </c>
      <c r="D353" t="inlineStr">
        <is>
          <t>VÄSTERBOTTENS LÄN</t>
        </is>
      </c>
      <c r="E353" t="inlineStr">
        <is>
          <t>ÅSELE</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29531-2025</t>
        </is>
      </c>
      <c r="B354" s="1" t="n">
        <v>45825.34444444445</v>
      </c>
      <c r="C354" s="1" t="n">
        <v>46181</v>
      </c>
      <c r="D354" t="inlineStr">
        <is>
          <t>VÄSTERBOTTENS LÄN</t>
        </is>
      </c>
      <c r="E354" t="inlineStr">
        <is>
          <t>ÅSELE</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44435-2025</t>
        </is>
      </c>
      <c r="B355" s="1" t="n">
        <v>45916.58086805556</v>
      </c>
      <c r="C355" s="1" t="n">
        <v>46181</v>
      </c>
      <c r="D355" t="inlineStr">
        <is>
          <t>VÄSTERBOTTENS LÄN</t>
        </is>
      </c>
      <c r="E355" t="inlineStr">
        <is>
          <t>ÅSELE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44401-2025</t>
        </is>
      </c>
      <c r="B356" s="1" t="n">
        <v>45916.50414351852</v>
      </c>
      <c r="C356" s="1" t="n">
        <v>46181</v>
      </c>
      <c r="D356" t="inlineStr">
        <is>
          <t>VÄSTERBOTTENS LÄN</t>
        </is>
      </c>
      <c r="E356" t="inlineStr">
        <is>
          <t>ÅSELE</t>
        </is>
      </c>
      <c r="G356" t="n">
        <v>3</v>
      </c>
      <c r="H356" t="n">
        <v>0</v>
      </c>
      <c r="I356" t="n">
        <v>0</v>
      </c>
      <c r="J356" t="n">
        <v>0</v>
      </c>
      <c r="K356" t="n">
        <v>0</v>
      </c>
      <c r="L356" t="n">
        <v>0</v>
      </c>
      <c r="M356" t="n">
        <v>0</v>
      </c>
      <c r="N356" t="n">
        <v>0</v>
      </c>
      <c r="O356" t="n">
        <v>0</v>
      </c>
      <c r="P356" t="n">
        <v>0</v>
      </c>
      <c r="Q356" t="n">
        <v>0</v>
      </c>
      <c r="R356" s="2" t="inlineStr"/>
    </row>
    <row r="357" ht="15" customHeight="1">
      <c r="A357" t="inlineStr">
        <is>
          <t>A 44005-2025</t>
        </is>
      </c>
      <c r="B357" s="1" t="n">
        <v>45915.45715277778</v>
      </c>
      <c r="C357" s="1" t="n">
        <v>46181</v>
      </c>
      <c r="D357" t="inlineStr">
        <is>
          <t>VÄSTERBOTTENS LÄN</t>
        </is>
      </c>
      <c r="E357" t="inlineStr">
        <is>
          <t>ÅSELE</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4311-2026</t>
        </is>
      </c>
      <c r="B358" s="1" t="n">
        <v>46045.44380787037</v>
      </c>
      <c r="C358" s="1" t="n">
        <v>46181</v>
      </c>
      <c r="D358" t="inlineStr">
        <is>
          <t>VÄSTERBOTTENS LÄN</t>
        </is>
      </c>
      <c r="E358" t="inlineStr">
        <is>
          <t>ÅSELE</t>
        </is>
      </c>
      <c r="G358" t="n">
        <v>7.9</v>
      </c>
      <c r="H358" t="n">
        <v>0</v>
      </c>
      <c r="I358" t="n">
        <v>0</v>
      </c>
      <c r="J358" t="n">
        <v>0</v>
      </c>
      <c r="K358" t="n">
        <v>0</v>
      </c>
      <c r="L358" t="n">
        <v>0</v>
      </c>
      <c r="M358" t="n">
        <v>0</v>
      </c>
      <c r="N358" t="n">
        <v>0</v>
      </c>
      <c r="O358" t="n">
        <v>0</v>
      </c>
      <c r="P358" t="n">
        <v>0</v>
      </c>
      <c r="Q358" t="n">
        <v>0</v>
      </c>
      <c r="R358" s="2" t="inlineStr"/>
    </row>
    <row r="359" ht="15" customHeight="1">
      <c r="A359" t="inlineStr">
        <is>
          <t>A 61351-2024</t>
        </is>
      </c>
      <c r="B359" s="1" t="n">
        <v>45646</v>
      </c>
      <c r="C359" s="1" t="n">
        <v>46181</v>
      </c>
      <c r="D359" t="inlineStr">
        <is>
          <t>VÄSTERBOTTENS LÄN</t>
        </is>
      </c>
      <c r="E359" t="inlineStr">
        <is>
          <t>ÅSELE</t>
        </is>
      </c>
      <c r="G359" t="n">
        <v>9.6</v>
      </c>
      <c r="H359" t="n">
        <v>0</v>
      </c>
      <c r="I359" t="n">
        <v>0</v>
      </c>
      <c r="J359" t="n">
        <v>0</v>
      </c>
      <c r="K359" t="n">
        <v>0</v>
      </c>
      <c r="L359" t="n">
        <v>0</v>
      </c>
      <c r="M359" t="n">
        <v>0</v>
      </c>
      <c r="N359" t="n">
        <v>0</v>
      </c>
      <c r="O359" t="n">
        <v>0</v>
      </c>
      <c r="P359" t="n">
        <v>0</v>
      </c>
      <c r="Q359" t="n">
        <v>0</v>
      </c>
      <c r="R359" s="2" t="inlineStr"/>
    </row>
    <row r="360" ht="15" customHeight="1">
      <c r="A360" t="inlineStr">
        <is>
          <t>A 30183-2025</t>
        </is>
      </c>
      <c r="B360" s="1" t="n">
        <v>45827.34677083333</v>
      </c>
      <c r="C360" s="1" t="n">
        <v>46181</v>
      </c>
      <c r="D360" t="inlineStr">
        <is>
          <t>VÄSTERBOTTENS LÄN</t>
        </is>
      </c>
      <c r="E360" t="inlineStr">
        <is>
          <t>ÅSELE</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44488-2025</t>
        </is>
      </c>
      <c r="B361" s="1" t="n">
        <v>45916.65673611111</v>
      </c>
      <c r="C361" s="1" t="n">
        <v>46181</v>
      </c>
      <c r="D361" t="inlineStr">
        <is>
          <t>VÄSTERBOTTENS LÄN</t>
        </is>
      </c>
      <c r="E361" t="inlineStr">
        <is>
          <t>ÅSELE</t>
        </is>
      </c>
      <c r="G361" t="n">
        <v>7</v>
      </c>
      <c r="H361" t="n">
        <v>0</v>
      </c>
      <c r="I361" t="n">
        <v>0</v>
      </c>
      <c r="J361" t="n">
        <v>0</v>
      </c>
      <c r="K361" t="n">
        <v>0</v>
      </c>
      <c r="L361" t="n">
        <v>0</v>
      </c>
      <c r="M361" t="n">
        <v>0</v>
      </c>
      <c r="N361" t="n">
        <v>0</v>
      </c>
      <c r="O361" t="n">
        <v>0</v>
      </c>
      <c r="P361" t="n">
        <v>0</v>
      </c>
      <c r="Q361" t="n">
        <v>0</v>
      </c>
      <c r="R361" s="2" t="inlineStr"/>
    </row>
    <row r="362" ht="15" customHeight="1">
      <c r="A362" t="inlineStr">
        <is>
          <t>A 5008-2026</t>
        </is>
      </c>
      <c r="B362" s="1" t="n">
        <v>46049.42824074074</v>
      </c>
      <c r="C362" s="1" t="n">
        <v>46181</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43960-2025</t>
        </is>
      </c>
      <c r="B363" s="1" t="n">
        <v>45915.39046296296</v>
      </c>
      <c r="C363" s="1" t="n">
        <v>46181</v>
      </c>
      <c r="D363" t="inlineStr">
        <is>
          <t>VÄSTERBOTTENS LÄN</t>
        </is>
      </c>
      <c r="E363" t="inlineStr">
        <is>
          <t>ÅSELE</t>
        </is>
      </c>
      <c r="F363" t="inlineStr">
        <is>
          <t>Kyrkan</t>
        </is>
      </c>
      <c r="G363" t="n">
        <v>10.5</v>
      </c>
      <c r="H363" t="n">
        <v>0</v>
      </c>
      <c r="I363" t="n">
        <v>0</v>
      </c>
      <c r="J363" t="n">
        <v>0</v>
      </c>
      <c r="K363" t="n">
        <v>0</v>
      </c>
      <c r="L363" t="n">
        <v>0</v>
      </c>
      <c r="M363" t="n">
        <v>0</v>
      </c>
      <c r="N363" t="n">
        <v>0</v>
      </c>
      <c r="O363" t="n">
        <v>0</v>
      </c>
      <c r="P363" t="n">
        <v>0</v>
      </c>
      <c r="Q363" t="n">
        <v>0</v>
      </c>
      <c r="R363" s="2" t="inlineStr"/>
    </row>
    <row r="364" ht="15" customHeight="1">
      <c r="A364" t="inlineStr">
        <is>
          <t>A 22945-2024</t>
        </is>
      </c>
      <c r="B364" s="1" t="n">
        <v>45448.94569444445</v>
      </c>
      <c r="C364" s="1" t="n">
        <v>46181</v>
      </c>
      <c r="D364" t="inlineStr">
        <is>
          <t>VÄSTERBOTTENS LÄN</t>
        </is>
      </c>
      <c r="E364" t="inlineStr">
        <is>
          <t>ÅSELE</t>
        </is>
      </c>
      <c r="F364" t="inlineStr">
        <is>
          <t>SCA</t>
        </is>
      </c>
      <c r="G364" t="n">
        <v>7.5</v>
      </c>
      <c r="H364" t="n">
        <v>0</v>
      </c>
      <c r="I364" t="n">
        <v>0</v>
      </c>
      <c r="J364" t="n">
        <v>0</v>
      </c>
      <c r="K364" t="n">
        <v>0</v>
      </c>
      <c r="L364" t="n">
        <v>0</v>
      </c>
      <c r="M364" t="n">
        <v>0</v>
      </c>
      <c r="N364" t="n">
        <v>0</v>
      </c>
      <c r="O364" t="n">
        <v>0</v>
      </c>
      <c r="P364" t="n">
        <v>0</v>
      </c>
      <c r="Q364" t="n">
        <v>0</v>
      </c>
      <c r="R364" s="2" t="inlineStr"/>
    </row>
    <row r="365" ht="15" customHeight="1">
      <c r="A365" t="inlineStr">
        <is>
          <t>A 30763-2025</t>
        </is>
      </c>
      <c r="B365" s="1" t="n">
        <v>45831.60331018519</v>
      </c>
      <c r="C365" s="1" t="n">
        <v>46181</v>
      </c>
      <c r="D365" t="inlineStr">
        <is>
          <t>VÄSTERBOTTENS LÄN</t>
        </is>
      </c>
      <c r="E365" t="inlineStr">
        <is>
          <t>ÅSELE</t>
        </is>
      </c>
      <c r="F365" t="inlineStr">
        <is>
          <t>Sveaskog</t>
        </is>
      </c>
      <c r="G365" t="n">
        <v>15.1</v>
      </c>
      <c r="H365" t="n">
        <v>0</v>
      </c>
      <c r="I365" t="n">
        <v>0</v>
      </c>
      <c r="J365" t="n">
        <v>0</v>
      </c>
      <c r="K365" t="n">
        <v>0</v>
      </c>
      <c r="L365" t="n">
        <v>0</v>
      </c>
      <c r="M365" t="n">
        <v>0</v>
      </c>
      <c r="N365" t="n">
        <v>0</v>
      </c>
      <c r="O365" t="n">
        <v>0</v>
      </c>
      <c r="P365" t="n">
        <v>0</v>
      </c>
      <c r="Q365" t="n">
        <v>0</v>
      </c>
      <c r="R365" s="2" t="inlineStr"/>
    </row>
    <row r="366" ht="15" customHeight="1">
      <c r="A366" t="inlineStr">
        <is>
          <t>A 30773-2025</t>
        </is>
      </c>
      <c r="B366" s="1" t="n">
        <v>45831.61457175926</v>
      </c>
      <c r="C366" s="1" t="n">
        <v>46181</v>
      </c>
      <c r="D366" t="inlineStr">
        <is>
          <t>VÄSTERBOTTENS LÄN</t>
        </is>
      </c>
      <c r="E366" t="inlineStr">
        <is>
          <t>ÅSELE</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31217-2025</t>
        </is>
      </c>
      <c r="B367" s="1" t="n">
        <v>45832</v>
      </c>
      <c r="C367" s="1" t="n">
        <v>46181</v>
      </c>
      <c r="D367" t="inlineStr">
        <is>
          <t>VÄSTERBOTTENS LÄN</t>
        </is>
      </c>
      <c r="E367" t="inlineStr">
        <is>
          <t>ÅSELE</t>
        </is>
      </c>
      <c r="G367" t="n">
        <v>10.6</v>
      </c>
      <c r="H367" t="n">
        <v>0</v>
      </c>
      <c r="I367" t="n">
        <v>0</v>
      </c>
      <c r="J367" t="n">
        <v>0</v>
      </c>
      <c r="K367" t="n">
        <v>0</v>
      </c>
      <c r="L367" t="n">
        <v>0</v>
      </c>
      <c r="M367" t="n">
        <v>0</v>
      </c>
      <c r="N367" t="n">
        <v>0</v>
      </c>
      <c r="O367" t="n">
        <v>0</v>
      </c>
      <c r="P367" t="n">
        <v>0</v>
      </c>
      <c r="Q367" t="n">
        <v>0</v>
      </c>
      <c r="R367" s="2" t="inlineStr"/>
    </row>
    <row r="368" ht="15" customHeight="1">
      <c r="A368" t="inlineStr">
        <is>
          <t>A 16806-2025</t>
        </is>
      </c>
      <c r="B368" s="1" t="n">
        <v>45754.62675925926</v>
      </c>
      <c r="C368" s="1" t="n">
        <v>46181</v>
      </c>
      <c r="D368" t="inlineStr">
        <is>
          <t>VÄSTERBOTTENS LÄN</t>
        </is>
      </c>
      <c r="E368" t="inlineStr">
        <is>
          <t>ÅSELE</t>
        </is>
      </c>
      <c r="F368" t="inlineStr">
        <is>
          <t>Holmen skog AB</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44625-2025</t>
        </is>
      </c>
      <c r="B369" s="1" t="n">
        <v>45917.47184027778</v>
      </c>
      <c r="C369" s="1" t="n">
        <v>46181</v>
      </c>
      <c r="D369" t="inlineStr">
        <is>
          <t>VÄSTERBOTTENS LÄN</t>
        </is>
      </c>
      <c r="E369" t="inlineStr">
        <is>
          <t>ÅSELE</t>
        </is>
      </c>
      <c r="F369" t="inlineStr">
        <is>
          <t>Holmen skog AB</t>
        </is>
      </c>
      <c r="G369" t="n">
        <v>4.7</v>
      </c>
      <c r="H369" t="n">
        <v>0</v>
      </c>
      <c r="I369" t="n">
        <v>0</v>
      </c>
      <c r="J369" t="n">
        <v>0</v>
      </c>
      <c r="K369" t="n">
        <v>0</v>
      </c>
      <c r="L369" t="n">
        <v>0</v>
      </c>
      <c r="M369" t="n">
        <v>0</v>
      </c>
      <c r="N369" t="n">
        <v>0</v>
      </c>
      <c r="O369" t="n">
        <v>0</v>
      </c>
      <c r="P369" t="n">
        <v>0</v>
      </c>
      <c r="Q369" t="n">
        <v>0</v>
      </c>
      <c r="R369" s="2" t="inlineStr"/>
    </row>
    <row r="370" ht="15" customHeight="1">
      <c r="A370" t="inlineStr">
        <is>
          <t>A 30940-2025</t>
        </is>
      </c>
      <c r="B370" s="1" t="n">
        <v>45832</v>
      </c>
      <c r="C370" s="1" t="n">
        <v>46181</v>
      </c>
      <c r="D370" t="inlineStr">
        <is>
          <t>VÄSTERBOTTENS LÄN</t>
        </is>
      </c>
      <c r="E370" t="inlineStr">
        <is>
          <t>ÅSELE</t>
        </is>
      </c>
      <c r="G370" t="n">
        <v>10.1</v>
      </c>
      <c r="H370" t="n">
        <v>0</v>
      </c>
      <c r="I370" t="n">
        <v>0</v>
      </c>
      <c r="J370" t="n">
        <v>0</v>
      </c>
      <c r="K370" t="n">
        <v>0</v>
      </c>
      <c r="L370" t="n">
        <v>0</v>
      </c>
      <c r="M370" t="n">
        <v>0</v>
      </c>
      <c r="N370" t="n">
        <v>0</v>
      </c>
      <c r="O370" t="n">
        <v>0</v>
      </c>
      <c r="P370" t="n">
        <v>0</v>
      </c>
      <c r="Q370" t="n">
        <v>0</v>
      </c>
      <c r="R370" s="2" t="inlineStr"/>
    </row>
    <row r="371" ht="15" customHeight="1">
      <c r="A371" t="inlineStr">
        <is>
          <t>A 44669-2025</t>
        </is>
      </c>
      <c r="B371" s="1" t="n">
        <v>45917.56386574074</v>
      </c>
      <c r="C371" s="1" t="n">
        <v>46181</v>
      </c>
      <c r="D371" t="inlineStr">
        <is>
          <t>VÄSTERBOTTENS LÄN</t>
        </is>
      </c>
      <c r="E371" t="inlineStr">
        <is>
          <t>ÅSELE</t>
        </is>
      </c>
      <c r="F371" t="inlineStr">
        <is>
          <t>Holmen skog AB</t>
        </is>
      </c>
      <c r="G371" t="n">
        <v>8.9</v>
      </c>
      <c r="H371" t="n">
        <v>0</v>
      </c>
      <c r="I371" t="n">
        <v>0</v>
      </c>
      <c r="J371" t="n">
        <v>0</v>
      </c>
      <c r="K371" t="n">
        <v>0</v>
      </c>
      <c r="L371" t="n">
        <v>0</v>
      </c>
      <c r="M371" t="n">
        <v>0</v>
      </c>
      <c r="N371" t="n">
        <v>0</v>
      </c>
      <c r="O371" t="n">
        <v>0</v>
      </c>
      <c r="P371" t="n">
        <v>0</v>
      </c>
      <c r="Q371" t="n">
        <v>0</v>
      </c>
      <c r="R371" s="2" t="inlineStr"/>
    </row>
    <row r="372" ht="15" customHeight="1">
      <c r="A372" t="inlineStr">
        <is>
          <t>A 44992-2025</t>
        </is>
      </c>
      <c r="B372" s="1" t="n">
        <v>45918.65660879629</v>
      </c>
      <c r="C372" s="1" t="n">
        <v>46181</v>
      </c>
      <c r="D372" t="inlineStr">
        <is>
          <t>VÄSTERBOTTENS LÄN</t>
        </is>
      </c>
      <c r="E372" t="inlineStr">
        <is>
          <t>ÅSELE</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31224-2025</t>
        </is>
      </c>
      <c r="B373" s="1" t="n">
        <v>45832</v>
      </c>
      <c r="C373" s="1" t="n">
        <v>46181</v>
      </c>
      <c r="D373" t="inlineStr">
        <is>
          <t>VÄSTERBOTTENS LÄN</t>
        </is>
      </c>
      <c r="E373" t="inlineStr">
        <is>
          <t>ÅSELE</t>
        </is>
      </c>
      <c r="G373" t="n">
        <v>17</v>
      </c>
      <c r="H373" t="n">
        <v>0</v>
      </c>
      <c r="I373" t="n">
        <v>0</v>
      </c>
      <c r="J373" t="n">
        <v>0</v>
      </c>
      <c r="K373" t="n">
        <v>0</v>
      </c>
      <c r="L373" t="n">
        <v>0</v>
      </c>
      <c r="M373" t="n">
        <v>0</v>
      </c>
      <c r="N373" t="n">
        <v>0</v>
      </c>
      <c r="O373" t="n">
        <v>0</v>
      </c>
      <c r="P373" t="n">
        <v>0</v>
      </c>
      <c r="Q373" t="n">
        <v>0</v>
      </c>
      <c r="R373" s="2" t="inlineStr"/>
    </row>
    <row r="374" ht="15" customHeight="1">
      <c r="A374" t="inlineStr">
        <is>
          <t>A 30701-2025</t>
        </is>
      </c>
      <c r="B374" s="1" t="n">
        <v>45831</v>
      </c>
      <c r="C374" s="1" t="n">
        <v>46181</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5604-2026</t>
        </is>
      </c>
      <c r="B375" s="1" t="n">
        <v>46051.3494212963</v>
      </c>
      <c r="C375" s="1" t="n">
        <v>46181</v>
      </c>
      <c r="D375" t="inlineStr">
        <is>
          <t>VÄSTERBOTTENS LÄN</t>
        </is>
      </c>
      <c r="E375" t="inlineStr">
        <is>
          <t>ÅSELE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5613-2026</t>
        </is>
      </c>
      <c r="B376" s="1" t="n">
        <v>46051.36532407408</v>
      </c>
      <c r="C376" s="1" t="n">
        <v>46181</v>
      </c>
      <c r="D376" t="inlineStr">
        <is>
          <t>VÄSTERBOTTENS LÄN</t>
        </is>
      </c>
      <c r="E376" t="inlineStr">
        <is>
          <t>ÅSELE</t>
        </is>
      </c>
      <c r="G376" t="n">
        <v>5</v>
      </c>
      <c r="H376" t="n">
        <v>0</v>
      </c>
      <c r="I376" t="n">
        <v>0</v>
      </c>
      <c r="J376" t="n">
        <v>0</v>
      </c>
      <c r="K376" t="n">
        <v>0</v>
      </c>
      <c r="L376" t="n">
        <v>0</v>
      </c>
      <c r="M376" t="n">
        <v>0</v>
      </c>
      <c r="N376" t="n">
        <v>0</v>
      </c>
      <c r="O376" t="n">
        <v>0</v>
      </c>
      <c r="P376" t="n">
        <v>0</v>
      </c>
      <c r="Q376" t="n">
        <v>0</v>
      </c>
      <c r="R376" s="2" t="inlineStr"/>
    </row>
    <row r="377" ht="15" customHeight="1">
      <c r="A377" t="inlineStr">
        <is>
          <t>A 5614-2026</t>
        </is>
      </c>
      <c r="B377" s="1" t="n">
        <v>46051.36545138889</v>
      </c>
      <c r="C377" s="1" t="n">
        <v>46181</v>
      </c>
      <c r="D377" t="inlineStr">
        <is>
          <t>VÄSTERBOTTENS LÄN</t>
        </is>
      </c>
      <c r="E377" t="inlineStr">
        <is>
          <t>ÅSELE</t>
        </is>
      </c>
      <c r="G377" t="n">
        <v>2.7</v>
      </c>
      <c r="H377" t="n">
        <v>0</v>
      </c>
      <c r="I377" t="n">
        <v>0</v>
      </c>
      <c r="J377" t="n">
        <v>0</v>
      </c>
      <c r="K377" t="n">
        <v>0</v>
      </c>
      <c r="L377" t="n">
        <v>0</v>
      </c>
      <c r="M377" t="n">
        <v>0</v>
      </c>
      <c r="N377" t="n">
        <v>0</v>
      </c>
      <c r="O377" t="n">
        <v>0</v>
      </c>
      <c r="P377" t="n">
        <v>0</v>
      </c>
      <c r="Q377" t="n">
        <v>0</v>
      </c>
      <c r="R377" s="2" t="inlineStr"/>
    </row>
    <row r="378" ht="15" customHeight="1">
      <c r="A378" t="inlineStr">
        <is>
          <t>A 31371-2025</t>
        </is>
      </c>
      <c r="B378" s="1" t="n">
        <v>45832</v>
      </c>
      <c r="C378" s="1" t="n">
        <v>46181</v>
      </c>
      <c r="D378" t="inlineStr">
        <is>
          <t>VÄSTERBOTTENS LÄN</t>
        </is>
      </c>
      <c r="E378" t="inlineStr">
        <is>
          <t>ÅSELE</t>
        </is>
      </c>
      <c r="G378" t="n">
        <v>5.9</v>
      </c>
      <c r="H378" t="n">
        <v>0</v>
      </c>
      <c r="I378" t="n">
        <v>0</v>
      </c>
      <c r="J378" t="n">
        <v>0</v>
      </c>
      <c r="K378" t="n">
        <v>0</v>
      </c>
      <c r="L378" t="n">
        <v>0</v>
      </c>
      <c r="M378" t="n">
        <v>0</v>
      </c>
      <c r="N378" t="n">
        <v>0</v>
      </c>
      <c r="O378" t="n">
        <v>0</v>
      </c>
      <c r="P378" t="n">
        <v>0</v>
      </c>
      <c r="Q378" t="n">
        <v>0</v>
      </c>
      <c r="R378" s="2" t="inlineStr"/>
    </row>
    <row r="379" ht="15" customHeight="1">
      <c r="A379" t="inlineStr">
        <is>
          <t>A 22935-2024</t>
        </is>
      </c>
      <c r="B379" s="1" t="n">
        <v>45448.94409722222</v>
      </c>
      <c r="C379" s="1" t="n">
        <v>46181</v>
      </c>
      <c r="D379" t="inlineStr">
        <is>
          <t>VÄSTERBOTTENS LÄN</t>
        </is>
      </c>
      <c r="E379" t="inlineStr">
        <is>
          <t>ÅSELE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30779-2025</t>
        </is>
      </c>
      <c r="B380" s="1" t="n">
        <v>45831.62219907407</v>
      </c>
      <c r="C380" s="1" t="n">
        <v>46181</v>
      </c>
      <c r="D380" t="inlineStr">
        <is>
          <t>VÄSTERBOTTENS LÄN</t>
        </is>
      </c>
      <c r="E380" t="inlineStr">
        <is>
          <t>ÅSELE</t>
        </is>
      </c>
      <c r="F380" t="inlineStr">
        <is>
          <t>Sveaskog</t>
        </is>
      </c>
      <c r="G380" t="n">
        <v>21.6</v>
      </c>
      <c r="H380" t="n">
        <v>0</v>
      </c>
      <c r="I380" t="n">
        <v>0</v>
      </c>
      <c r="J380" t="n">
        <v>0</v>
      </c>
      <c r="K380" t="n">
        <v>0</v>
      </c>
      <c r="L380" t="n">
        <v>0</v>
      </c>
      <c r="M380" t="n">
        <v>0</v>
      </c>
      <c r="N380" t="n">
        <v>0</v>
      </c>
      <c r="O380" t="n">
        <v>0</v>
      </c>
      <c r="P380" t="n">
        <v>0</v>
      </c>
      <c r="Q380" t="n">
        <v>0</v>
      </c>
      <c r="R380" s="2" t="inlineStr"/>
    </row>
    <row r="381" ht="15" customHeight="1">
      <c r="A381" t="inlineStr">
        <is>
          <t>A 31080-2025</t>
        </is>
      </c>
      <c r="B381" s="1" t="n">
        <v>45831</v>
      </c>
      <c r="C381" s="1" t="n">
        <v>46181</v>
      </c>
      <c r="D381" t="inlineStr">
        <is>
          <t>VÄSTERBOTTENS LÄN</t>
        </is>
      </c>
      <c r="E381" t="inlineStr">
        <is>
          <t>ÅSELE</t>
        </is>
      </c>
      <c r="G381" t="n">
        <v>4.9</v>
      </c>
      <c r="H381" t="n">
        <v>0</v>
      </c>
      <c r="I381" t="n">
        <v>0</v>
      </c>
      <c r="J381" t="n">
        <v>0</v>
      </c>
      <c r="K381" t="n">
        <v>0</v>
      </c>
      <c r="L381" t="n">
        <v>0</v>
      </c>
      <c r="M381" t="n">
        <v>0</v>
      </c>
      <c r="N381" t="n">
        <v>0</v>
      </c>
      <c r="O381" t="n">
        <v>0</v>
      </c>
      <c r="P381" t="n">
        <v>0</v>
      </c>
      <c r="Q381" t="n">
        <v>0</v>
      </c>
      <c r="R381" s="2" t="inlineStr"/>
    </row>
    <row r="382" ht="15" customHeight="1">
      <c r="A382" t="inlineStr">
        <is>
          <t>A 45506-2025</t>
        </is>
      </c>
      <c r="B382" s="1" t="n">
        <v>45922.57350694444</v>
      </c>
      <c r="C382" s="1" t="n">
        <v>46181</v>
      </c>
      <c r="D382" t="inlineStr">
        <is>
          <t>VÄSTERBOTTENS LÄN</t>
        </is>
      </c>
      <c r="E382" t="inlineStr">
        <is>
          <t>ÅSELE</t>
        </is>
      </c>
      <c r="G382" t="n">
        <v>17.3</v>
      </c>
      <c r="H382" t="n">
        <v>0</v>
      </c>
      <c r="I382" t="n">
        <v>0</v>
      </c>
      <c r="J382" t="n">
        <v>0</v>
      </c>
      <c r="K382" t="n">
        <v>0</v>
      </c>
      <c r="L382" t="n">
        <v>0</v>
      </c>
      <c r="M382" t="n">
        <v>0</v>
      </c>
      <c r="N382" t="n">
        <v>0</v>
      </c>
      <c r="O382" t="n">
        <v>0</v>
      </c>
      <c r="P382" t="n">
        <v>0</v>
      </c>
      <c r="Q382" t="n">
        <v>0</v>
      </c>
      <c r="R382" s="2" t="inlineStr"/>
    </row>
    <row r="383" ht="15" customHeight="1">
      <c r="A383" t="inlineStr">
        <is>
          <t>A 7475-2025</t>
        </is>
      </c>
      <c r="B383" s="1" t="n">
        <v>45705.46724537037</v>
      </c>
      <c r="C383" s="1" t="n">
        <v>46181</v>
      </c>
      <c r="D383" t="inlineStr">
        <is>
          <t>VÄSTERBOTTENS LÄN</t>
        </is>
      </c>
      <c r="E383" t="inlineStr">
        <is>
          <t>ÅSELE</t>
        </is>
      </c>
      <c r="G383" t="n">
        <v>4.4</v>
      </c>
      <c r="H383" t="n">
        <v>0</v>
      </c>
      <c r="I383" t="n">
        <v>0</v>
      </c>
      <c r="J383" t="n">
        <v>0</v>
      </c>
      <c r="K383" t="n">
        <v>0</v>
      </c>
      <c r="L383" t="n">
        <v>0</v>
      </c>
      <c r="M383" t="n">
        <v>0</v>
      </c>
      <c r="N383" t="n">
        <v>0</v>
      </c>
      <c r="O383" t="n">
        <v>0</v>
      </c>
      <c r="P383" t="n">
        <v>0</v>
      </c>
      <c r="Q383" t="n">
        <v>0</v>
      </c>
      <c r="R383" s="2" t="inlineStr"/>
    </row>
    <row r="384" ht="15" customHeight="1">
      <c r="A384" t="inlineStr">
        <is>
          <t>A 31219-2025</t>
        </is>
      </c>
      <c r="B384" s="1" t="n">
        <v>45832</v>
      </c>
      <c r="C384" s="1" t="n">
        <v>46181</v>
      </c>
      <c r="D384" t="inlineStr">
        <is>
          <t>VÄSTERBOTTENS LÄN</t>
        </is>
      </c>
      <c r="E384" t="inlineStr">
        <is>
          <t>ÅSELE</t>
        </is>
      </c>
      <c r="G384" t="n">
        <v>3.1</v>
      </c>
      <c r="H384" t="n">
        <v>0</v>
      </c>
      <c r="I384" t="n">
        <v>0</v>
      </c>
      <c r="J384" t="n">
        <v>0</v>
      </c>
      <c r="K384" t="n">
        <v>0</v>
      </c>
      <c r="L384" t="n">
        <v>0</v>
      </c>
      <c r="M384" t="n">
        <v>0</v>
      </c>
      <c r="N384" t="n">
        <v>0</v>
      </c>
      <c r="O384" t="n">
        <v>0</v>
      </c>
      <c r="P384" t="n">
        <v>0</v>
      </c>
      <c r="Q384" t="n">
        <v>0</v>
      </c>
      <c r="R384" s="2" t="inlineStr"/>
    </row>
    <row r="385" ht="15" customHeight="1">
      <c r="A385" t="inlineStr">
        <is>
          <t>A 45257-2025</t>
        </is>
      </c>
      <c r="B385" s="1" t="n">
        <v>45919.62422453704</v>
      </c>
      <c r="C385" s="1" t="n">
        <v>46181</v>
      </c>
      <c r="D385" t="inlineStr">
        <is>
          <t>VÄSTERBOTTENS LÄN</t>
        </is>
      </c>
      <c r="E385" t="inlineStr">
        <is>
          <t>ÅSELE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7621-2025</t>
        </is>
      </c>
      <c r="B386" s="1" t="n">
        <v>45705.71922453704</v>
      </c>
      <c r="C386" s="1" t="n">
        <v>46181</v>
      </c>
      <c r="D386" t="inlineStr">
        <is>
          <t>VÄSTERBOTTENS LÄN</t>
        </is>
      </c>
      <c r="E386" t="inlineStr">
        <is>
          <t>ÅSELE</t>
        </is>
      </c>
      <c r="G386" t="n">
        <v>5.9</v>
      </c>
      <c r="H386" t="n">
        <v>0</v>
      </c>
      <c r="I386" t="n">
        <v>0</v>
      </c>
      <c r="J386" t="n">
        <v>0</v>
      </c>
      <c r="K386" t="n">
        <v>0</v>
      </c>
      <c r="L386" t="n">
        <v>0</v>
      </c>
      <c r="M386" t="n">
        <v>0</v>
      </c>
      <c r="N386" t="n">
        <v>0</v>
      </c>
      <c r="O386" t="n">
        <v>0</v>
      </c>
      <c r="P386" t="n">
        <v>0</v>
      </c>
      <c r="Q386" t="n">
        <v>0</v>
      </c>
      <c r="R386" s="2" t="inlineStr"/>
    </row>
    <row r="387" ht="15" customHeight="1">
      <c r="A387" t="inlineStr">
        <is>
          <t>A 31445-2025</t>
        </is>
      </c>
      <c r="B387" s="1" t="n">
        <v>45833.51791666666</v>
      </c>
      <c r="C387" s="1" t="n">
        <v>46181</v>
      </c>
      <c r="D387" t="inlineStr">
        <is>
          <t>VÄSTERBOTTENS LÄN</t>
        </is>
      </c>
      <c r="E387" t="inlineStr">
        <is>
          <t>ÅSELE</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50861-2023</t>
        </is>
      </c>
      <c r="B388" s="1" t="n">
        <v>45218.34753472222</v>
      </c>
      <c r="C388" s="1" t="n">
        <v>46181</v>
      </c>
      <c r="D388" t="inlineStr">
        <is>
          <t>VÄSTERBOTTENS LÄN</t>
        </is>
      </c>
      <c r="E388" t="inlineStr">
        <is>
          <t>ÅSELE</t>
        </is>
      </c>
      <c r="G388" t="n">
        <v>6.5</v>
      </c>
      <c r="H388" t="n">
        <v>0</v>
      </c>
      <c r="I388" t="n">
        <v>0</v>
      </c>
      <c r="J388" t="n">
        <v>0</v>
      </c>
      <c r="K388" t="n">
        <v>0</v>
      </c>
      <c r="L388" t="n">
        <v>0</v>
      </c>
      <c r="M388" t="n">
        <v>0</v>
      </c>
      <c r="N388" t="n">
        <v>0</v>
      </c>
      <c r="O388" t="n">
        <v>0</v>
      </c>
      <c r="P388" t="n">
        <v>0</v>
      </c>
      <c r="Q388" t="n">
        <v>0</v>
      </c>
      <c r="R388" s="2" t="inlineStr"/>
    </row>
    <row r="389" ht="15" customHeight="1">
      <c r="A389" t="inlineStr">
        <is>
          <t>A 31313-2025</t>
        </is>
      </c>
      <c r="B389" s="1" t="n">
        <v>45833.39784722222</v>
      </c>
      <c r="C389" s="1" t="n">
        <v>46181</v>
      </c>
      <c r="D389" t="inlineStr">
        <is>
          <t>VÄSTERBOTTENS LÄN</t>
        </is>
      </c>
      <c r="E389" t="inlineStr">
        <is>
          <t>ÅSELE</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45399-2025</t>
        </is>
      </c>
      <c r="B390" s="1" t="n">
        <v>45922.42104166667</v>
      </c>
      <c r="C390" s="1" t="n">
        <v>46181</v>
      </c>
      <c r="D390" t="inlineStr">
        <is>
          <t>VÄSTERBOTTENS LÄN</t>
        </is>
      </c>
      <c r="E390" t="inlineStr">
        <is>
          <t>ÅSELE</t>
        </is>
      </c>
      <c r="F390" t="inlineStr">
        <is>
          <t>Holmen skog AB</t>
        </is>
      </c>
      <c r="G390" t="n">
        <v>17.7</v>
      </c>
      <c r="H390" t="n">
        <v>0</v>
      </c>
      <c r="I390" t="n">
        <v>0</v>
      </c>
      <c r="J390" t="n">
        <v>0</v>
      </c>
      <c r="K390" t="n">
        <v>0</v>
      </c>
      <c r="L390" t="n">
        <v>0</v>
      </c>
      <c r="M390" t="n">
        <v>0</v>
      </c>
      <c r="N390" t="n">
        <v>0</v>
      </c>
      <c r="O390" t="n">
        <v>0</v>
      </c>
      <c r="P390" t="n">
        <v>0</v>
      </c>
      <c r="Q390" t="n">
        <v>0</v>
      </c>
      <c r="R390" s="2" t="inlineStr"/>
    </row>
    <row r="391" ht="15" customHeight="1">
      <c r="A391" t="inlineStr">
        <is>
          <t>A 45504-2025</t>
        </is>
      </c>
      <c r="B391" s="1" t="n">
        <v>45922</v>
      </c>
      <c r="C391" s="1" t="n">
        <v>46181</v>
      </c>
      <c r="D391" t="inlineStr">
        <is>
          <t>VÄSTERBOTTENS LÄN</t>
        </is>
      </c>
      <c r="E391" t="inlineStr">
        <is>
          <t>ÅSELE</t>
        </is>
      </c>
      <c r="G391" t="n">
        <v>6</v>
      </c>
      <c r="H391" t="n">
        <v>0</v>
      </c>
      <c r="I391" t="n">
        <v>0</v>
      </c>
      <c r="J391" t="n">
        <v>0</v>
      </c>
      <c r="K391" t="n">
        <v>0</v>
      </c>
      <c r="L391" t="n">
        <v>0</v>
      </c>
      <c r="M391" t="n">
        <v>0</v>
      </c>
      <c r="N391" t="n">
        <v>0</v>
      </c>
      <c r="O391" t="n">
        <v>0</v>
      </c>
      <c r="P391" t="n">
        <v>0</v>
      </c>
      <c r="Q391" t="n">
        <v>0</v>
      </c>
      <c r="R391" s="2" t="inlineStr"/>
    </row>
    <row r="392" ht="15" customHeight="1">
      <c r="A392" t="inlineStr">
        <is>
          <t>A 31278-2025</t>
        </is>
      </c>
      <c r="B392" s="1" t="n">
        <v>45833.34509259259</v>
      </c>
      <c r="C392" s="1" t="n">
        <v>46181</v>
      </c>
      <c r="D392" t="inlineStr">
        <is>
          <t>VÄSTERBOTTENS LÄN</t>
        </is>
      </c>
      <c r="E392" t="inlineStr">
        <is>
          <t>ÅSELE</t>
        </is>
      </c>
      <c r="F392" t="inlineStr">
        <is>
          <t>SCA</t>
        </is>
      </c>
      <c r="G392" t="n">
        <v>10.5</v>
      </c>
      <c r="H392" t="n">
        <v>0</v>
      </c>
      <c r="I392" t="n">
        <v>0</v>
      </c>
      <c r="J392" t="n">
        <v>0</v>
      </c>
      <c r="K392" t="n">
        <v>0</v>
      </c>
      <c r="L392" t="n">
        <v>0</v>
      </c>
      <c r="M392" t="n">
        <v>0</v>
      </c>
      <c r="N392" t="n">
        <v>0</v>
      </c>
      <c r="O392" t="n">
        <v>0</v>
      </c>
      <c r="P392" t="n">
        <v>0</v>
      </c>
      <c r="Q392" t="n">
        <v>0</v>
      </c>
      <c r="R392" s="2" t="inlineStr"/>
    </row>
    <row r="393" ht="15" customHeight="1">
      <c r="A393" t="inlineStr">
        <is>
          <t>A 45743-2025</t>
        </is>
      </c>
      <c r="B393" s="1" t="n">
        <v>45923.47471064814</v>
      </c>
      <c r="C393" s="1" t="n">
        <v>46181</v>
      </c>
      <c r="D393" t="inlineStr">
        <is>
          <t>VÄSTERBOTTENS LÄN</t>
        </is>
      </c>
      <c r="E393" t="inlineStr">
        <is>
          <t>ÅSELE</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45745-2025</t>
        </is>
      </c>
      <c r="B394" s="1" t="n">
        <v>45923.4768287037</v>
      </c>
      <c r="C394" s="1" t="n">
        <v>46181</v>
      </c>
      <c r="D394" t="inlineStr">
        <is>
          <t>VÄSTERBOTTENS LÄN</t>
        </is>
      </c>
      <c r="E394" t="inlineStr">
        <is>
          <t>ÅSELE</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45475-2024</t>
        </is>
      </c>
      <c r="B395" s="1" t="n">
        <v>45576.82554398148</v>
      </c>
      <c r="C395" s="1" t="n">
        <v>46181</v>
      </c>
      <c r="D395" t="inlineStr">
        <is>
          <t>VÄSTERBOTTENS LÄN</t>
        </is>
      </c>
      <c r="E395" t="inlineStr">
        <is>
          <t>ÅSELE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48250-2024</t>
        </is>
      </c>
      <c r="B396" s="1" t="n">
        <v>45590</v>
      </c>
      <c r="C396" s="1" t="n">
        <v>46181</v>
      </c>
      <c r="D396" t="inlineStr">
        <is>
          <t>VÄSTERBOTTENS LÄN</t>
        </is>
      </c>
      <c r="E396" t="inlineStr">
        <is>
          <t>ÅSELE</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8964-2025</t>
        </is>
      </c>
      <c r="B397" s="1" t="n">
        <v>45713</v>
      </c>
      <c r="C397" s="1" t="n">
        <v>46181</v>
      </c>
      <c r="D397" t="inlineStr">
        <is>
          <t>VÄSTERBOTTENS LÄN</t>
        </is>
      </c>
      <c r="E397" t="inlineStr">
        <is>
          <t>ÅSELE</t>
        </is>
      </c>
      <c r="F397" t="inlineStr">
        <is>
          <t>SCA</t>
        </is>
      </c>
      <c r="G397" t="n">
        <v>20.5</v>
      </c>
      <c r="H397" t="n">
        <v>0</v>
      </c>
      <c r="I397" t="n">
        <v>0</v>
      </c>
      <c r="J397" t="n">
        <v>0</v>
      </c>
      <c r="K397" t="n">
        <v>0</v>
      </c>
      <c r="L397" t="n">
        <v>0</v>
      </c>
      <c r="M397" t="n">
        <v>0</v>
      </c>
      <c r="N397" t="n">
        <v>0</v>
      </c>
      <c r="O397" t="n">
        <v>0</v>
      </c>
      <c r="P397" t="n">
        <v>0</v>
      </c>
      <c r="Q397" t="n">
        <v>0</v>
      </c>
      <c r="R397" s="2" t="inlineStr"/>
    </row>
    <row r="398" ht="15" customHeight="1">
      <c r="A398" t="inlineStr">
        <is>
          <t>A 32143-2025</t>
        </is>
      </c>
      <c r="B398" s="1" t="n">
        <v>45835.52561342593</v>
      </c>
      <c r="C398" s="1" t="n">
        <v>46181</v>
      </c>
      <c r="D398" t="inlineStr">
        <is>
          <t>VÄSTERBOTTENS LÄN</t>
        </is>
      </c>
      <c r="E398" t="inlineStr">
        <is>
          <t>ÅSELE</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45746-2025</t>
        </is>
      </c>
      <c r="B399" s="1" t="n">
        <v>45923.47857638889</v>
      </c>
      <c r="C399" s="1" t="n">
        <v>46181</v>
      </c>
      <c r="D399" t="inlineStr">
        <is>
          <t>VÄSTERBOTTENS LÄN</t>
        </is>
      </c>
      <c r="E399" t="inlineStr">
        <is>
          <t>ÅSELE</t>
        </is>
      </c>
      <c r="F399" t="inlineStr">
        <is>
          <t>Sveaskog</t>
        </is>
      </c>
      <c r="G399" t="n">
        <v>4.1</v>
      </c>
      <c r="H399" t="n">
        <v>0</v>
      </c>
      <c r="I399" t="n">
        <v>0</v>
      </c>
      <c r="J399" t="n">
        <v>0</v>
      </c>
      <c r="K399" t="n">
        <v>0</v>
      </c>
      <c r="L399" t="n">
        <v>0</v>
      </c>
      <c r="M399" t="n">
        <v>0</v>
      </c>
      <c r="N399" t="n">
        <v>0</v>
      </c>
      <c r="O399" t="n">
        <v>0</v>
      </c>
      <c r="P399" t="n">
        <v>0</v>
      </c>
      <c r="Q399" t="n">
        <v>0</v>
      </c>
      <c r="R399" s="2" t="inlineStr"/>
    </row>
    <row r="400" ht="15" customHeight="1">
      <c r="A400" t="inlineStr">
        <is>
          <t>A 32648-2025</t>
        </is>
      </c>
      <c r="B400" s="1" t="n">
        <v>45838.67253472222</v>
      </c>
      <c r="C400" s="1" t="n">
        <v>46181</v>
      </c>
      <c r="D400" t="inlineStr">
        <is>
          <t>VÄSTERBOTTENS LÄN</t>
        </is>
      </c>
      <c r="E400" t="inlineStr">
        <is>
          <t>ÅSELE</t>
        </is>
      </c>
      <c r="F400" t="inlineStr">
        <is>
          <t>Holmen skog AB</t>
        </is>
      </c>
      <c r="G400" t="n">
        <v>20</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46181</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46754-2025</t>
        </is>
      </c>
      <c r="B402" s="1" t="n">
        <v>45926.61768518519</v>
      </c>
      <c r="C402" s="1" t="n">
        <v>46181</v>
      </c>
      <c r="D402" t="inlineStr">
        <is>
          <t>VÄSTERBOTTENS LÄN</t>
        </is>
      </c>
      <c r="E402" t="inlineStr">
        <is>
          <t>ÅSELE</t>
        </is>
      </c>
      <c r="F402" t="inlineStr">
        <is>
          <t>Holmen skog AB</t>
        </is>
      </c>
      <c r="G402" t="n">
        <v>20.5</v>
      </c>
      <c r="H402" t="n">
        <v>0</v>
      </c>
      <c r="I402" t="n">
        <v>0</v>
      </c>
      <c r="J402" t="n">
        <v>0</v>
      </c>
      <c r="K402" t="n">
        <v>0</v>
      </c>
      <c r="L402" t="n">
        <v>0</v>
      </c>
      <c r="M402" t="n">
        <v>0</v>
      </c>
      <c r="N402" t="n">
        <v>0</v>
      </c>
      <c r="O402" t="n">
        <v>0</v>
      </c>
      <c r="P402" t="n">
        <v>0</v>
      </c>
      <c r="Q402" t="n">
        <v>0</v>
      </c>
      <c r="R402" s="2" t="inlineStr"/>
    </row>
    <row r="403" ht="15" customHeight="1">
      <c r="A403" t="inlineStr">
        <is>
          <t>A 32259-2025</t>
        </is>
      </c>
      <c r="B403" s="1" t="n">
        <v>45835.64210648148</v>
      </c>
      <c r="C403" s="1" t="n">
        <v>46181</v>
      </c>
      <c r="D403" t="inlineStr">
        <is>
          <t>VÄSTERBOTTENS LÄN</t>
        </is>
      </c>
      <c r="E403" t="inlineStr">
        <is>
          <t>ÅSELE</t>
        </is>
      </c>
      <c r="F403" t="inlineStr">
        <is>
          <t>Naturvårdsverket</t>
        </is>
      </c>
      <c r="G403" t="n">
        <v>63.9</v>
      </c>
      <c r="H403" t="n">
        <v>0</v>
      </c>
      <c r="I403" t="n">
        <v>0</v>
      </c>
      <c r="J403" t="n">
        <v>0</v>
      </c>
      <c r="K403" t="n">
        <v>0</v>
      </c>
      <c r="L403" t="n">
        <v>0</v>
      </c>
      <c r="M403" t="n">
        <v>0</v>
      </c>
      <c r="N403" t="n">
        <v>0</v>
      </c>
      <c r="O403" t="n">
        <v>0</v>
      </c>
      <c r="P403" t="n">
        <v>0</v>
      </c>
      <c r="Q403" t="n">
        <v>0</v>
      </c>
      <c r="R403" s="2" t="inlineStr"/>
    </row>
    <row r="404" ht="15" customHeight="1">
      <c r="A404" t="inlineStr">
        <is>
          <t>A 46251-2025</t>
        </is>
      </c>
      <c r="B404" s="1" t="n">
        <v>45925.34475694445</v>
      </c>
      <c r="C404" s="1" t="n">
        <v>46181</v>
      </c>
      <c r="D404" t="inlineStr">
        <is>
          <t>VÄSTERBOTTENS LÄN</t>
        </is>
      </c>
      <c r="E404" t="inlineStr">
        <is>
          <t>ÅSELE</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32289-2025</t>
        </is>
      </c>
      <c r="B405" s="1" t="n">
        <v>45835.69831018519</v>
      </c>
      <c r="C405" s="1" t="n">
        <v>46181</v>
      </c>
      <c r="D405" t="inlineStr">
        <is>
          <t>VÄSTERBOTTENS LÄN</t>
        </is>
      </c>
      <c r="E405" t="inlineStr">
        <is>
          <t>ÅSELE</t>
        </is>
      </c>
      <c r="F405" t="inlineStr">
        <is>
          <t>SCA</t>
        </is>
      </c>
      <c r="G405" t="n">
        <v>21.2</v>
      </c>
      <c r="H405" t="n">
        <v>0</v>
      </c>
      <c r="I405" t="n">
        <v>0</v>
      </c>
      <c r="J405" t="n">
        <v>0</v>
      </c>
      <c r="K405" t="n">
        <v>0</v>
      </c>
      <c r="L405" t="n">
        <v>0</v>
      </c>
      <c r="M405" t="n">
        <v>0</v>
      </c>
      <c r="N405" t="n">
        <v>0</v>
      </c>
      <c r="O405" t="n">
        <v>0</v>
      </c>
      <c r="P405" t="n">
        <v>0</v>
      </c>
      <c r="Q405" t="n">
        <v>0</v>
      </c>
      <c r="R405" s="2" t="inlineStr"/>
    </row>
    <row r="406" ht="15" customHeight="1">
      <c r="A406" t="inlineStr">
        <is>
          <t>A 25553-2024</t>
        </is>
      </c>
      <c r="B406" s="1" t="n">
        <v>45463.57846064815</v>
      </c>
      <c r="C406" s="1" t="n">
        <v>46181</v>
      </c>
      <c r="D406" t="inlineStr">
        <is>
          <t>VÄSTERBOTTENS LÄN</t>
        </is>
      </c>
      <c r="E406" t="inlineStr">
        <is>
          <t>ÅSELE</t>
        </is>
      </c>
      <c r="F406" t="inlineStr">
        <is>
          <t>Sveaskog</t>
        </is>
      </c>
      <c r="G406" t="n">
        <v>13.5</v>
      </c>
      <c r="H406" t="n">
        <v>0</v>
      </c>
      <c r="I406" t="n">
        <v>0</v>
      </c>
      <c r="J406" t="n">
        <v>0</v>
      </c>
      <c r="K406" t="n">
        <v>0</v>
      </c>
      <c r="L406" t="n">
        <v>0</v>
      </c>
      <c r="M406" t="n">
        <v>0</v>
      </c>
      <c r="N406" t="n">
        <v>0</v>
      </c>
      <c r="O406" t="n">
        <v>0</v>
      </c>
      <c r="P406" t="n">
        <v>0</v>
      </c>
      <c r="Q406" t="n">
        <v>0</v>
      </c>
      <c r="R406" s="2" t="inlineStr"/>
    </row>
    <row r="407" ht="15" customHeight="1">
      <c r="A407" t="inlineStr">
        <is>
          <t>A 46797-2025</t>
        </is>
      </c>
      <c r="B407" s="1" t="n">
        <v>45926.65686342592</v>
      </c>
      <c r="C407" s="1" t="n">
        <v>46181</v>
      </c>
      <c r="D407" t="inlineStr">
        <is>
          <t>VÄSTERBOTTENS LÄN</t>
        </is>
      </c>
      <c r="E407" t="inlineStr">
        <is>
          <t>ÅSELE</t>
        </is>
      </c>
      <c r="F407" t="inlineStr">
        <is>
          <t>Holmen skog AB</t>
        </is>
      </c>
      <c r="G407" t="n">
        <v>7.6</v>
      </c>
      <c r="H407" t="n">
        <v>0</v>
      </c>
      <c r="I407" t="n">
        <v>0</v>
      </c>
      <c r="J407" t="n">
        <v>0</v>
      </c>
      <c r="K407" t="n">
        <v>0</v>
      </c>
      <c r="L407" t="n">
        <v>0</v>
      </c>
      <c r="M407" t="n">
        <v>0</v>
      </c>
      <c r="N407" t="n">
        <v>0</v>
      </c>
      <c r="O407" t="n">
        <v>0</v>
      </c>
      <c r="P407" t="n">
        <v>0</v>
      </c>
      <c r="Q407" t="n">
        <v>0</v>
      </c>
      <c r="R407" s="2" t="inlineStr"/>
    </row>
    <row r="408" ht="15" customHeight="1">
      <c r="A408" t="inlineStr">
        <is>
          <t>A 32673-2025</t>
        </is>
      </c>
      <c r="B408" s="1" t="n">
        <v>45838.70978009259</v>
      </c>
      <c r="C408" s="1" t="n">
        <v>46181</v>
      </c>
      <c r="D408" t="inlineStr">
        <is>
          <t>VÄSTERBOTTENS LÄN</t>
        </is>
      </c>
      <c r="E408" t="inlineStr">
        <is>
          <t>ÅSELE</t>
        </is>
      </c>
      <c r="F408" t="inlineStr">
        <is>
          <t>Holmen skog AB</t>
        </is>
      </c>
      <c r="G408" t="n">
        <v>16.8</v>
      </c>
      <c r="H408" t="n">
        <v>0</v>
      </c>
      <c r="I408" t="n">
        <v>0</v>
      </c>
      <c r="J408" t="n">
        <v>0</v>
      </c>
      <c r="K408" t="n">
        <v>0</v>
      </c>
      <c r="L408" t="n">
        <v>0</v>
      </c>
      <c r="M408" t="n">
        <v>0</v>
      </c>
      <c r="N408" t="n">
        <v>0</v>
      </c>
      <c r="O408" t="n">
        <v>0</v>
      </c>
      <c r="P408" t="n">
        <v>0</v>
      </c>
      <c r="Q408" t="n">
        <v>0</v>
      </c>
      <c r="R408" s="2" t="inlineStr"/>
    </row>
    <row r="409" ht="15" customHeight="1">
      <c r="A409" t="inlineStr">
        <is>
          <t>A 6335-2026</t>
        </is>
      </c>
      <c r="B409" s="1" t="n">
        <v>46055.59488425926</v>
      </c>
      <c r="C409" s="1" t="n">
        <v>46181</v>
      </c>
      <c r="D409" t="inlineStr">
        <is>
          <t>VÄSTERBOTTENS LÄN</t>
        </is>
      </c>
      <c r="E409" t="inlineStr">
        <is>
          <t>ÅSELE</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4084-2023</t>
        </is>
      </c>
      <c r="B410" s="1" t="n">
        <v>44952</v>
      </c>
      <c r="C410" s="1" t="n">
        <v>46181</v>
      </c>
      <c r="D410" t="inlineStr">
        <is>
          <t>VÄSTERBOTTENS LÄN</t>
        </is>
      </c>
      <c r="E410" t="inlineStr">
        <is>
          <t>ÅSELE</t>
        </is>
      </c>
      <c r="G410" t="n">
        <v>4.5</v>
      </c>
      <c r="H410" t="n">
        <v>0</v>
      </c>
      <c r="I410" t="n">
        <v>0</v>
      </c>
      <c r="J410" t="n">
        <v>0</v>
      </c>
      <c r="K410" t="n">
        <v>0</v>
      </c>
      <c r="L410" t="n">
        <v>0</v>
      </c>
      <c r="M410" t="n">
        <v>0</v>
      </c>
      <c r="N410" t="n">
        <v>0</v>
      </c>
      <c r="O410" t="n">
        <v>0</v>
      </c>
      <c r="P410" t="n">
        <v>0</v>
      </c>
      <c r="Q410" t="n">
        <v>0</v>
      </c>
      <c r="R410" s="2" t="inlineStr"/>
    </row>
    <row r="411" ht="15" customHeight="1">
      <c r="A411" t="inlineStr">
        <is>
          <t>A 6553-2026</t>
        </is>
      </c>
      <c r="B411" s="1" t="n">
        <v>46056.42962962963</v>
      </c>
      <c r="C411" s="1" t="n">
        <v>46181</v>
      </c>
      <c r="D411" t="inlineStr">
        <is>
          <t>VÄSTERBOTTENS LÄN</t>
        </is>
      </c>
      <c r="E411" t="inlineStr">
        <is>
          <t>ÅSELE</t>
        </is>
      </c>
      <c r="G411" t="n">
        <v>2.5</v>
      </c>
      <c r="H411" t="n">
        <v>0</v>
      </c>
      <c r="I411" t="n">
        <v>0</v>
      </c>
      <c r="J411" t="n">
        <v>0</v>
      </c>
      <c r="K411" t="n">
        <v>0</v>
      </c>
      <c r="L411" t="n">
        <v>0</v>
      </c>
      <c r="M411" t="n">
        <v>0</v>
      </c>
      <c r="N411" t="n">
        <v>0</v>
      </c>
      <c r="O411" t="n">
        <v>0</v>
      </c>
      <c r="P411" t="n">
        <v>0</v>
      </c>
      <c r="Q411" t="n">
        <v>0</v>
      </c>
      <c r="R411" s="2" t="inlineStr"/>
    </row>
    <row r="412" ht="15" customHeight="1">
      <c r="A412" t="inlineStr">
        <is>
          <t>A 32714-2025</t>
        </is>
      </c>
      <c r="B412" s="1" t="n">
        <v>45839.37024305556</v>
      </c>
      <c r="C412" s="1" t="n">
        <v>46181</v>
      </c>
      <c r="D412" t="inlineStr">
        <is>
          <t>VÄSTERBOTTENS LÄN</t>
        </is>
      </c>
      <c r="E412" t="inlineStr">
        <is>
          <t>ÅSELE</t>
        </is>
      </c>
      <c r="G412" t="n">
        <v>19.1</v>
      </c>
      <c r="H412" t="n">
        <v>0</v>
      </c>
      <c r="I412" t="n">
        <v>0</v>
      </c>
      <c r="J412" t="n">
        <v>0</v>
      </c>
      <c r="K412" t="n">
        <v>0</v>
      </c>
      <c r="L412" t="n">
        <v>0</v>
      </c>
      <c r="M412" t="n">
        <v>0</v>
      </c>
      <c r="N412" t="n">
        <v>0</v>
      </c>
      <c r="O412" t="n">
        <v>0</v>
      </c>
      <c r="P412" t="n">
        <v>0</v>
      </c>
      <c r="Q412" t="n">
        <v>0</v>
      </c>
      <c r="R412" s="2" t="inlineStr"/>
    </row>
    <row r="413" ht="15" customHeight="1">
      <c r="A413" t="inlineStr">
        <is>
          <t>A 47341-2025</t>
        </is>
      </c>
      <c r="B413" s="1" t="n">
        <v>45930.56827546296</v>
      </c>
      <c r="C413" s="1" t="n">
        <v>46181</v>
      </c>
      <c r="D413" t="inlineStr">
        <is>
          <t>VÄSTERBOTTENS LÄN</t>
        </is>
      </c>
      <c r="E413" t="inlineStr">
        <is>
          <t>ÅSELE</t>
        </is>
      </c>
      <c r="F413" t="inlineStr">
        <is>
          <t>Holmen skog AB</t>
        </is>
      </c>
      <c r="G413" t="n">
        <v>5.3</v>
      </c>
      <c r="H413" t="n">
        <v>0</v>
      </c>
      <c r="I413" t="n">
        <v>0</v>
      </c>
      <c r="J413" t="n">
        <v>0</v>
      </c>
      <c r="K413" t="n">
        <v>0</v>
      </c>
      <c r="L413" t="n">
        <v>0</v>
      </c>
      <c r="M413" t="n">
        <v>0</v>
      </c>
      <c r="N413" t="n">
        <v>0</v>
      </c>
      <c r="O413" t="n">
        <v>0</v>
      </c>
      <c r="P413" t="n">
        <v>0</v>
      </c>
      <c r="Q413" t="n">
        <v>0</v>
      </c>
      <c r="R413" s="2" t="inlineStr"/>
    </row>
    <row r="414" ht="15" customHeight="1">
      <c r="A414" t="inlineStr">
        <is>
          <t>A 32810-2025</t>
        </is>
      </c>
      <c r="B414" s="1" t="n">
        <v>45839.51207175926</v>
      </c>
      <c r="C414" s="1" t="n">
        <v>46181</v>
      </c>
      <c r="D414" t="inlineStr">
        <is>
          <t>VÄSTERBOTTENS LÄN</t>
        </is>
      </c>
      <c r="E414" t="inlineStr">
        <is>
          <t>ÅSELE</t>
        </is>
      </c>
      <c r="F414" t="inlineStr">
        <is>
          <t>Holmen skog AB</t>
        </is>
      </c>
      <c r="G414" t="n">
        <v>3.7</v>
      </c>
      <c r="H414" t="n">
        <v>0</v>
      </c>
      <c r="I414" t="n">
        <v>0</v>
      </c>
      <c r="J414" t="n">
        <v>0</v>
      </c>
      <c r="K414" t="n">
        <v>0</v>
      </c>
      <c r="L414" t="n">
        <v>0</v>
      </c>
      <c r="M414" t="n">
        <v>0</v>
      </c>
      <c r="N414" t="n">
        <v>0</v>
      </c>
      <c r="O414" t="n">
        <v>0</v>
      </c>
      <c r="P414" t="n">
        <v>0</v>
      </c>
      <c r="Q414" t="n">
        <v>0</v>
      </c>
      <c r="R414" s="2" t="inlineStr"/>
    </row>
    <row r="415" ht="15" customHeight="1">
      <c r="A415" t="inlineStr">
        <is>
          <t>A 47433-2025</t>
        </is>
      </c>
      <c r="B415" s="1" t="n">
        <v>45930.63641203703</v>
      </c>
      <c r="C415" s="1" t="n">
        <v>46181</v>
      </c>
      <c r="D415" t="inlineStr">
        <is>
          <t>VÄSTERBOTTENS LÄN</t>
        </is>
      </c>
      <c r="E415" t="inlineStr">
        <is>
          <t>ÅSELE</t>
        </is>
      </c>
      <c r="F415" t="inlineStr">
        <is>
          <t>SCA</t>
        </is>
      </c>
      <c r="G415" t="n">
        <v>10</v>
      </c>
      <c r="H415" t="n">
        <v>0</v>
      </c>
      <c r="I415" t="n">
        <v>0</v>
      </c>
      <c r="J415" t="n">
        <v>0</v>
      </c>
      <c r="K415" t="n">
        <v>0</v>
      </c>
      <c r="L415" t="n">
        <v>0</v>
      </c>
      <c r="M415" t="n">
        <v>0</v>
      </c>
      <c r="N415" t="n">
        <v>0</v>
      </c>
      <c r="O415" t="n">
        <v>0</v>
      </c>
      <c r="P415" t="n">
        <v>0</v>
      </c>
      <c r="Q415" t="n">
        <v>0</v>
      </c>
      <c r="R415" s="2" t="inlineStr"/>
    </row>
    <row r="416" ht="15" customHeight="1">
      <c r="A416" t="inlineStr">
        <is>
          <t>A 41300-2024</t>
        </is>
      </c>
      <c r="B416" s="1" t="n">
        <v>45559.61655092592</v>
      </c>
      <c r="C416" s="1" t="n">
        <v>46181</v>
      </c>
      <c r="D416" t="inlineStr">
        <is>
          <t>VÄSTERBOTTENS LÄN</t>
        </is>
      </c>
      <c r="E416" t="inlineStr">
        <is>
          <t>ÅSELE</t>
        </is>
      </c>
      <c r="F416" t="inlineStr">
        <is>
          <t>Naturvårdsverket</t>
        </is>
      </c>
      <c r="G416" t="n">
        <v>3.1</v>
      </c>
      <c r="H416" t="n">
        <v>0</v>
      </c>
      <c r="I416" t="n">
        <v>0</v>
      </c>
      <c r="J416" t="n">
        <v>0</v>
      </c>
      <c r="K416" t="n">
        <v>0</v>
      </c>
      <c r="L416" t="n">
        <v>0</v>
      </c>
      <c r="M416" t="n">
        <v>0</v>
      </c>
      <c r="N416" t="n">
        <v>0</v>
      </c>
      <c r="O416" t="n">
        <v>0</v>
      </c>
      <c r="P416" t="n">
        <v>0</v>
      </c>
      <c r="Q416" t="n">
        <v>0</v>
      </c>
      <c r="R416" s="2" t="inlineStr"/>
    </row>
    <row r="417" ht="15" customHeight="1">
      <c r="A417" t="inlineStr">
        <is>
          <t>A 41321-2024</t>
        </is>
      </c>
      <c r="B417" s="1" t="n">
        <v>45559.64984953704</v>
      </c>
      <c r="C417" s="1" t="n">
        <v>46181</v>
      </c>
      <c r="D417" t="inlineStr">
        <is>
          <t>VÄSTERBOTTENS LÄN</t>
        </is>
      </c>
      <c r="E417" t="inlineStr">
        <is>
          <t>ÅSELE</t>
        </is>
      </c>
      <c r="F417" t="inlineStr">
        <is>
          <t>Naturvårdsverket</t>
        </is>
      </c>
      <c r="G417" t="n">
        <v>1.3</v>
      </c>
      <c r="H417" t="n">
        <v>0</v>
      </c>
      <c r="I417" t="n">
        <v>0</v>
      </c>
      <c r="J417" t="n">
        <v>0</v>
      </c>
      <c r="K417" t="n">
        <v>0</v>
      </c>
      <c r="L417" t="n">
        <v>0</v>
      </c>
      <c r="M417" t="n">
        <v>0</v>
      </c>
      <c r="N417" t="n">
        <v>0</v>
      </c>
      <c r="O417" t="n">
        <v>0</v>
      </c>
      <c r="P417" t="n">
        <v>0</v>
      </c>
      <c r="Q417" t="n">
        <v>0</v>
      </c>
      <c r="R417" s="2" t="inlineStr"/>
    </row>
    <row r="418" ht="15" customHeight="1">
      <c r="A418" t="inlineStr">
        <is>
          <t>A 32891-2025</t>
        </is>
      </c>
      <c r="B418" s="1" t="n">
        <v>45839.60825231481</v>
      </c>
      <c r="C418" s="1" t="n">
        <v>46181</v>
      </c>
      <c r="D418" t="inlineStr">
        <is>
          <t>VÄSTERBOTTENS LÄN</t>
        </is>
      </c>
      <c r="E418" t="inlineStr">
        <is>
          <t>ÅSELE</t>
        </is>
      </c>
      <c r="F418" t="inlineStr">
        <is>
          <t>Holmen skog AB</t>
        </is>
      </c>
      <c r="G418" t="n">
        <v>18.8</v>
      </c>
      <c r="H418" t="n">
        <v>0</v>
      </c>
      <c r="I418" t="n">
        <v>0</v>
      </c>
      <c r="J418" t="n">
        <v>0</v>
      </c>
      <c r="K418" t="n">
        <v>0</v>
      </c>
      <c r="L418" t="n">
        <v>0</v>
      </c>
      <c r="M418" t="n">
        <v>0</v>
      </c>
      <c r="N418" t="n">
        <v>0</v>
      </c>
      <c r="O418" t="n">
        <v>0</v>
      </c>
      <c r="P418" t="n">
        <v>0</v>
      </c>
      <c r="Q418" t="n">
        <v>0</v>
      </c>
      <c r="R418" s="2" t="inlineStr"/>
    </row>
    <row r="419" ht="15" customHeight="1">
      <c r="A419" t="inlineStr">
        <is>
          <t>A 20068-2022</t>
        </is>
      </c>
      <c r="B419" s="1" t="n">
        <v>44697</v>
      </c>
      <c r="C419" s="1" t="n">
        <v>46181</v>
      </c>
      <c r="D419" t="inlineStr">
        <is>
          <t>VÄSTERBOTTENS LÄN</t>
        </is>
      </c>
      <c r="E419" t="inlineStr">
        <is>
          <t>ÅSELE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20154-2025</t>
        </is>
      </c>
      <c r="B420" s="1" t="n">
        <v>45772.55646990741</v>
      </c>
      <c r="C420" s="1" t="n">
        <v>46181</v>
      </c>
      <c r="D420" t="inlineStr">
        <is>
          <t>VÄSTERBOTTENS LÄN</t>
        </is>
      </c>
      <c r="E420" t="inlineStr">
        <is>
          <t>ÅSELE</t>
        </is>
      </c>
      <c r="F420" t="inlineStr">
        <is>
          <t>Holmen skog AB</t>
        </is>
      </c>
      <c r="G420" t="n">
        <v>6.3</v>
      </c>
      <c r="H420" t="n">
        <v>0</v>
      </c>
      <c r="I420" t="n">
        <v>0</v>
      </c>
      <c r="J420" t="n">
        <v>0</v>
      </c>
      <c r="K420" t="n">
        <v>0</v>
      </c>
      <c r="L420" t="n">
        <v>0</v>
      </c>
      <c r="M420" t="n">
        <v>0</v>
      </c>
      <c r="N420" t="n">
        <v>0</v>
      </c>
      <c r="O420" t="n">
        <v>0</v>
      </c>
      <c r="P420" t="n">
        <v>0</v>
      </c>
      <c r="Q420" t="n">
        <v>0</v>
      </c>
      <c r="R420" s="2" t="inlineStr"/>
    </row>
    <row r="421" ht="15" customHeight="1">
      <c r="A421" t="inlineStr">
        <is>
          <t>A 47027-2025</t>
        </is>
      </c>
      <c r="B421" s="1" t="n">
        <v>45929.58471064815</v>
      </c>
      <c r="C421" s="1" t="n">
        <v>46181</v>
      </c>
      <c r="D421" t="inlineStr">
        <is>
          <t>VÄSTERBOTTENS LÄN</t>
        </is>
      </c>
      <c r="E421" t="inlineStr">
        <is>
          <t>ÅSELE</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32945-2025</t>
        </is>
      </c>
      <c r="B422" s="1" t="n">
        <v>45839.68309027778</v>
      </c>
      <c r="C422" s="1" t="n">
        <v>46181</v>
      </c>
      <c r="D422" t="inlineStr">
        <is>
          <t>VÄSTERBOTTENS LÄN</t>
        </is>
      </c>
      <c r="E422" t="inlineStr">
        <is>
          <t>ÅSELE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32976-2025</t>
        </is>
      </c>
      <c r="B423" s="1" t="n">
        <v>45839.79112268519</v>
      </c>
      <c r="C423" s="1" t="n">
        <v>46181</v>
      </c>
      <c r="D423" t="inlineStr">
        <is>
          <t>VÄSTERBOTTENS LÄN</t>
        </is>
      </c>
      <c r="E423" t="inlineStr">
        <is>
          <t>ÅSELE</t>
        </is>
      </c>
      <c r="F423" t="inlineStr">
        <is>
          <t>Holmen skog AB</t>
        </is>
      </c>
      <c r="G423" t="n">
        <v>5.2</v>
      </c>
      <c r="H423" t="n">
        <v>0</v>
      </c>
      <c r="I423" t="n">
        <v>0</v>
      </c>
      <c r="J423" t="n">
        <v>0</v>
      </c>
      <c r="K423" t="n">
        <v>0</v>
      </c>
      <c r="L423" t="n">
        <v>0</v>
      </c>
      <c r="M423" t="n">
        <v>0</v>
      </c>
      <c r="N423" t="n">
        <v>0</v>
      </c>
      <c r="O423" t="n">
        <v>0</v>
      </c>
      <c r="P423" t="n">
        <v>0</v>
      </c>
      <c r="Q423" t="n">
        <v>0</v>
      </c>
      <c r="R423" s="2" t="inlineStr"/>
    </row>
    <row r="424" ht="15" customHeight="1">
      <c r="A424" t="inlineStr">
        <is>
          <t>A 13348-2023</t>
        </is>
      </c>
      <c r="B424" s="1" t="n">
        <v>45005</v>
      </c>
      <c r="C424" s="1" t="n">
        <v>46181</v>
      </c>
      <c r="D424" t="inlineStr">
        <is>
          <t>VÄSTERBOTTENS LÄN</t>
        </is>
      </c>
      <c r="E424" t="inlineStr">
        <is>
          <t>ÅSELE</t>
        </is>
      </c>
      <c r="G424" t="n">
        <v>4.5</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46181</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28087-2023</t>
        </is>
      </c>
      <c r="B426" s="1" t="n">
        <v>45099</v>
      </c>
      <c r="C426" s="1" t="n">
        <v>46181</v>
      </c>
      <c r="D426" t="inlineStr">
        <is>
          <t>VÄSTERBOTTENS LÄN</t>
        </is>
      </c>
      <c r="E426" t="inlineStr">
        <is>
          <t>ÅSELE</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55623-2024</t>
        </is>
      </c>
      <c r="B427" s="1" t="n">
        <v>45622.59480324074</v>
      </c>
      <c r="C427" s="1" t="n">
        <v>46181</v>
      </c>
      <c r="D427" t="inlineStr">
        <is>
          <t>VÄSTERBOTTENS LÄN</t>
        </is>
      </c>
      <c r="E427" t="inlineStr">
        <is>
          <t>ÅSELE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33788-2025</t>
        </is>
      </c>
      <c r="B428" s="1" t="n">
        <v>45842</v>
      </c>
      <c r="C428" s="1" t="n">
        <v>46181</v>
      </c>
      <c r="D428" t="inlineStr">
        <is>
          <t>VÄSTERBOTTENS LÄN</t>
        </is>
      </c>
      <c r="E428" t="inlineStr">
        <is>
          <t>ÅSELE</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47823-2025</t>
        </is>
      </c>
      <c r="B429" s="1" t="n">
        <v>45932.34454861111</v>
      </c>
      <c r="C429" s="1" t="n">
        <v>46181</v>
      </c>
      <c r="D429" t="inlineStr">
        <is>
          <t>VÄSTERBOTTENS LÄN</t>
        </is>
      </c>
      <c r="E429" t="inlineStr">
        <is>
          <t>ÅSELE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6185-2026</t>
        </is>
      </c>
      <c r="B430" s="1" t="n">
        <v>46055.36503472222</v>
      </c>
      <c r="C430" s="1" t="n">
        <v>46181</v>
      </c>
      <c r="D430" t="inlineStr">
        <is>
          <t>VÄSTERBOTTENS LÄN</t>
        </is>
      </c>
      <c r="E430" t="inlineStr">
        <is>
          <t>ÅSELE</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47825-2025</t>
        </is>
      </c>
      <c r="B431" s="1" t="n">
        <v>45932.34476851852</v>
      </c>
      <c r="C431" s="1" t="n">
        <v>46181</v>
      </c>
      <c r="D431" t="inlineStr">
        <is>
          <t>VÄSTERBOTTENS LÄN</t>
        </is>
      </c>
      <c r="E431" t="inlineStr">
        <is>
          <t>ÅSELE</t>
        </is>
      </c>
      <c r="F431" t="inlineStr">
        <is>
          <t>SCA</t>
        </is>
      </c>
      <c r="G431" t="n">
        <v>8.4</v>
      </c>
      <c r="H431" t="n">
        <v>0</v>
      </c>
      <c r="I431" t="n">
        <v>0</v>
      </c>
      <c r="J431" t="n">
        <v>0</v>
      </c>
      <c r="K431" t="n">
        <v>0</v>
      </c>
      <c r="L431" t="n">
        <v>0</v>
      </c>
      <c r="M431" t="n">
        <v>0</v>
      </c>
      <c r="N431" t="n">
        <v>0</v>
      </c>
      <c r="O431" t="n">
        <v>0</v>
      </c>
      <c r="P431" t="n">
        <v>0</v>
      </c>
      <c r="Q431" t="n">
        <v>0</v>
      </c>
      <c r="R431" s="2" t="inlineStr"/>
    </row>
    <row r="432" ht="15" customHeight="1">
      <c r="A432" t="inlineStr">
        <is>
          <t>A 39401-2022</t>
        </is>
      </c>
      <c r="B432" s="1" t="n">
        <v>44817.94894675926</v>
      </c>
      <c r="C432" s="1" t="n">
        <v>46181</v>
      </c>
      <c r="D432" t="inlineStr">
        <is>
          <t>VÄSTERBOTTENS LÄN</t>
        </is>
      </c>
      <c r="E432" t="inlineStr">
        <is>
          <t>ÅSELE</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28955-2024</t>
        </is>
      </c>
      <c r="B433" s="1" t="n">
        <v>45481</v>
      </c>
      <c r="C433" s="1" t="n">
        <v>46181</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28960-2024</t>
        </is>
      </c>
      <c r="B434" s="1" t="n">
        <v>45481</v>
      </c>
      <c r="C434" s="1" t="n">
        <v>46181</v>
      </c>
      <c r="D434" t="inlineStr">
        <is>
          <t>VÄSTERBOTTENS LÄN</t>
        </is>
      </c>
      <c r="E434" t="inlineStr">
        <is>
          <t>ÅSELE</t>
        </is>
      </c>
      <c r="F434" t="inlineStr">
        <is>
          <t>Sveaskog</t>
        </is>
      </c>
      <c r="G434" t="n">
        <v>4.3</v>
      </c>
      <c r="H434" t="n">
        <v>0</v>
      </c>
      <c r="I434" t="n">
        <v>0</v>
      </c>
      <c r="J434" t="n">
        <v>0</v>
      </c>
      <c r="K434" t="n">
        <v>0</v>
      </c>
      <c r="L434" t="n">
        <v>0</v>
      </c>
      <c r="M434" t="n">
        <v>0</v>
      </c>
      <c r="N434" t="n">
        <v>0</v>
      </c>
      <c r="O434" t="n">
        <v>0</v>
      </c>
      <c r="P434" t="n">
        <v>0</v>
      </c>
      <c r="Q434" t="n">
        <v>0</v>
      </c>
      <c r="R434" s="2" t="inlineStr"/>
    </row>
    <row r="435" ht="15" customHeight="1">
      <c r="A435" t="inlineStr">
        <is>
          <t>A 28961-2024</t>
        </is>
      </c>
      <c r="B435" s="1" t="n">
        <v>45481</v>
      </c>
      <c r="C435" s="1" t="n">
        <v>46181</v>
      </c>
      <c r="D435" t="inlineStr">
        <is>
          <t>VÄSTERBOTTENS LÄN</t>
        </is>
      </c>
      <c r="E435" t="inlineStr">
        <is>
          <t>ÅSELE</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45689-2022</t>
        </is>
      </c>
      <c r="B436" s="1" t="n">
        <v>44845.95304398148</v>
      </c>
      <c r="C436" s="1" t="n">
        <v>46181</v>
      </c>
      <c r="D436" t="inlineStr">
        <is>
          <t>VÄSTERBOTTENS LÄN</t>
        </is>
      </c>
      <c r="E436" t="inlineStr">
        <is>
          <t>ÅSELE</t>
        </is>
      </c>
      <c r="F436" t="inlineStr">
        <is>
          <t>SCA</t>
        </is>
      </c>
      <c r="G436" t="n">
        <v>9.5</v>
      </c>
      <c r="H436" t="n">
        <v>0</v>
      </c>
      <c r="I436" t="n">
        <v>0</v>
      </c>
      <c r="J436" t="n">
        <v>0</v>
      </c>
      <c r="K436" t="n">
        <v>0</v>
      </c>
      <c r="L436" t="n">
        <v>0</v>
      </c>
      <c r="M436" t="n">
        <v>0</v>
      </c>
      <c r="N436" t="n">
        <v>0</v>
      </c>
      <c r="O436" t="n">
        <v>0</v>
      </c>
      <c r="P436" t="n">
        <v>0</v>
      </c>
      <c r="Q436" t="n">
        <v>0</v>
      </c>
      <c r="R436" s="2" t="inlineStr"/>
    </row>
    <row r="437" ht="15" customHeight="1">
      <c r="A437" t="inlineStr">
        <is>
          <t>A 33710-2025</t>
        </is>
      </c>
      <c r="B437" s="1" t="n">
        <v>45841.83299768518</v>
      </c>
      <c r="C437" s="1" t="n">
        <v>46181</v>
      </c>
      <c r="D437" t="inlineStr">
        <is>
          <t>VÄSTERBOTTENS LÄN</t>
        </is>
      </c>
      <c r="E437" t="inlineStr">
        <is>
          <t>ÅSELE</t>
        </is>
      </c>
      <c r="G437" t="n">
        <v>13.7</v>
      </c>
      <c r="H437" t="n">
        <v>0</v>
      </c>
      <c r="I437" t="n">
        <v>0</v>
      </c>
      <c r="J437" t="n">
        <v>0</v>
      </c>
      <c r="K437" t="n">
        <v>0</v>
      </c>
      <c r="L437" t="n">
        <v>0</v>
      </c>
      <c r="M437" t="n">
        <v>0</v>
      </c>
      <c r="N437" t="n">
        <v>0</v>
      </c>
      <c r="O437" t="n">
        <v>0</v>
      </c>
      <c r="P437" t="n">
        <v>0</v>
      </c>
      <c r="Q437" t="n">
        <v>0</v>
      </c>
      <c r="R437" s="2" t="inlineStr"/>
    </row>
    <row r="438" ht="15" customHeight="1">
      <c r="A438" t="inlineStr">
        <is>
          <t>A 34295-2025</t>
        </is>
      </c>
      <c r="B438" s="1" t="n">
        <v>45846.34438657408</v>
      </c>
      <c r="C438" s="1" t="n">
        <v>46181</v>
      </c>
      <c r="D438" t="inlineStr">
        <is>
          <t>VÄSTERBOTTENS LÄN</t>
        </is>
      </c>
      <c r="E438" t="inlineStr">
        <is>
          <t>ÅSELE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6565-2026</t>
        </is>
      </c>
      <c r="B439" s="1" t="n">
        <v>46056.4393287037</v>
      </c>
      <c r="C439" s="1" t="n">
        <v>46181</v>
      </c>
      <c r="D439" t="inlineStr">
        <is>
          <t>VÄSTERBOTTENS LÄN</t>
        </is>
      </c>
      <c r="E439" t="inlineStr">
        <is>
          <t>ÅSELE</t>
        </is>
      </c>
      <c r="G439" t="n">
        <v>2.3</v>
      </c>
      <c r="H439" t="n">
        <v>0</v>
      </c>
      <c r="I439" t="n">
        <v>0</v>
      </c>
      <c r="J439" t="n">
        <v>0</v>
      </c>
      <c r="K439" t="n">
        <v>0</v>
      </c>
      <c r="L439" t="n">
        <v>0</v>
      </c>
      <c r="M439" t="n">
        <v>0</v>
      </c>
      <c r="N439" t="n">
        <v>0</v>
      </c>
      <c r="O439" t="n">
        <v>0</v>
      </c>
      <c r="P439" t="n">
        <v>0</v>
      </c>
      <c r="Q439" t="n">
        <v>0</v>
      </c>
      <c r="R439" s="2" t="inlineStr"/>
    </row>
    <row r="440" ht="15" customHeight="1">
      <c r="A440" t="inlineStr">
        <is>
          <t>A 56446-2024</t>
        </is>
      </c>
      <c r="B440" s="1" t="n">
        <v>45625.42743055556</v>
      </c>
      <c r="C440" s="1" t="n">
        <v>46181</v>
      </c>
      <c r="D440" t="inlineStr">
        <is>
          <t>VÄSTERBOTTENS LÄN</t>
        </is>
      </c>
      <c r="E440" t="inlineStr">
        <is>
          <t>ÅSELE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6911-2026</t>
        </is>
      </c>
      <c r="B441" s="1" t="n">
        <v>46057.51104166666</v>
      </c>
      <c r="C441" s="1" t="n">
        <v>46181</v>
      </c>
      <c r="D441" t="inlineStr">
        <is>
          <t>VÄSTERBOTTENS LÄN</t>
        </is>
      </c>
      <c r="E441" t="inlineStr">
        <is>
          <t>ÅSELE</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6888-2026</t>
        </is>
      </c>
      <c r="B442" s="1" t="n">
        <v>46057.46924768519</v>
      </c>
      <c r="C442" s="1" t="n">
        <v>46181</v>
      </c>
      <c r="D442" t="inlineStr">
        <is>
          <t>VÄSTERBOTTENS LÄN</t>
        </is>
      </c>
      <c r="E442" t="inlineStr">
        <is>
          <t>ÅSELE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6902-2026</t>
        </is>
      </c>
      <c r="B443" s="1" t="n">
        <v>46057.49060185185</v>
      </c>
      <c r="C443" s="1" t="n">
        <v>46181</v>
      </c>
      <c r="D443" t="inlineStr">
        <is>
          <t>VÄSTERBOTTENS LÄN</t>
        </is>
      </c>
      <c r="E443" t="inlineStr">
        <is>
          <t>ÅSELE</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28889-2024</t>
        </is>
      </c>
      <c r="B444" s="1" t="n">
        <v>45479.9489699074</v>
      </c>
      <c r="C444" s="1" t="n">
        <v>46181</v>
      </c>
      <c r="D444" t="inlineStr">
        <is>
          <t>VÄSTERBOTTENS LÄN</t>
        </is>
      </c>
      <c r="E444" t="inlineStr">
        <is>
          <t>ÅSELE</t>
        </is>
      </c>
      <c r="F444" t="inlineStr">
        <is>
          <t>SCA</t>
        </is>
      </c>
      <c r="G444" t="n">
        <v>10.9</v>
      </c>
      <c r="H444" t="n">
        <v>0</v>
      </c>
      <c r="I444" t="n">
        <v>0</v>
      </c>
      <c r="J444" t="n">
        <v>0</v>
      </c>
      <c r="K444" t="n">
        <v>0</v>
      </c>
      <c r="L444" t="n">
        <v>0</v>
      </c>
      <c r="M444" t="n">
        <v>0</v>
      </c>
      <c r="N444" t="n">
        <v>0</v>
      </c>
      <c r="O444" t="n">
        <v>0</v>
      </c>
      <c r="P444" t="n">
        <v>0</v>
      </c>
      <c r="Q444" t="n">
        <v>0</v>
      </c>
      <c r="R444" s="2" t="inlineStr"/>
    </row>
    <row r="445" ht="15" customHeight="1">
      <c r="A445" t="inlineStr">
        <is>
          <t>A 34667-2025</t>
        </is>
      </c>
      <c r="B445" s="1" t="n">
        <v>45848.38278935185</v>
      </c>
      <c r="C445" s="1" t="n">
        <v>46181</v>
      </c>
      <c r="D445" t="inlineStr">
        <is>
          <t>VÄSTERBOTTENS LÄN</t>
        </is>
      </c>
      <c r="E445" t="inlineStr">
        <is>
          <t>ÅSELE</t>
        </is>
      </c>
      <c r="F445" t="inlineStr">
        <is>
          <t>Holmen skog AB</t>
        </is>
      </c>
      <c r="G445" t="n">
        <v>3.8</v>
      </c>
      <c r="H445" t="n">
        <v>0</v>
      </c>
      <c r="I445" t="n">
        <v>0</v>
      </c>
      <c r="J445" t="n">
        <v>0</v>
      </c>
      <c r="K445" t="n">
        <v>0</v>
      </c>
      <c r="L445" t="n">
        <v>0</v>
      </c>
      <c r="M445" t="n">
        <v>0</v>
      </c>
      <c r="N445" t="n">
        <v>0</v>
      </c>
      <c r="O445" t="n">
        <v>0</v>
      </c>
      <c r="P445" t="n">
        <v>0</v>
      </c>
      <c r="Q445" t="n">
        <v>0</v>
      </c>
      <c r="R445" s="2" t="inlineStr"/>
    </row>
    <row r="446" ht="15" customHeight="1">
      <c r="A446" t="inlineStr">
        <is>
          <t>A 34301-2025</t>
        </is>
      </c>
      <c r="B446" s="1" t="n">
        <v>45846.34537037037</v>
      </c>
      <c r="C446" s="1" t="n">
        <v>46181</v>
      </c>
      <c r="D446" t="inlineStr">
        <is>
          <t>VÄSTERBOTTENS LÄN</t>
        </is>
      </c>
      <c r="E446" t="inlineStr">
        <is>
          <t>ÅSELE</t>
        </is>
      </c>
      <c r="F446" t="inlineStr">
        <is>
          <t>SCA</t>
        </is>
      </c>
      <c r="G446" t="n">
        <v>27.4</v>
      </c>
      <c r="H446" t="n">
        <v>0</v>
      </c>
      <c r="I446" t="n">
        <v>0</v>
      </c>
      <c r="J446" t="n">
        <v>0</v>
      </c>
      <c r="K446" t="n">
        <v>0</v>
      </c>
      <c r="L446" t="n">
        <v>0</v>
      </c>
      <c r="M446" t="n">
        <v>0</v>
      </c>
      <c r="N446" t="n">
        <v>0</v>
      </c>
      <c r="O446" t="n">
        <v>0</v>
      </c>
      <c r="P446" t="n">
        <v>0</v>
      </c>
      <c r="Q446" t="n">
        <v>0</v>
      </c>
      <c r="R446" s="2" t="inlineStr"/>
    </row>
    <row r="447" ht="15" customHeight="1">
      <c r="A447" t="inlineStr">
        <is>
          <t>A 34659-2025</t>
        </is>
      </c>
      <c r="B447" s="1" t="n">
        <v>45848.36859953704</v>
      </c>
      <c r="C447" s="1" t="n">
        <v>46181</v>
      </c>
      <c r="D447" t="inlineStr">
        <is>
          <t>VÄSTERBOTTENS LÄN</t>
        </is>
      </c>
      <c r="E447" t="inlineStr">
        <is>
          <t>ÅSELE</t>
        </is>
      </c>
      <c r="G447" t="n">
        <v>2.6</v>
      </c>
      <c r="H447" t="n">
        <v>0</v>
      </c>
      <c r="I447" t="n">
        <v>0</v>
      </c>
      <c r="J447" t="n">
        <v>0</v>
      </c>
      <c r="K447" t="n">
        <v>0</v>
      </c>
      <c r="L447" t="n">
        <v>0</v>
      </c>
      <c r="M447" t="n">
        <v>0</v>
      </c>
      <c r="N447" t="n">
        <v>0</v>
      </c>
      <c r="O447" t="n">
        <v>0</v>
      </c>
      <c r="P447" t="n">
        <v>0</v>
      </c>
      <c r="Q447" t="n">
        <v>0</v>
      </c>
      <c r="R447" s="2" t="inlineStr"/>
    </row>
    <row r="448" ht="15" customHeight="1">
      <c r="A448" t="inlineStr">
        <is>
          <t>A 34661-2025</t>
        </is>
      </c>
      <c r="B448" s="1" t="n">
        <v>45848.3715625</v>
      </c>
      <c r="C448" s="1" t="n">
        <v>46181</v>
      </c>
      <c r="D448" t="inlineStr">
        <is>
          <t>VÄSTERBOTTENS LÄN</t>
        </is>
      </c>
      <c r="E448" t="inlineStr">
        <is>
          <t>ÅSELE</t>
        </is>
      </c>
      <c r="G448" t="n">
        <v>0.6</v>
      </c>
      <c r="H448" t="n">
        <v>0</v>
      </c>
      <c r="I448" t="n">
        <v>0</v>
      </c>
      <c r="J448" t="n">
        <v>0</v>
      </c>
      <c r="K448" t="n">
        <v>0</v>
      </c>
      <c r="L448" t="n">
        <v>0</v>
      </c>
      <c r="M448" t="n">
        <v>0</v>
      </c>
      <c r="N448" t="n">
        <v>0</v>
      </c>
      <c r="O448" t="n">
        <v>0</v>
      </c>
      <c r="P448" t="n">
        <v>0</v>
      </c>
      <c r="Q448" t="n">
        <v>0</v>
      </c>
      <c r="R448" s="2" t="inlineStr"/>
    </row>
    <row r="449" ht="15" customHeight="1">
      <c r="A449" t="inlineStr">
        <is>
          <t>A 7512-2023</t>
        </is>
      </c>
      <c r="B449" s="1" t="n">
        <v>44971.93078703704</v>
      </c>
      <c r="C449" s="1" t="n">
        <v>46181</v>
      </c>
      <c r="D449" t="inlineStr">
        <is>
          <t>VÄSTERBOTTENS LÄN</t>
        </is>
      </c>
      <c r="E449" t="inlineStr">
        <is>
          <t>ÅSELE</t>
        </is>
      </c>
      <c r="G449" t="n">
        <v>0.8</v>
      </c>
      <c r="H449" t="n">
        <v>0</v>
      </c>
      <c r="I449" t="n">
        <v>0</v>
      </c>
      <c r="J449" t="n">
        <v>0</v>
      </c>
      <c r="K449" t="n">
        <v>0</v>
      </c>
      <c r="L449" t="n">
        <v>0</v>
      </c>
      <c r="M449" t="n">
        <v>0</v>
      </c>
      <c r="N449" t="n">
        <v>0</v>
      </c>
      <c r="O449" t="n">
        <v>0</v>
      </c>
      <c r="P449" t="n">
        <v>0</v>
      </c>
      <c r="Q449" t="n">
        <v>0</v>
      </c>
      <c r="R449" s="2" t="inlineStr"/>
    </row>
    <row r="450" ht="15" customHeight="1">
      <c r="A450" t="inlineStr">
        <is>
          <t>A 7029-2026</t>
        </is>
      </c>
      <c r="B450" s="1" t="n">
        <v>46057.67790509259</v>
      </c>
      <c r="C450" s="1" t="n">
        <v>46181</v>
      </c>
      <c r="D450" t="inlineStr">
        <is>
          <t>VÄSTERBOTTENS LÄN</t>
        </is>
      </c>
      <c r="E450" t="inlineStr">
        <is>
          <t>ÅSELE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48878-2025</t>
        </is>
      </c>
      <c r="B451" s="1" t="n">
        <v>45937.45689814815</v>
      </c>
      <c r="C451" s="1" t="n">
        <v>46181</v>
      </c>
      <c r="D451" t="inlineStr">
        <is>
          <t>VÄSTERBOTTENS LÄN</t>
        </is>
      </c>
      <c r="E451" t="inlineStr">
        <is>
          <t>ÅSELE</t>
        </is>
      </c>
      <c r="F451" t="inlineStr">
        <is>
          <t>Sveaskog</t>
        </is>
      </c>
      <c r="G451" t="n">
        <v>16.6</v>
      </c>
      <c r="H451" t="n">
        <v>0</v>
      </c>
      <c r="I451" t="n">
        <v>0</v>
      </c>
      <c r="J451" t="n">
        <v>0</v>
      </c>
      <c r="K451" t="n">
        <v>0</v>
      </c>
      <c r="L451" t="n">
        <v>0</v>
      </c>
      <c r="M451" t="n">
        <v>0</v>
      </c>
      <c r="N451" t="n">
        <v>0</v>
      </c>
      <c r="O451" t="n">
        <v>0</v>
      </c>
      <c r="P451" t="n">
        <v>0</v>
      </c>
      <c r="Q451" t="n">
        <v>0</v>
      </c>
      <c r="R451" s="2" t="inlineStr"/>
    </row>
    <row r="452" ht="15" customHeight="1">
      <c r="A452" t="inlineStr">
        <is>
          <t>A 48820-2025</t>
        </is>
      </c>
      <c r="B452" s="1" t="n">
        <v>45937.37208333334</v>
      </c>
      <c r="C452" s="1" t="n">
        <v>46181</v>
      </c>
      <c r="D452" t="inlineStr">
        <is>
          <t>VÄSTERBOTTENS LÄN</t>
        </is>
      </c>
      <c r="E452" t="inlineStr">
        <is>
          <t>ÅSELE</t>
        </is>
      </c>
      <c r="F452" t="inlineStr">
        <is>
          <t>Holmen skog AB</t>
        </is>
      </c>
      <c r="G452" t="n">
        <v>12.1</v>
      </c>
      <c r="H452" t="n">
        <v>0</v>
      </c>
      <c r="I452" t="n">
        <v>0</v>
      </c>
      <c r="J452" t="n">
        <v>0</v>
      </c>
      <c r="K452" t="n">
        <v>0</v>
      </c>
      <c r="L452" t="n">
        <v>0</v>
      </c>
      <c r="M452" t="n">
        <v>0</v>
      </c>
      <c r="N452" t="n">
        <v>0</v>
      </c>
      <c r="O452" t="n">
        <v>0</v>
      </c>
      <c r="P452" t="n">
        <v>0</v>
      </c>
      <c r="Q452" t="n">
        <v>0</v>
      </c>
      <c r="R452" s="2" t="inlineStr"/>
    </row>
    <row r="453" ht="15" customHeight="1">
      <c r="A453" t="inlineStr">
        <is>
          <t>A 6900-2026</t>
        </is>
      </c>
      <c r="B453" s="1" t="n">
        <v>46057.49017361111</v>
      </c>
      <c r="C453" s="1" t="n">
        <v>46181</v>
      </c>
      <c r="D453" t="inlineStr">
        <is>
          <t>VÄSTERBOTTENS LÄN</t>
        </is>
      </c>
      <c r="E453" t="inlineStr">
        <is>
          <t>ÅSELE</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6903-2026</t>
        </is>
      </c>
      <c r="B454" s="1" t="n">
        <v>46057.490625</v>
      </c>
      <c r="C454" s="1" t="n">
        <v>46181</v>
      </c>
      <c r="D454" t="inlineStr">
        <is>
          <t>VÄSTERBOTTENS LÄN</t>
        </is>
      </c>
      <c r="E454" t="inlineStr">
        <is>
          <t>ÅSELE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6910-2026</t>
        </is>
      </c>
      <c r="B455" s="1" t="n">
        <v>46057.51086805556</v>
      </c>
      <c r="C455" s="1" t="n">
        <v>46181</v>
      </c>
      <c r="D455" t="inlineStr">
        <is>
          <t>VÄSTERBOTTENS LÄN</t>
        </is>
      </c>
      <c r="E455" t="inlineStr">
        <is>
          <t>ÅSELE</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49210-2025</t>
        </is>
      </c>
      <c r="B456" s="1" t="n">
        <v>45938.43741898148</v>
      </c>
      <c r="C456" s="1" t="n">
        <v>46181</v>
      </c>
      <c r="D456" t="inlineStr">
        <is>
          <t>VÄSTERBOTTENS LÄN</t>
        </is>
      </c>
      <c r="E456" t="inlineStr">
        <is>
          <t>ÅSELE</t>
        </is>
      </c>
      <c r="F456" t="inlineStr">
        <is>
          <t>Holmen skog AB</t>
        </is>
      </c>
      <c r="G456" t="n">
        <v>2.9</v>
      </c>
      <c r="H456" t="n">
        <v>0</v>
      </c>
      <c r="I456" t="n">
        <v>0</v>
      </c>
      <c r="J456" t="n">
        <v>0</v>
      </c>
      <c r="K456" t="n">
        <v>0</v>
      </c>
      <c r="L456" t="n">
        <v>0</v>
      </c>
      <c r="M456" t="n">
        <v>0</v>
      </c>
      <c r="N456" t="n">
        <v>0</v>
      </c>
      <c r="O456" t="n">
        <v>0</v>
      </c>
      <c r="P456" t="n">
        <v>0</v>
      </c>
      <c r="Q456" t="n">
        <v>0</v>
      </c>
      <c r="R456" s="2" t="inlineStr"/>
    </row>
    <row r="457" ht="15" customHeight="1">
      <c r="A457" t="inlineStr">
        <is>
          <t>A 1275-2025</t>
        </is>
      </c>
      <c r="B457" s="1" t="n">
        <v>45666</v>
      </c>
      <c r="C457" s="1" t="n">
        <v>46181</v>
      </c>
      <c r="D457" t="inlineStr">
        <is>
          <t>VÄSTERBOTTENS LÄN</t>
        </is>
      </c>
      <c r="E457" t="inlineStr">
        <is>
          <t>ÅSELE</t>
        </is>
      </c>
      <c r="G457" t="n">
        <v>8.1</v>
      </c>
      <c r="H457" t="n">
        <v>0</v>
      </c>
      <c r="I457" t="n">
        <v>0</v>
      </c>
      <c r="J457" t="n">
        <v>0</v>
      </c>
      <c r="K457" t="n">
        <v>0</v>
      </c>
      <c r="L457" t="n">
        <v>0</v>
      </c>
      <c r="M457" t="n">
        <v>0</v>
      </c>
      <c r="N457" t="n">
        <v>0</v>
      </c>
      <c r="O457" t="n">
        <v>0</v>
      </c>
      <c r="P457" t="n">
        <v>0</v>
      </c>
      <c r="Q457" t="n">
        <v>0</v>
      </c>
      <c r="R457" s="2" t="inlineStr"/>
    </row>
    <row r="458" ht="15" customHeight="1">
      <c r="A458" t="inlineStr">
        <is>
          <t>A 1733-2025</t>
        </is>
      </c>
      <c r="B458" s="1" t="n">
        <v>45671</v>
      </c>
      <c r="C458" s="1" t="n">
        <v>46181</v>
      </c>
      <c r="D458" t="inlineStr">
        <is>
          <t>VÄSTERBOTTENS LÄN</t>
        </is>
      </c>
      <c r="E458" t="inlineStr">
        <is>
          <t>ÅSELE</t>
        </is>
      </c>
      <c r="F458" t="inlineStr">
        <is>
          <t>Sveaskog</t>
        </is>
      </c>
      <c r="G458" t="n">
        <v>18.2</v>
      </c>
      <c r="H458" t="n">
        <v>0</v>
      </c>
      <c r="I458" t="n">
        <v>0</v>
      </c>
      <c r="J458" t="n">
        <v>0</v>
      </c>
      <c r="K458" t="n">
        <v>0</v>
      </c>
      <c r="L458" t="n">
        <v>0</v>
      </c>
      <c r="M458" t="n">
        <v>0</v>
      </c>
      <c r="N458" t="n">
        <v>0</v>
      </c>
      <c r="O458" t="n">
        <v>0</v>
      </c>
      <c r="P458" t="n">
        <v>0</v>
      </c>
      <c r="Q458" t="n">
        <v>0</v>
      </c>
      <c r="R458" s="2" t="inlineStr"/>
    </row>
    <row r="459" ht="15" customHeight="1">
      <c r="A459" t="inlineStr">
        <is>
          <t>A 34852-2025</t>
        </is>
      </c>
      <c r="B459" s="1" t="n">
        <v>45849.42777777778</v>
      </c>
      <c r="C459" s="1" t="n">
        <v>46181</v>
      </c>
      <c r="D459" t="inlineStr">
        <is>
          <t>VÄSTERBOTTENS LÄN</t>
        </is>
      </c>
      <c r="E459" t="inlineStr">
        <is>
          <t>ÅSELE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49174-2025</t>
        </is>
      </c>
      <c r="B460" s="1" t="n">
        <v>45938.37679398148</v>
      </c>
      <c r="C460" s="1" t="n">
        <v>46181</v>
      </c>
      <c r="D460" t="inlineStr">
        <is>
          <t>VÄSTERBOTTENS LÄN</t>
        </is>
      </c>
      <c r="E460" t="inlineStr">
        <is>
          <t>ÅSELE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34883-2025</t>
        </is>
      </c>
      <c r="B461" s="1" t="n">
        <v>45849.46943287037</v>
      </c>
      <c r="C461" s="1" t="n">
        <v>46181</v>
      </c>
      <c r="D461" t="inlineStr">
        <is>
          <t>VÄSTERBOTTENS LÄN</t>
        </is>
      </c>
      <c r="E461" t="inlineStr">
        <is>
          <t>ÅSELE</t>
        </is>
      </c>
      <c r="F461" t="inlineStr">
        <is>
          <t>SCA</t>
        </is>
      </c>
      <c r="G461" t="n">
        <v>13.3</v>
      </c>
      <c r="H461" t="n">
        <v>0</v>
      </c>
      <c r="I461" t="n">
        <v>0</v>
      </c>
      <c r="J461" t="n">
        <v>0</v>
      </c>
      <c r="K461" t="n">
        <v>0</v>
      </c>
      <c r="L461" t="n">
        <v>0</v>
      </c>
      <c r="M461" t="n">
        <v>0</v>
      </c>
      <c r="N461" t="n">
        <v>0</v>
      </c>
      <c r="O461" t="n">
        <v>0</v>
      </c>
      <c r="P461" t="n">
        <v>0</v>
      </c>
      <c r="Q461" t="n">
        <v>0</v>
      </c>
      <c r="R461" s="2" t="inlineStr"/>
    </row>
    <row r="462" ht="15" customHeight="1">
      <c r="A462" t="inlineStr">
        <is>
          <t>A 49208-2025</t>
        </is>
      </c>
      <c r="B462" s="1" t="n">
        <v>45938.43431712963</v>
      </c>
      <c r="C462" s="1" t="n">
        <v>46181</v>
      </c>
      <c r="D462" t="inlineStr">
        <is>
          <t>VÄSTERBOTTENS LÄN</t>
        </is>
      </c>
      <c r="E462" t="inlineStr">
        <is>
          <t>ÅSELE</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34843-2025</t>
        </is>
      </c>
      <c r="B463" s="1" t="n">
        <v>45849.40900462963</v>
      </c>
      <c r="C463" s="1" t="n">
        <v>46181</v>
      </c>
      <c r="D463" t="inlineStr">
        <is>
          <t>VÄSTERBOTTENS LÄN</t>
        </is>
      </c>
      <c r="E463" t="inlineStr">
        <is>
          <t>ÅSELE</t>
        </is>
      </c>
      <c r="F463" t="inlineStr">
        <is>
          <t>Sveaskog</t>
        </is>
      </c>
      <c r="G463" t="n">
        <v>4.2</v>
      </c>
      <c r="H463" t="n">
        <v>0</v>
      </c>
      <c r="I463" t="n">
        <v>0</v>
      </c>
      <c r="J463" t="n">
        <v>0</v>
      </c>
      <c r="K463" t="n">
        <v>0</v>
      </c>
      <c r="L463" t="n">
        <v>0</v>
      </c>
      <c r="M463" t="n">
        <v>0</v>
      </c>
      <c r="N463" t="n">
        <v>0</v>
      </c>
      <c r="O463" t="n">
        <v>0</v>
      </c>
      <c r="P463" t="n">
        <v>0</v>
      </c>
      <c r="Q463" t="n">
        <v>0</v>
      </c>
      <c r="R463" s="2" t="inlineStr"/>
    </row>
    <row r="464" ht="15" customHeight="1">
      <c r="A464" t="inlineStr">
        <is>
          <t>A 34900-2025</t>
        </is>
      </c>
      <c r="B464" s="1" t="n">
        <v>45849.5046875</v>
      </c>
      <c r="C464" s="1" t="n">
        <v>46181</v>
      </c>
      <c r="D464" t="inlineStr">
        <is>
          <t>VÄSTERBOTTENS LÄN</t>
        </is>
      </c>
      <c r="E464" t="inlineStr">
        <is>
          <t>ÅSELE</t>
        </is>
      </c>
      <c r="G464" t="n">
        <v>1.4</v>
      </c>
      <c r="H464" t="n">
        <v>0</v>
      </c>
      <c r="I464" t="n">
        <v>0</v>
      </c>
      <c r="J464" t="n">
        <v>0</v>
      </c>
      <c r="K464" t="n">
        <v>0</v>
      </c>
      <c r="L464" t="n">
        <v>0</v>
      </c>
      <c r="M464" t="n">
        <v>0</v>
      </c>
      <c r="N464" t="n">
        <v>0</v>
      </c>
      <c r="O464" t="n">
        <v>0</v>
      </c>
      <c r="P464" t="n">
        <v>0</v>
      </c>
      <c r="Q464" t="n">
        <v>0</v>
      </c>
      <c r="R464" s="2" t="inlineStr"/>
    </row>
    <row r="465" ht="15" customHeight="1">
      <c r="A465" t="inlineStr">
        <is>
          <t>A 34904-2025</t>
        </is>
      </c>
      <c r="B465" s="1" t="n">
        <v>45849.51297453704</v>
      </c>
      <c r="C465" s="1" t="n">
        <v>46181</v>
      </c>
      <c r="D465" t="inlineStr">
        <is>
          <t>VÄSTERBOTTENS LÄN</t>
        </is>
      </c>
      <c r="E465" t="inlineStr">
        <is>
          <t>ÅSELE</t>
        </is>
      </c>
      <c r="G465" t="n">
        <v>1.6</v>
      </c>
      <c r="H465" t="n">
        <v>0</v>
      </c>
      <c r="I465" t="n">
        <v>0</v>
      </c>
      <c r="J465" t="n">
        <v>0</v>
      </c>
      <c r="K465" t="n">
        <v>0</v>
      </c>
      <c r="L465" t="n">
        <v>0</v>
      </c>
      <c r="M465" t="n">
        <v>0</v>
      </c>
      <c r="N465" t="n">
        <v>0</v>
      </c>
      <c r="O465" t="n">
        <v>0</v>
      </c>
      <c r="P465" t="n">
        <v>0</v>
      </c>
      <c r="Q465" t="n">
        <v>0</v>
      </c>
      <c r="R465" s="2" t="inlineStr"/>
    </row>
    <row r="466" ht="15" customHeight="1">
      <c r="A466" t="inlineStr">
        <is>
          <t>A 49028-2025</t>
        </is>
      </c>
      <c r="B466" s="1" t="n">
        <v>45937.62199074074</v>
      </c>
      <c r="C466" s="1" t="n">
        <v>46181</v>
      </c>
      <c r="D466" t="inlineStr">
        <is>
          <t>VÄSTERBOTTENS LÄN</t>
        </is>
      </c>
      <c r="E466" t="inlineStr">
        <is>
          <t>ÅSELE</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34808-2025</t>
        </is>
      </c>
      <c r="B467" s="1" t="n">
        <v>45849.34042824074</v>
      </c>
      <c r="C467" s="1" t="n">
        <v>46181</v>
      </c>
      <c r="D467" t="inlineStr">
        <is>
          <t>VÄSTERBOTTENS LÄN</t>
        </is>
      </c>
      <c r="E467" t="inlineStr">
        <is>
          <t>ÅSELE</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35281-2025</t>
        </is>
      </c>
      <c r="B468" s="1" t="n">
        <v>45854.33944444444</v>
      </c>
      <c r="C468" s="1" t="n">
        <v>46181</v>
      </c>
      <c r="D468" t="inlineStr">
        <is>
          <t>VÄSTERBOTTENS LÄN</t>
        </is>
      </c>
      <c r="E468" t="inlineStr">
        <is>
          <t>ÅSELE</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24958-2025</t>
        </is>
      </c>
      <c r="B469" s="1" t="n">
        <v>45799</v>
      </c>
      <c r="C469" s="1" t="n">
        <v>46181</v>
      </c>
      <c r="D469" t="inlineStr">
        <is>
          <t>VÄSTERBOTTENS LÄN</t>
        </is>
      </c>
      <c r="E469" t="inlineStr">
        <is>
          <t>ÅSELE</t>
        </is>
      </c>
      <c r="G469" t="n">
        <v>2.9</v>
      </c>
      <c r="H469" t="n">
        <v>0</v>
      </c>
      <c r="I469" t="n">
        <v>0</v>
      </c>
      <c r="J469" t="n">
        <v>0</v>
      </c>
      <c r="K469" t="n">
        <v>0</v>
      </c>
      <c r="L469" t="n">
        <v>0</v>
      </c>
      <c r="M469" t="n">
        <v>0</v>
      </c>
      <c r="N469" t="n">
        <v>0</v>
      </c>
      <c r="O469" t="n">
        <v>0</v>
      </c>
      <c r="P469" t="n">
        <v>0</v>
      </c>
      <c r="Q469" t="n">
        <v>0</v>
      </c>
      <c r="R469" s="2" t="inlineStr"/>
    </row>
    <row r="470" ht="15" customHeight="1">
      <c r="A470" t="inlineStr">
        <is>
          <t>A 35554-2025</t>
        </is>
      </c>
      <c r="B470" s="1" t="n">
        <v>45856</v>
      </c>
      <c r="C470" s="1" t="n">
        <v>46181</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35556-2025</t>
        </is>
      </c>
      <c r="B471" s="1" t="n">
        <v>45856.52092592593</v>
      </c>
      <c r="C471" s="1" t="n">
        <v>46181</v>
      </c>
      <c r="D471" t="inlineStr">
        <is>
          <t>VÄSTERBOTTENS LÄN</t>
        </is>
      </c>
      <c r="E471" t="inlineStr">
        <is>
          <t>ÅSELE</t>
        </is>
      </c>
      <c r="F471" t="inlineStr">
        <is>
          <t>Naturvårdsverket</t>
        </is>
      </c>
      <c r="G471" t="n">
        <v>8.9</v>
      </c>
      <c r="H471" t="n">
        <v>0</v>
      </c>
      <c r="I471" t="n">
        <v>0</v>
      </c>
      <c r="J471" t="n">
        <v>0</v>
      </c>
      <c r="K471" t="n">
        <v>0</v>
      </c>
      <c r="L471" t="n">
        <v>0</v>
      </c>
      <c r="M471" t="n">
        <v>0</v>
      </c>
      <c r="N471" t="n">
        <v>0</v>
      </c>
      <c r="O471" t="n">
        <v>0</v>
      </c>
      <c r="P471" t="n">
        <v>0</v>
      </c>
      <c r="Q471" t="n">
        <v>0</v>
      </c>
      <c r="R471" s="2" t="inlineStr"/>
    </row>
    <row r="472" ht="15" customHeight="1">
      <c r="A472" t="inlineStr">
        <is>
          <t>A 35549-2025</t>
        </is>
      </c>
      <c r="B472" s="1" t="n">
        <v>45856.49295138889</v>
      </c>
      <c r="C472" s="1" t="n">
        <v>46181</v>
      </c>
      <c r="D472" t="inlineStr">
        <is>
          <t>VÄSTERBOTTENS LÄN</t>
        </is>
      </c>
      <c r="E472" t="inlineStr">
        <is>
          <t>ÅSELE</t>
        </is>
      </c>
      <c r="F472" t="inlineStr">
        <is>
          <t>Naturvårdsverket</t>
        </is>
      </c>
      <c r="G472" t="n">
        <v>2.4</v>
      </c>
      <c r="H472" t="n">
        <v>0</v>
      </c>
      <c r="I472" t="n">
        <v>0</v>
      </c>
      <c r="J472" t="n">
        <v>0</v>
      </c>
      <c r="K472" t="n">
        <v>0</v>
      </c>
      <c r="L472" t="n">
        <v>0</v>
      </c>
      <c r="M472" t="n">
        <v>0</v>
      </c>
      <c r="N472" t="n">
        <v>0</v>
      </c>
      <c r="O472" t="n">
        <v>0</v>
      </c>
      <c r="P472" t="n">
        <v>0</v>
      </c>
      <c r="Q472" t="n">
        <v>0</v>
      </c>
      <c r="R472" s="2" t="inlineStr"/>
    </row>
    <row r="473" ht="15" customHeight="1">
      <c r="A473" t="inlineStr">
        <is>
          <t>A 14925-2023</t>
        </is>
      </c>
      <c r="B473" s="1" t="n">
        <v>45014</v>
      </c>
      <c r="C473" s="1" t="n">
        <v>46181</v>
      </c>
      <c r="D473" t="inlineStr">
        <is>
          <t>VÄSTERBOTTENS LÄN</t>
        </is>
      </c>
      <c r="E473" t="inlineStr">
        <is>
          <t>ÅSELE</t>
        </is>
      </c>
      <c r="G473" t="n">
        <v>9.4</v>
      </c>
      <c r="H473" t="n">
        <v>0</v>
      </c>
      <c r="I473" t="n">
        <v>0</v>
      </c>
      <c r="J473" t="n">
        <v>0</v>
      </c>
      <c r="K473" t="n">
        <v>0</v>
      </c>
      <c r="L473" t="n">
        <v>0</v>
      </c>
      <c r="M473" t="n">
        <v>0</v>
      </c>
      <c r="N473" t="n">
        <v>0</v>
      </c>
      <c r="O473" t="n">
        <v>0</v>
      </c>
      <c r="P473" t="n">
        <v>0</v>
      </c>
      <c r="Q473" t="n">
        <v>0</v>
      </c>
      <c r="R473" s="2" t="inlineStr"/>
    </row>
    <row r="474" ht="15" customHeight="1">
      <c r="A474" t="inlineStr">
        <is>
          <t>A 48945-2025</t>
        </is>
      </c>
      <c r="B474" s="1" t="n">
        <v>45937.53739583334</v>
      </c>
      <c r="C474" s="1" t="n">
        <v>46181</v>
      </c>
      <c r="D474" t="inlineStr">
        <is>
          <t>VÄSTERBOTTENS LÄN</t>
        </is>
      </c>
      <c r="E474" t="inlineStr">
        <is>
          <t>ÅSELE</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1136-2025</t>
        </is>
      </c>
      <c r="B475" s="1" t="n">
        <v>45666</v>
      </c>
      <c r="C475" s="1" t="n">
        <v>46181</v>
      </c>
      <c r="D475" t="inlineStr">
        <is>
          <t>VÄSTERBOTTENS LÄN</t>
        </is>
      </c>
      <c r="E475" t="inlineStr">
        <is>
          <t>ÅSELE</t>
        </is>
      </c>
      <c r="G475" t="n">
        <v>18.6</v>
      </c>
      <c r="H475" t="n">
        <v>0</v>
      </c>
      <c r="I475" t="n">
        <v>0</v>
      </c>
      <c r="J475" t="n">
        <v>0</v>
      </c>
      <c r="K475" t="n">
        <v>0</v>
      </c>
      <c r="L475" t="n">
        <v>0</v>
      </c>
      <c r="M475" t="n">
        <v>0</v>
      </c>
      <c r="N475" t="n">
        <v>0</v>
      </c>
      <c r="O475" t="n">
        <v>0</v>
      </c>
      <c r="P475" t="n">
        <v>0</v>
      </c>
      <c r="Q475" t="n">
        <v>0</v>
      </c>
      <c r="R475" s="2" t="inlineStr"/>
    </row>
    <row r="476" ht="15" customHeight="1">
      <c r="A476" t="inlineStr">
        <is>
          <t>A 48786-2025</t>
        </is>
      </c>
      <c r="B476" s="1" t="n">
        <v>45937.31471064815</v>
      </c>
      <c r="C476" s="1" t="n">
        <v>46181</v>
      </c>
      <c r="D476" t="inlineStr">
        <is>
          <t>VÄSTERBOTTENS LÄN</t>
        </is>
      </c>
      <c r="E476" t="inlineStr">
        <is>
          <t>ÅSELE</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49753-2025</t>
        </is>
      </c>
      <c r="B477" s="1" t="n">
        <v>45940.34538194445</v>
      </c>
      <c r="C477" s="1" t="n">
        <v>46181</v>
      </c>
      <c r="D477" t="inlineStr">
        <is>
          <t>VÄSTERBOTTENS LÄN</t>
        </is>
      </c>
      <c r="E477" t="inlineStr">
        <is>
          <t>ÅSELE</t>
        </is>
      </c>
      <c r="F477" t="inlineStr">
        <is>
          <t>SCA</t>
        </is>
      </c>
      <c r="G477" t="n">
        <v>22.7</v>
      </c>
      <c r="H477" t="n">
        <v>0</v>
      </c>
      <c r="I477" t="n">
        <v>0</v>
      </c>
      <c r="J477" t="n">
        <v>0</v>
      </c>
      <c r="K477" t="n">
        <v>0</v>
      </c>
      <c r="L477" t="n">
        <v>0</v>
      </c>
      <c r="M477" t="n">
        <v>0</v>
      </c>
      <c r="N477" t="n">
        <v>0</v>
      </c>
      <c r="O477" t="n">
        <v>0</v>
      </c>
      <c r="P477" t="n">
        <v>0</v>
      </c>
      <c r="Q477" t="n">
        <v>0</v>
      </c>
      <c r="R477" s="2" t="inlineStr"/>
    </row>
    <row r="478" ht="15" customHeight="1">
      <c r="A478" t="inlineStr">
        <is>
          <t>A 49482-2025</t>
        </is>
      </c>
      <c r="B478" s="1" t="n">
        <v>45939.35900462963</v>
      </c>
      <c r="C478" s="1" t="n">
        <v>46181</v>
      </c>
      <c r="D478" t="inlineStr">
        <is>
          <t>VÄSTERBOTTENS LÄN</t>
        </is>
      </c>
      <c r="E478" t="inlineStr">
        <is>
          <t>ÅSELE</t>
        </is>
      </c>
      <c r="F478" t="inlineStr">
        <is>
          <t>Sveaskog</t>
        </is>
      </c>
      <c r="G478" t="n">
        <v>2.2</v>
      </c>
      <c r="H478" t="n">
        <v>0</v>
      </c>
      <c r="I478" t="n">
        <v>0</v>
      </c>
      <c r="J478" t="n">
        <v>0</v>
      </c>
      <c r="K478" t="n">
        <v>0</v>
      </c>
      <c r="L478" t="n">
        <v>0</v>
      </c>
      <c r="M478" t="n">
        <v>0</v>
      </c>
      <c r="N478" t="n">
        <v>0</v>
      </c>
      <c r="O478" t="n">
        <v>0</v>
      </c>
      <c r="P478" t="n">
        <v>0</v>
      </c>
      <c r="Q478" t="n">
        <v>0</v>
      </c>
      <c r="R478" s="2" t="inlineStr"/>
    </row>
    <row r="479" ht="15" customHeight="1">
      <c r="A479" t="inlineStr">
        <is>
          <t>A 30618-2023</t>
        </is>
      </c>
      <c r="B479" s="1" t="n">
        <v>45112.41425925926</v>
      </c>
      <c r="C479" s="1" t="n">
        <v>46181</v>
      </c>
      <c r="D479" t="inlineStr">
        <is>
          <t>VÄSTERBOTTENS LÄN</t>
        </is>
      </c>
      <c r="E479" t="inlineStr">
        <is>
          <t>ÅSELE</t>
        </is>
      </c>
      <c r="F479" t="inlineStr">
        <is>
          <t>Sveaskog</t>
        </is>
      </c>
      <c r="G479" t="n">
        <v>18.7</v>
      </c>
      <c r="H479" t="n">
        <v>0</v>
      </c>
      <c r="I479" t="n">
        <v>0</v>
      </c>
      <c r="J479" t="n">
        <v>0</v>
      </c>
      <c r="K479" t="n">
        <v>0</v>
      </c>
      <c r="L479" t="n">
        <v>0</v>
      </c>
      <c r="M479" t="n">
        <v>0</v>
      </c>
      <c r="N479" t="n">
        <v>0</v>
      </c>
      <c r="O479" t="n">
        <v>0</v>
      </c>
      <c r="P479" t="n">
        <v>0</v>
      </c>
      <c r="Q479" t="n">
        <v>0</v>
      </c>
      <c r="R479" s="2" t="inlineStr"/>
    </row>
    <row r="480" ht="15" customHeight="1">
      <c r="A480" t="inlineStr">
        <is>
          <t>A 49464-2025</t>
        </is>
      </c>
      <c r="B480" s="1" t="n">
        <v>45939.32709490741</v>
      </c>
      <c r="C480" s="1" t="n">
        <v>46181</v>
      </c>
      <c r="D480" t="inlineStr">
        <is>
          <t>VÄSTERBOTTENS LÄN</t>
        </is>
      </c>
      <c r="E480" t="inlineStr">
        <is>
          <t>ÅSELE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49465-2025</t>
        </is>
      </c>
      <c r="B481" s="1" t="n">
        <v>45939.33030092593</v>
      </c>
      <c r="C481" s="1" t="n">
        <v>46181</v>
      </c>
      <c r="D481" t="inlineStr">
        <is>
          <t>VÄSTERBOTTENS LÄN</t>
        </is>
      </c>
      <c r="E481" t="inlineStr">
        <is>
          <t>ÅSELE</t>
        </is>
      </c>
      <c r="F481" t="inlineStr">
        <is>
          <t>Holmen skog AB</t>
        </is>
      </c>
      <c r="G481" t="n">
        <v>7</v>
      </c>
      <c r="H481" t="n">
        <v>0</v>
      </c>
      <c r="I481" t="n">
        <v>0</v>
      </c>
      <c r="J481" t="n">
        <v>0</v>
      </c>
      <c r="K481" t="n">
        <v>0</v>
      </c>
      <c r="L481" t="n">
        <v>0</v>
      </c>
      <c r="M481" t="n">
        <v>0</v>
      </c>
      <c r="N481" t="n">
        <v>0</v>
      </c>
      <c r="O481" t="n">
        <v>0</v>
      </c>
      <c r="P481" t="n">
        <v>0</v>
      </c>
      <c r="Q481" t="n">
        <v>0</v>
      </c>
      <c r="R481" s="2" t="inlineStr"/>
    </row>
    <row r="482" ht="15" customHeight="1">
      <c r="A482" t="inlineStr">
        <is>
          <t>A 49506-2025</t>
        </is>
      </c>
      <c r="B482" s="1" t="n">
        <v>45939.37686342592</v>
      </c>
      <c r="C482" s="1" t="n">
        <v>46181</v>
      </c>
      <c r="D482" t="inlineStr">
        <is>
          <t>VÄSTERBOTTENS LÄN</t>
        </is>
      </c>
      <c r="E482" t="inlineStr">
        <is>
          <t>ÅSELE</t>
        </is>
      </c>
      <c r="F482" t="inlineStr">
        <is>
          <t>Sveaskog</t>
        </is>
      </c>
      <c r="G482" t="n">
        <v>22.6</v>
      </c>
      <c r="H482" t="n">
        <v>0</v>
      </c>
      <c r="I482" t="n">
        <v>0</v>
      </c>
      <c r="J482" t="n">
        <v>0</v>
      </c>
      <c r="K482" t="n">
        <v>0</v>
      </c>
      <c r="L482" t="n">
        <v>0</v>
      </c>
      <c r="M482" t="n">
        <v>0</v>
      </c>
      <c r="N482" t="n">
        <v>0</v>
      </c>
      <c r="O482" t="n">
        <v>0</v>
      </c>
      <c r="P482" t="n">
        <v>0</v>
      </c>
      <c r="Q482" t="n">
        <v>0</v>
      </c>
      <c r="R482" s="2" t="inlineStr"/>
    </row>
    <row r="483" ht="15" customHeight="1">
      <c r="A483" t="inlineStr">
        <is>
          <t>A 35983-2025</t>
        </is>
      </c>
      <c r="B483" s="1" t="n">
        <v>45863.44965277778</v>
      </c>
      <c r="C483" s="1" t="n">
        <v>46181</v>
      </c>
      <c r="D483" t="inlineStr">
        <is>
          <t>VÄSTERBOTTENS LÄN</t>
        </is>
      </c>
      <c r="E483" t="inlineStr">
        <is>
          <t>ÅSELE</t>
        </is>
      </c>
      <c r="F483" t="inlineStr">
        <is>
          <t>Holmen skog AB</t>
        </is>
      </c>
      <c r="G483" t="n">
        <v>4.8</v>
      </c>
      <c r="H483" t="n">
        <v>0</v>
      </c>
      <c r="I483" t="n">
        <v>0</v>
      </c>
      <c r="J483" t="n">
        <v>0</v>
      </c>
      <c r="K483" t="n">
        <v>0</v>
      </c>
      <c r="L483" t="n">
        <v>0</v>
      </c>
      <c r="M483" t="n">
        <v>0</v>
      </c>
      <c r="N483" t="n">
        <v>0</v>
      </c>
      <c r="O483" t="n">
        <v>0</v>
      </c>
      <c r="P483" t="n">
        <v>0</v>
      </c>
      <c r="Q483" t="n">
        <v>0</v>
      </c>
      <c r="R483" s="2" t="inlineStr"/>
    </row>
    <row r="484" ht="15" customHeight="1">
      <c r="A484" t="inlineStr">
        <is>
          <t>A 35976-2025</t>
        </is>
      </c>
      <c r="B484" s="1" t="n">
        <v>45863.44001157407</v>
      </c>
      <c r="C484" s="1" t="n">
        <v>46181</v>
      </c>
      <c r="D484" t="inlineStr">
        <is>
          <t>VÄSTERBOTTENS LÄN</t>
        </is>
      </c>
      <c r="E484" t="inlineStr">
        <is>
          <t>ÅSELE</t>
        </is>
      </c>
      <c r="F484" t="inlineStr">
        <is>
          <t>Holmen skog AB</t>
        </is>
      </c>
      <c r="G484" t="n">
        <v>4.1</v>
      </c>
      <c r="H484" t="n">
        <v>0</v>
      </c>
      <c r="I484" t="n">
        <v>0</v>
      </c>
      <c r="J484" t="n">
        <v>0</v>
      </c>
      <c r="K484" t="n">
        <v>0</v>
      </c>
      <c r="L484" t="n">
        <v>0</v>
      </c>
      <c r="M484" t="n">
        <v>0</v>
      </c>
      <c r="N484" t="n">
        <v>0</v>
      </c>
      <c r="O484" t="n">
        <v>0</v>
      </c>
      <c r="P484" t="n">
        <v>0</v>
      </c>
      <c r="Q484" t="n">
        <v>0</v>
      </c>
      <c r="R484" s="2" t="inlineStr"/>
    </row>
    <row r="485" ht="15" customHeight="1">
      <c r="A485" t="inlineStr">
        <is>
          <t>A 49623-2025</t>
        </is>
      </c>
      <c r="B485" s="1" t="n">
        <v>45939.59351851852</v>
      </c>
      <c r="C485" s="1" t="n">
        <v>46181</v>
      </c>
      <c r="D485" t="inlineStr">
        <is>
          <t>VÄSTERBOTTENS LÄN</t>
        </is>
      </c>
      <c r="E485" t="inlineStr">
        <is>
          <t>ÅSELE</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36372-2025</t>
        </is>
      </c>
      <c r="B486" s="1" t="n">
        <v>45867</v>
      </c>
      <c r="C486" s="1" t="n">
        <v>46181</v>
      </c>
      <c r="D486" t="inlineStr">
        <is>
          <t>VÄSTERBOTTENS LÄN</t>
        </is>
      </c>
      <c r="E486" t="inlineStr">
        <is>
          <t>ÅSELE</t>
        </is>
      </c>
      <c r="G486" t="n">
        <v>4.3</v>
      </c>
      <c r="H486" t="n">
        <v>0</v>
      </c>
      <c r="I486" t="n">
        <v>0</v>
      </c>
      <c r="J486" t="n">
        <v>0</v>
      </c>
      <c r="K486" t="n">
        <v>0</v>
      </c>
      <c r="L486" t="n">
        <v>0</v>
      </c>
      <c r="M486" t="n">
        <v>0</v>
      </c>
      <c r="N486" t="n">
        <v>0</v>
      </c>
      <c r="O486" t="n">
        <v>0</v>
      </c>
      <c r="P486" t="n">
        <v>0</v>
      </c>
      <c r="Q486" t="n">
        <v>0</v>
      </c>
      <c r="R486" s="2" t="inlineStr"/>
    </row>
    <row r="487" ht="15" customHeight="1">
      <c r="A487" t="inlineStr">
        <is>
          <t>A 36370-2025</t>
        </is>
      </c>
      <c r="B487" s="1" t="n">
        <v>45867</v>
      </c>
      <c r="C487" s="1" t="n">
        <v>46181</v>
      </c>
      <c r="D487" t="inlineStr">
        <is>
          <t>VÄSTERBOTTENS LÄN</t>
        </is>
      </c>
      <c r="E487" t="inlineStr">
        <is>
          <t>ÅSELE</t>
        </is>
      </c>
      <c r="G487" t="n">
        <v>4.3</v>
      </c>
      <c r="H487" t="n">
        <v>0</v>
      </c>
      <c r="I487" t="n">
        <v>0</v>
      </c>
      <c r="J487" t="n">
        <v>0</v>
      </c>
      <c r="K487" t="n">
        <v>0</v>
      </c>
      <c r="L487" t="n">
        <v>0</v>
      </c>
      <c r="M487" t="n">
        <v>0</v>
      </c>
      <c r="N487" t="n">
        <v>0</v>
      </c>
      <c r="O487" t="n">
        <v>0</v>
      </c>
      <c r="P487" t="n">
        <v>0</v>
      </c>
      <c r="Q487" t="n">
        <v>0</v>
      </c>
      <c r="R487" s="2" t="inlineStr"/>
    </row>
    <row r="488" ht="15" customHeight="1">
      <c r="A488" t="inlineStr">
        <is>
          <t>A 36376-2025</t>
        </is>
      </c>
      <c r="B488" s="1" t="n">
        <v>45868.56623842593</v>
      </c>
      <c r="C488" s="1" t="n">
        <v>46181</v>
      </c>
      <c r="D488" t="inlineStr">
        <is>
          <t>VÄSTERBOTTENS LÄN</t>
        </is>
      </c>
      <c r="E488" t="inlineStr">
        <is>
          <t>ÅSELE</t>
        </is>
      </c>
      <c r="F488" t="inlineStr">
        <is>
          <t>Holmen skog AB</t>
        </is>
      </c>
      <c r="G488" t="n">
        <v>2.5</v>
      </c>
      <c r="H488" t="n">
        <v>0</v>
      </c>
      <c r="I488" t="n">
        <v>0</v>
      </c>
      <c r="J488" t="n">
        <v>0</v>
      </c>
      <c r="K488" t="n">
        <v>0</v>
      </c>
      <c r="L488" t="n">
        <v>0</v>
      </c>
      <c r="M488" t="n">
        <v>0</v>
      </c>
      <c r="N488" t="n">
        <v>0</v>
      </c>
      <c r="O488" t="n">
        <v>0</v>
      </c>
      <c r="P488" t="n">
        <v>0</v>
      </c>
      <c r="Q488" t="n">
        <v>0</v>
      </c>
      <c r="R488" s="2" t="inlineStr"/>
    </row>
    <row r="489" ht="15" customHeight="1">
      <c r="A489" t="inlineStr">
        <is>
          <t>A 36154-2025</t>
        </is>
      </c>
      <c r="B489" s="1" t="n">
        <v>45867.34443287037</v>
      </c>
      <c r="C489" s="1" t="n">
        <v>46181</v>
      </c>
      <c r="D489" t="inlineStr">
        <is>
          <t>VÄSTERBOTTENS LÄN</t>
        </is>
      </c>
      <c r="E489" t="inlineStr">
        <is>
          <t>ÅSELE</t>
        </is>
      </c>
      <c r="F489" t="inlineStr">
        <is>
          <t>SCA</t>
        </is>
      </c>
      <c r="G489" t="n">
        <v>19.9</v>
      </c>
      <c r="H489" t="n">
        <v>0</v>
      </c>
      <c r="I489" t="n">
        <v>0</v>
      </c>
      <c r="J489" t="n">
        <v>0</v>
      </c>
      <c r="K489" t="n">
        <v>0</v>
      </c>
      <c r="L489" t="n">
        <v>0</v>
      </c>
      <c r="M489" t="n">
        <v>0</v>
      </c>
      <c r="N489" t="n">
        <v>0</v>
      </c>
      <c r="O489" t="n">
        <v>0</v>
      </c>
      <c r="P489" t="n">
        <v>0</v>
      </c>
      <c r="Q489" t="n">
        <v>0</v>
      </c>
      <c r="R489" s="2" t="inlineStr"/>
    </row>
    <row r="490" ht="15" customHeight="1">
      <c r="A490" t="inlineStr">
        <is>
          <t>A 36278-2025</t>
        </is>
      </c>
      <c r="B490" s="1" t="n">
        <v>45867</v>
      </c>
      <c r="C490" s="1" t="n">
        <v>46181</v>
      </c>
      <c r="D490" t="inlineStr">
        <is>
          <t>VÄSTERBOTTENS LÄN</t>
        </is>
      </c>
      <c r="E490" t="inlineStr">
        <is>
          <t>ÅSELE</t>
        </is>
      </c>
      <c r="F490" t="inlineStr">
        <is>
          <t>SCA</t>
        </is>
      </c>
      <c r="G490" t="n">
        <v>11.3</v>
      </c>
      <c r="H490" t="n">
        <v>0</v>
      </c>
      <c r="I490" t="n">
        <v>0</v>
      </c>
      <c r="J490" t="n">
        <v>0</v>
      </c>
      <c r="K490" t="n">
        <v>0</v>
      </c>
      <c r="L490" t="n">
        <v>0</v>
      </c>
      <c r="M490" t="n">
        <v>0</v>
      </c>
      <c r="N490" t="n">
        <v>0</v>
      </c>
      <c r="O490" t="n">
        <v>0</v>
      </c>
      <c r="P490" t="n">
        <v>0</v>
      </c>
      <c r="Q490" t="n">
        <v>0</v>
      </c>
      <c r="R490" s="2" t="inlineStr"/>
    </row>
    <row r="491" ht="15" customHeight="1">
      <c r="A491" t="inlineStr">
        <is>
          <t>A 50261-2025</t>
        </is>
      </c>
      <c r="B491" s="1" t="n">
        <v>45944.3453125</v>
      </c>
      <c r="C491" s="1" t="n">
        <v>46181</v>
      </c>
      <c r="D491" t="inlineStr">
        <is>
          <t>VÄSTERBOTTENS LÄN</t>
        </is>
      </c>
      <c r="E491" t="inlineStr">
        <is>
          <t>ÅSELE</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36198-2025</t>
        </is>
      </c>
      <c r="B492" s="1" t="n">
        <v>45867.43743055555</v>
      </c>
      <c r="C492" s="1" t="n">
        <v>46181</v>
      </c>
      <c r="D492" t="inlineStr">
        <is>
          <t>VÄSTERBOTTENS LÄN</t>
        </is>
      </c>
      <c r="E492" t="inlineStr">
        <is>
          <t>ÅSELE</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36413-2025</t>
        </is>
      </c>
      <c r="B493" s="1" t="n">
        <v>45868.69234953704</v>
      </c>
      <c r="C493" s="1" t="n">
        <v>46181</v>
      </c>
      <c r="D493" t="inlineStr">
        <is>
          <t>VÄSTERBOTTENS LÄN</t>
        </is>
      </c>
      <c r="E493" t="inlineStr">
        <is>
          <t>ÅSELE</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46181</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50301-2025</t>
        </is>
      </c>
      <c r="B495" s="1" t="n">
        <v>45944.41266203704</v>
      </c>
      <c r="C495" s="1" t="n">
        <v>46181</v>
      </c>
      <c r="D495" t="inlineStr">
        <is>
          <t>VÄSTERBOTTENS LÄN</t>
        </is>
      </c>
      <c r="E495" t="inlineStr">
        <is>
          <t>ÅSELE</t>
        </is>
      </c>
      <c r="F495" t="inlineStr">
        <is>
          <t>Sveaskog</t>
        </is>
      </c>
      <c r="G495" t="n">
        <v>21.8</v>
      </c>
      <c r="H495" t="n">
        <v>0</v>
      </c>
      <c r="I495" t="n">
        <v>0</v>
      </c>
      <c r="J495" t="n">
        <v>0</v>
      </c>
      <c r="K495" t="n">
        <v>0</v>
      </c>
      <c r="L495" t="n">
        <v>0</v>
      </c>
      <c r="M495" t="n">
        <v>0</v>
      </c>
      <c r="N495" t="n">
        <v>0</v>
      </c>
      <c r="O495" t="n">
        <v>0</v>
      </c>
      <c r="P495" t="n">
        <v>0</v>
      </c>
      <c r="Q495" t="n">
        <v>0</v>
      </c>
      <c r="R495" s="2" t="inlineStr"/>
    </row>
    <row r="496" ht="15" customHeight="1">
      <c r="A496" t="inlineStr">
        <is>
          <t>A 36315-2025</t>
        </is>
      </c>
      <c r="B496" s="1" t="n">
        <v>45868</v>
      </c>
      <c r="C496" s="1" t="n">
        <v>46181</v>
      </c>
      <c r="D496" t="inlineStr">
        <is>
          <t>VÄSTERBOTTENS LÄN</t>
        </is>
      </c>
      <c r="E496" t="inlineStr">
        <is>
          <t>ÅSELE</t>
        </is>
      </c>
      <c r="G496" t="n">
        <v>1.6</v>
      </c>
      <c r="H496" t="n">
        <v>0</v>
      </c>
      <c r="I496" t="n">
        <v>0</v>
      </c>
      <c r="J496" t="n">
        <v>0</v>
      </c>
      <c r="K496" t="n">
        <v>0</v>
      </c>
      <c r="L496" t="n">
        <v>0</v>
      </c>
      <c r="M496" t="n">
        <v>0</v>
      </c>
      <c r="N496" t="n">
        <v>0</v>
      </c>
      <c r="O496" t="n">
        <v>0</v>
      </c>
      <c r="P496" t="n">
        <v>0</v>
      </c>
      <c r="Q496" t="n">
        <v>0</v>
      </c>
      <c r="R496" s="2" t="inlineStr"/>
    </row>
    <row r="497" ht="15" customHeight="1">
      <c r="A497" t="inlineStr">
        <is>
          <t>A 36174-2025</t>
        </is>
      </c>
      <c r="B497" s="1" t="n">
        <v>45867.39787037037</v>
      </c>
      <c r="C497" s="1" t="n">
        <v>46181</v>
      </c>
      <c r="D497" t="inlineStr">
        <is>
          <t>VÄSTERBOTTENS LÄN</t>
        </is>
      </c>
      <c r="E497" t="inlineStr">
        <is>
          <t>ÅSELE</t>
        </is>
      </c>
      <c r="F497" t="inlineStr">
        <is>
          <t>Holmen skog AB</t>
        </is>
      </c>
      <c r="G497" t="n">
        <v>4.5</v>
      </c>
      <c r="H497" t="n">
        <v>0</v>
      </c>
      <c r="I497" t="n">
        <v>0</v>
      </c>
      <c r="J497" t="n">
        <v>0</v>
      </c>
      <c r="K497" t="n">
        <v>0</v>
      </c>
      <c r="L497" t="n">
        <v>0</v>
      </c>
      <c r="M497" t="n">
        <v>0</v>
      </c>
      <c r="N497" t="n">
        <v>0</v>
      </c>
      <c r="O497" t="n">
        <v>0</v>
      </c>
      <c r="P497" t="n">
        <v>0</v>
      </c>
      <c r="Q497" t="n">
        <v>0</v>
      </c>
      <c r="R497" s="2" t="inlineStr"/>
    </row>
    <row r="498" ht="15" customHeight="1">
      <c r="A498" t="inlineStr">
        <is>
          <t>A 36301-2025</t>
        </is>
      </c>
      <c r="B498" s="1" t="n">
        <v>45867.70578703703</v>
      </c>
      <c r="C498" s="1" t="n">
        <v>46181</v>
      </c>
      <c r="D498" t="inlineStr">
        <is>
          <t>VÄSTERBOTTENS LÄN</t>
        </is>
      </c>
      <c r="E498" t="inlineStr">
        <is>
          <t>ÅSELE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50364-2025</t>
        </is>
      </c>
      <c r="B499" s="1" t="n">
        <v>45944.56780092593</v>
      </c>
      <c r="C499" s="1" t="n">
        <v>46181</v>
      </c>
      <c r="D499" t="inlineStr">
        <is>
          <t>VÄSTERBOTTENS LÄN</t>
        </is>
      </c>
      <c r="E499" t="inlineStr">
        <is>
          <t>ÅSELE</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36393-2025</t>
        </is>
      </c>
      <c r="B500" s="1" t="n">
        <v>45868.61376157407</v>
      </c>
      <c r="C500" s="1" t="n">
        <v>46181</v>
      </c>
      <c r="D500" t="inlineStr">
        <is>
          <t>VÄSTERBOTTENS LÄN</t>
        </is>
      </c>
      <c r="E500" t="inlineStr">
        <is>
          <t>ÅSELE</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36400-2025</t>
        </is>
      </c>
      <c r="B501" s="1" t="n">
        <v>45868</v>
      </c>
      <c r="C501" s="1" t="n">
        <v>46181</v>
      </c>
      <c r="D501" t="inlineStr">
        <is>
          <t>VÄSTERBOTTENS LÄN</t>
        </is>
      </c>
      <c r="E501" t="inlineStr">
        <is>
          <t>ÅSELE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36296-2025</t>
        </is>
      </c>
      <c r="B502" s="1" t="n">
        <v>45867.68413194444</v>
      </c>
      <c r="C502" s="1" t="n">
        <v>46181</v>
      </c>
      <c r="D502" t="inlineStr">
        <is>
          <t>VÄSTERBOTTENS LÄN</t>
        </is>
      </c>
      <c r="E502" t="inlineStr">
        <is>
          <t>ÅSELE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36275-2025</t>
        </is>
      </c>
      <c r="B503" s="1" t="n">
        <v>45867.63604166666</v>
      </c>
      <c r="C503" s="1" t="n">
        <v>46181</v>
      </c>
      <c r="D503" t="inlineStr">
        <is>
          <t>VÄSTERBOTTENS LÄN</t>
        </is>
      </c>
      <c r="E503" t="inlineStr">
        <is>
          <t>ÅSELE</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36609-2025</t>
        </is>
      </c>
      <c r="B504" s="1" t="n">
        <v>45870.57207175926</v>
      </c>
      <c r="C504" s="1" t="n">
        <v>46181</v>
      </c>
      <c r="D504" t="inlineStr">
        <is>
          <t>VÄSTERBOTTENS LÄN</t>
        </is>
      </c>
      <c r="E504" t="inlineStr">
        <is>
          <t>ÅSELE</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50368-2025</t>
        </is>
      </c>
      <c r="B505" s="1" t="n">
        <v>45944.57844907408</v>
      </c>
      <c r="C505" s="1" t="n">
        <v>46181</v>
      </c>
      <c r="D505" t="inlineStr">
        <is>
          <t>VÄSTERBOTTENS LÄN</t>
        </is>
      </c>
      <c r="E505" t="inlineStr">
        <is>
          <t>ÅSELE</t>
        </is>
      </c>
      <c r="G505" t="n">
        <v>3.2</v>
      </c>
      <c r="H505" t="n">
        <v>0</v>
      </c>
      <c r="I505" t="n">
        <v>0</v>
      </c>
      <c r="J505" t="n">
        <v>0</v>
      </c>
      <c r="K505" t="n">
        <v>0</v>
      </c>
      <c r="L505" t="n">
        <v>0</v>
      </c>
      <c r="M505" t="n">
        <v>0</v>
      </c>
      <c r="N505" t="n">
        <v>0</v>
      </c>
      <c r="O505" t="n">
        <v>0</v>
      </c>
      <c r="P505" t="n">
        <v>0</v>
      </c>
      <c r="Q505" t="n">
        <v>0</v>
      </c>
      <c r="R505" s="2" t="inlineStr"/>
    </row>
    <row r="506" ht="15" customHeight="1">
      <c r="A506" t="inlineStr">
        <is>
          <t>A 36467-2025</t>
        </is>
      </c>
      <c r="B506" s="1" t="n">
        <v>45869.47054398148</v>
      </c>
      <c r="C506" s="1" t="n">
        <v>46181</v>
      </c>
      <c r="D506" t="inlineStr">
        <is>
          <t>VÄSTERBOTTENS LÄN</t>
        </is>
      </c>
      <c r="E506" t="inlineStr">
        <is>
          <t>ÅSELE</t>
        </is>
      </c>
      <c r="F506" t="inlineStr">
        <is>
          <t>Holmen skog AB</t>
        </is>
      </c>
      <c r="G506" t="n">
        <v>4.9</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46181</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36634-2025</t>
        </is>
      </c>
      <c r="B508" s="1" t="n">
        <v>45870.69335648148</v>
      </c>
      <c r="C508" s="1" t="n">
        <v>46181</v>
      </c>
      <c r="D508" t="inlineStr">
        <is>
          <t>VÄSTERBOTTENS LÄN</t>
        </is>
      </c>
      <c r="E508" t="inlineStr">
        <is>
          <t>ÅSELE</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36576-2025</t>
        </is>
      </c>
      <c r="B509" s="1" t="n">
        <v>45870.41331018518</v>
      </c>
      <c r="C509" s="1" t="n">
        <v>46181</v>
      </c>
      <c r="D509" t="inlineStr">
        <is>
          <t>VÄSTERBOTTENS LÄN</t>
        </is>
      </c>
      <c r="E509" t="inlineStr">
        <is>
          <t>ÅSELE</t>
        </is>
      </c>
      <c r="F509" t="inlineStr">
        <is>
          <t>Holmen skog AB</t>
        </is>
      </c>
      <c r="G509" t="n">
        <v>7.7</v>
      </c>
      <c r="H509" t="n">
        <v>0</v>
      </c>
      <c r="I509" t="n">
        <v>0</v>
      </c>
      <c r="J509" t="n">
        <v>0</v>
      </c>
      <c r="K509" t="n">
        <v>0</v>
      </c>
      <c r="L509" t="n">
        <v>0</v>
      </c>
      <c r="M509" t="n">
        <v>0</v>
      </c>
      <c r="N509" t="n">
        <v>0</v>
      </c>
      <c r="O509" t="n">
        <v>0</v>
      </c>
      <c r="P509" t="n">
        <v>0</v>
      </c>
      <c r="Q509" t="n">
        <v>0</v>
      </c>
      <c r="R509" s="2" t="inlineStr"/>
    </row>
    <row r="510" ht="15" customHeight="1">
      <c r="A510" t="inlineStr">
        <is>
          <t>A 50239-2025</t>
        </is>
      </c>
      <c r="B510" s="1" t="n">
        <v>45943.79672453704</v>
      </c>
      <c r="C510" s="1" t="n">
        <v>46181</v>
      </c>
      <c r="D510" t="inlineStr">
        <is>
          <t>VÄSTERBOTTENS LÄN</t>
        </is>
      </c>
      <c r="E510" t="inlineStr">
        <is>
          <t>ÅSELE</t>
        </is>
      </c>
      <c r="F510" t="inlineStr">
        <is>
          <t>Holmen skog AB</t>
        </is>
      </c>
      <c r="G510" t="n">
        <v>8.5</v>
      </c>
      <c r="H510" t="n">
        <v>0</v>
      </c>
      <c r="I510" t="n">
        <v>0</v>
      </c>
      <c r="J510" t="n">
        <v>0</v>
      </c>
      <c r="K510" t="n">
        <v>0</v>
      </c>
      <c r="L510" t="n">
        <v>0</v>
      </c>
      <c r="M510" t="n">
        <v>0</v>
      </c>
      <c r="N510" t="n">
        <v>0</v>
      </c>
      <c r="O510" t="n">
        <v>0</v>
      </c>
      <c r="P510" t="n">
        <v>0</v>
      </c>
      <c r="Q510" t="n">
        <v>0</v>
      </c>
      <c r="R510" s="2" t="inlineStr"/>
    </row>
    <row r="511" ht="15" customHeight="1">
      <c r="A511" t="inlineStr">
        <is>
          <t>A 50319-2025</t>
        </is>
      </c>
      <c r="B511" s="1" t="n">
        <v>45944.45122685185</v>
      </c>
      <c r="C511" s="1" t="n">
        <v>46181</v>
      </c>
      <c r="D511" t="inlineStr">
        <is>
          <t>VÄSTERBOTTENS LÄN</t>
        </is>
      </c>
      <c r="E511" t="inlineStr">
        <is>
          <t>ÅSELE</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50323-2025</t>
        </is>
      </c>
      <c r="B512" s="1" t="n">
        <v>45944.45759259259</v>
      </c>
      <c r="C512" s="1" t="n">
        <v>46181</v>
      </c>
      <c r="D512" t="inlineStr">
        <is>
          <t>VÄSTERBOTTENS LÄN</t>
        </is>
      </c>
      <c r="E512" t="inlineStr">
        <is>
          <t>ÅSELE</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50354-2025</t>
        </is>
      </c>
      <c r="B513" s="1" t="n">
        <v>45944.55519675926</v>
      </c>
      <c r="C513" s="1" t="n">
        <v>46181</v>
      </c>
      <c r="D513" t="inlineStr">
        <is>
          <t>VÄSTERBOTTENS LÄN</t>
        </is>
      </c>
      <c r="E513" t="inlineStr">
        <is>
          <t>ÅSELE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50374-2025</t>
        </is>
      </c>
      <c r="B514" s="1" t="n">
        <v>45944.59637731482</v>
      </c>
      <c r="C514" s="1" t="n">
        <v>46181</v>
      </c>
      <c r="D514" t="inlineStr">
        <is>
          <t>VÄSTERBOTTENS LÄN</t>
        </is>
      </c>
      <c r="E514" t="inlineStr">
        <is>
          <t>ÅSELE</t>
        </is>
      </c>
      <c r="F514" t="inlineStr">
        <is>
          <t>Holmen skog AB</t>
        </is>
      </c>
      <c r="G514" t="n">
        <v>6.9</v>
      </c>
      <c r="H514" t="n">
        <v>0</v>
      </c>
      <c r="I514" t="n">
        <v>0</v>
      </c>
      <c r="J514" t="n">
        <v>0</v>
      </c>
      <c r="K514" t="n">
        <v>0</v>
      </c>
      <c r="L514" t="n">
        <v>0</v>
      </c>
      <c r="M514" t="n">
        <v>0</v>
      </c>
      <c r="N514" t="n">
        <v>0</v>
      </c>
      <c r="O514" t="n">
        <v>0</v>
      </c>
      <c r="P514" t="n">
        <v>0</v>
      </c>
      <c r="Q514" t="n">
        <v>0</v>
      </c>
      <c r="R514" s="2" t="inlineStr"/>
    </row>
    <row r="515" ht="15" customHeight="1">
      <c r="A515" t="inlineStr">
        <is>
          <t>A 36952-2025</t>
        </is>
      </c>
      <c r="B515" s="1" t="n">
        <v>45874.6078587963</v>
      </c>
      <c r="C515" s="1" t="n">
        <v>46181</v>
      </c>
      <c r="D515" t="inlineStr">
        <is>
          <t>VÄSTERBOTTENS LÄN</t>
        </is>
      </c>
      <c r="E515" t="inlineStr">
        <is>
          <t>ÅSELE</t>
        </is>
      </c>
      <c r="G515" t="n">
        <v>10.6</v>
      </c>
      <c r="H515" t="n">
        <v>0</v>
      </c>
      <c r="I515" t="n">
        <v>0</v>
      </c>
      <c r="J515" t="n">
        <v>0</v>
      </c>
      <c r="K515" t="n">
        <v>0</v>
      </c>
      <c r="L515" t="n">
        <v>0</v>
      </c>
      <c r="M515" t="n">
        <v>0</v>
      </c>
      <c r="N515" t="n">
        <v>0</v>
      </c>
      <c r="O515" t="n">
        <v>0</v>
      </c>
      <c r="P515" t="n">
        <v>0</v>
      </c>
      <c r="Q515" t="n">
        <v>0</v>
      </c>
      <c r="R515" s="2" t="inlineStr"/>
    </row>
    <row r="516" ht="15" customHeight="1">
      <c r="A516" t="inlineStr">
        <is>
          <t>A 50234-2025</t>
        </is>
      </c>
      <c r="B516" s="1" t="n">
        <v>45943.71912037037</v>
      </c>
      <c r="C516" s="1" t="n">
        <v>46181</v>
      </c>
      <c r="D516" t="inlineStr">
        <is>
          <t>VÄSTERBOTTENS LÄN</t>
        </is>
      </c>
      <c r="E516" t="inlineStr">
        <is>
          <t>ÅSELE</t>
        </is>
      </c>
      <c r="G516" t="n">
        <v>1.4</v>
      </c>
      <c r="H516" t="n">
        <v>0</v>
      </c>
      <c r="I516" t="n">
        <v>0</v>
      </c>
      <c r="J516" t="n">
        <v>0</v>
      </c>
      <c r="K516" t="n">
        <v>0</v>
      </c>
      <c r="L516" t="n">
        <v>0</v>
      </c>
      <c r="M516" t="n">
        <v>0</v>
      </c>
      <c r="N516" t="n">
        <v>0</v>
      </c>
      <c r="O516" t="n">
        <v>0</v>
      </c>
      <c r="P516" t="n">
        <v>0</v>
      </c>
      <c r="Q516" t="n">
        <v>0</v>
      </c>
      <c r="R516" s="2" t="inlineStr"/>
    </row>
    <row r="517" ht="15" customHeight="1">
      <c r="A517" t="inlineStr">
        <is>
          <t>A 50298-2025</t>
        </is>
      </c>
      <c r="B517" s="1" t="n">
        <v>45944.41163194444</v>
      </c>
      <c r="C517" s="1" t="n">
        <v>46181</v>
      </c>
      <c r="D517" t="inlineStr">
        <is>
          <t>VÄSTERBOTTENS LÄN</t>
        </is>
      </c>
      <c r="E517" t="inlineStr">
        <is>
          <t>ÅSELE</t>
        </is>
      </c>
      <c r="F517" t="inlineStr">
        <is>
          <t>Sveaskog</t>
        </is>
      </c>
      <c r="G517" t="n">
        <v>21.6</v>
      </c>
      <c r="H517" t="n">
        <v>0</v>
      </c>
      <c r="I517" t="n">
        <v>0</v>
      </c>
      <c r="J517" t="n">
        <v>0</v>
      </c>
      <c r="K517" t="n">
        <v>0</v>
      </c>
      <c r="L517" t="n">
        <v>0</v>
      </c>
      <c r="M517" t="n">
        <v>0</v>
      </c>
      <c r="N517" t="n">
        <v>0</v>
      </c>
      <c r="O517" t="n">
        <v>0</v>
      </c>
      <c r="P517" t="n">
        <v>0</v>
      </c>
      <c r="Q517" t="n">
        <v>0</v>
      </c>
      <c r="R517" s="2" t="inlineStr"/>
    </row>
    <row r="518" ht="15" customHeight="1">
      <c r="A518" t="inlineStr">
        <is>
          <t>A 50357-2025</t>
        </is>
      </c>
      <c r="B518" s="1" t="n">
        <v>45944.55862268519</v>
      </c>
      <c r="C518" s="1" t="n">
        <v>46181</v>
      </c>
      <c r="D518" t="inlineStr">
        <is>
          <t>VÄSTERBOTTENS LÄN</t>
        </is>
      </c>
      <c r="E518" t="inlineStr">
        <is>
          <t>ÅSELE</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42601-2024</t>
        </is>
      </c>
      <c r="B519" s="1" t="n">
        <v>45565</v>
      </c>
      <c r="C519" s="1" t="n">
        <v>46181</v>
      </c>
      <c r="D519" t="inlineStr">
        <is>
          <t>VÄSTERBOTTENS LÄN</t>
        </is>
      </c>
      <c r="E519" t="inlineStr">
        <is>
          <t>ÅSELE</t>
        </is>
      </c>
      <c r="F519" t="inlineStr">
        <is>
          <t>Holmen skog AB</t>
        </is>
      </c>
      <c r="G519" t="n">
        <v>8.6</v>
      </c>
      <c r="H519" t="n">
        <v>0</v>
      </c>
      <c r="I519" t="n">
        <v>0</v>
      </c>
      <c r="J519" t="n">
        <v>0</v>
      </c>
      <c r="K519" t="n">
        <v>0</v>
      </c>
      <c r="L519" t="n">
        <v>0</v>
      </c>
      <c r="M519" t="n">
        <v>0</v>
      </c>
      <c r="N519" t="n">
        <v>0</v>
      </c>
      <c r="O519" t="n">
        <v>0</v>
      </c>
      <c r="P519" t="n">
        <v>0</v>
      </c>
      <c r="Q519" t="n">
        <v>0</v>
      </c>
      <c r="R519" s="2" t="inlineStr"/>
    </row>
    <row r="520" ht="15" customHeight="1">
      <c r="A520" t="inlineStr">
        <is>
          <t>A 32059-2024</t>
        </is>
      </c>
      <c r="B520" s="1" t="n">
        <v>45510.97013888889</v>
      </c>
      <c r="C520" s="1" t="n">
        <v>46181</v>
      </c>
      <c r="D520" t="inlineStr">
        <is>
          <t>VÄSTERBOTTENS LÄN</t>
        </is>
      </c>
      <c r="E520" t="inlineStr">
        <is>
          <t>ÅSELE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50288-2025</t>
        </is>
      </c>
      <c r="B521" s="1" t="n">
        <v>45944.39729166667</v>
      </c>
      <c r="C521" s="1" t="n">
        <v>46181</v>
      </c>
      <c r="D521" t="inlineStr">
        <is>
          <t>VÄSTERBOTTENS LÄN</t>
        </is>
      </c>
      <c r="E521" t="inlineStr">
        <is>
          <t>ÅSELE</t>
        </is>
      </c>
      <c r="F521" t="inlineStr">
        <is>
          <t>Sveaskog</t>
        </is>
      </c>
      <c r="G521" t="n">
        <v>25.2</v>
      </c>
      <c r="H521" t="n">
        <v>0</v>
      </c>
      <c r="I521" t="n">
        <v>0</v>
      </c>
      <c r="J521" t="n">
        <v>0</v>
      </c>
      <c r="K521" t="n">
        <v>0</v>
      </c>
      <c r="L521" t="n">
        <v>0</v>
      </c>
      <c r="M521" t="n">
        <v>0</v>
      </c>
      <c r="N521" t="n">
        <v>0</v>
      </c>
      <c r="O521" t="n">
        <v>0</v>
      </c>
      <c r="P521" t="n">
        <v>0</v>
      </c>
      <c r="Q521" t="n">
        <v>0</v>
      </c>
      <c r="R521" s="2" t="inlineStr"/>
    </row>
    <row r="522" ht="15" customHeight="1">
      <c r="A522" t="inlineStr">
        <is>
          <t>A 50322-2025</t>
        </is>
      </c>
      <c r="B522" s="1" t="n">
        <v>45944.45733796297</v>
      </c>
      <c r="C522" s="1" t="n">
        <v>46181</v>
      </c>
      <c r="D522" t="inlineStr">
        <is>
          <t>VÄSTERBOTTENS LÄN</t>
        </is>
      </c>
      <c r="E522" t="inlineStr">
        <is>
          <t>ÅSELE</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50864-2025</t>
        </is>
      </c>
      <c r="B523" s="1" t="n">
        <v>45946.59537037037</v>
      </c>
      <c r="C523" s="1" t="n">
        <v>46181</v>
      </c>
      <c r="D523" t="inlineStr">
        <is>
          <t>VÄSTERBOTTENS LÄN</t>
        </is>
      </c>
      <c r="E523" t="inlineStr">
        <is>
          <t>ÅSELE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17858-2023</t>
        </is>
      </c>
      <c r="B524" s="1" t="n">
        <v>45037.94150462963</v>
      </c>
      <c r="C524" s="1" t="n">
        <v>46181</v>
      </c>
      <c r="D524" t="inlineStr">
        <is>
          <t>VÄSTERBOTTENS LÄN</t>
        </is>
      </c>
      <c r="E524" t="inlineStr">
        <is>
          <t>ÅSELE</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23996-2022</t>
        </is>
      </c>
      <c r="B525" s="1" t="n">
        <v>44722</v>
      </c>
      <c r="C525" s="1" t="n">
        <v>46181</v>
      </c>
      <c r="D525" t="inlineStr">
        <is>
          <t>VÄSTERBOTTENS LÄN</t>
        </is>
      </c>
      <c r="E525" t="inlineStr">
        <is>
          <t>ÅSELE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46181</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36955-2025</t>
        </is>
      </c>
      <c r="B527" s="1" t="n">
        <v>45874.61203703703</v>
      </c>
      <c r="C527" s="1" t="n">
        <v>46181</v>
      </c>
      <c r="D527" t="inlineStr">
        <is>
          <t>VÄSTERBOTTENS LÄN</t>
        </is>
      </c>
      <c r="E527" t="inlineStr">
        <is>
          <t>ÅSELE</t>
        </is>
      </c>
      <c r="G527" t="n">
        <v>0.9</v>
      </c>
      <c r="H527" t="n">
        <v>0</v>
      </c>
      <c r="I527" t="n">
        <v>0</v>
      </c>
      <c r="J527" t="n">
        <v>0</v>
      </c>
      <c r="K527" t="n">
        <v>0</v>
      </c>
      <c r="L527" t="n">
        <v>0</v>
      </c>
      <c r="M527" t="n">
        <v>0</v>
      </c>
      <c r="N527" t="n">
        <v>0</v>
      </c>
      <c r="O527" t="n">
        <v>0</v>
      </c>
      <c r="P527" t="n">
        <v>0</v>
      </c>
      <c r="Q527" t="n">
        <v>0</v>
      </c>
      <c r="R527" s="2" t="inlineStr"/>
    </row>
    <row r="528" ht="15" customHeight="1">
      <c r="A528" t="inlineStr">
        <is>
          <t>A 50438-2025</t>
        </is>
      </c>
      <c r="B528" s="1" t="n">
        <v>45944.75725694445</v>
      </c>
      <c r="C528" s="1" t="n">
        <v>46181</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36837-2025</t>
        </is>
      </c>
      <c r="B529" s="1" t="n">
        <v>45874.36677083333</v>
      </c>
      <c r="C529" s="1" t="n">
        <v>46181</v>
      </c>
      <c r="D529" t="inlineStr">
        <is>
          <t>VÄSTERBOTTENS LÄN</t>
        </is>
      </c>
      <c r="E529" t="inlineStr">
        <is>
          <t>ÅSELE</t>
        </is>
      </c>
      <c r="G529" t="n">
        <v>8.4</v>
      </c>
      <c r="H529" t="n">
        <v>0</v>
      </c>
      <c r="I529" t="n">
        <v>0</v>
      </c>
      <c r="J529" t="n">
        <v>0</v>
      </c>
      <c r="K529" t="n">
        <v>0</v>
      </c>
      <c r="L529" t="n">
        <v>0</v>
      </c>
      <c r="M529" t="n">
        <v>0</v>
      </c>
      <c r="N529" t="n">
        <v>0</v>
      </c>
      <c r="O529" t="n">
        <v>0</v>
      </c>
      <c r="P529" t="n">
        <v>0</v>
      </c>
      <c r="Q529" t="n">
        <v>0</v>
      </c>
      <c r="R529" s="2" t="inlineStr"/>
    </row>
    <row r="530" ht="15" customHeight="1">
      <c r="A530" t="inlineStr">
        <is>
          <t>A 23803-2025</t>
        </is>
      </c>
      <c r="B530" s="1" t="n">
        <v>45793.55854166667</v>
      </c>
      <c r="C530" s="1" t="n">
        <v>46181</v>
      </c>
      <c r="D530" t="inlineStr">
        <is>
          <t>VÄSTERBOTTENS LÄN</t>
        </is>
      </c>
      <c r="E530" t="inlineStr">
        <is>
          <t>ÅSELE</t>
        </is>
      </c>
      <c r="G530" t="n">
        <v>4.1</v>
      </c>
      <c r="H530" t="n">
        <v>0</v>
      </c>
      <c r="I530" t="n">
        <v>0</v>
      </c>
      <c r="J530" t="n">
        <v>0</v>
      </c>
      <c r="K530" t="n">
        <v>0</v>
      </c>
      <c r="L530" t="n">
        <v>0</v>
      </c>
      <c r="M530" t="n">
        <v>0</v>
      </c>
      <c r="N530" t="n">
        <v>0</v>
      </c>
      <c r="O530" t="n">
        <v>0</v>
      </c>
      <c r="P530" t="n">
        <v>0</v>
      </c>
      <c r="Q530" t="n">
        <v>0</v>
      </c>
      <c r="R530" s="2" t="inlineStr"/>
    </row>
    <row r="531" ht="15" customHeight="1">
      <c r="A531" t="inlineStr">
        <is>
          <t>A 51518-2025</t>
        </is>
      </c>
      <c r="B531" s="1" t="n">
        <v>45950.65675925926</v>
      </c>
      <c r="C531" s="1" t="n">
        <v>46181</v>
      </c>
      <c r="D531" t="inlineStr">
        <is>
          <t>VÄSTERBOTTENS LÄN</t>
        </is>
      </c>
      <c r="E531" t="inlineStr">
        <is>
          <t>ÅSELE</t>
        </is>
      </c>
      <c r="F531" t="inlineStr">
        <is>
          <t>SCA</t>
        </is>
      </c>
      <c r="G531" t="n">
        <v>5.4</v>
      </c>
      <c r="H531" t="n">
        <v>0</v>
      </c>
      <c r="I531" t="n">
        <v>0</v>
      </c>
      <c r="J531" t="n">
        <v>0</v>
      </c>
      <c r="K531" t="n">
        <v>0</v>
      </c>
      <c r="L531" t="n">
        <v>0</v>
      </c>
      <c r="M531" t="n">
        <v>0</v>
      </c>
      <c r="N531" t="n">
        <v>0</v>
      </c>
      <c r="O531" t="n">
        <v>0</v>
      </c>
      <c r="P531" t="n">
        <v>0</v>
      </c>
      <c r="Q531" t="n">
        <v>0</v>
      </c>
      <c r="R531" s="2" t="inlineStr"/>
    </row>
    <row r="532" ht="15" customHeight="1">
      <c r="A532" t="inlineStr">
        <is>
          <t>A 51305-2025</t>
        </is>
      </c>
      <c r="B532" s="1" t="n">
        <v>45950.36554398148</v>
      </c>
      <c r="C532" s="1" t="n">
        <v>46181</v>
      </c>
      <c r="D532" t="inlineStr">
        <is>
          <t>VÄSTERBOTTENS LÄN</t>
        </is>
      </c>
      <c r="E532" t="inlineStr">
        <is>
          <t>ÅSELE</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31184-2023</t>
        </is>
      </c>
      <c r="B533" s="1" t="n">
        <v>45113</v>
      </c>
      <c r="C533" s="1" t="n">
        <v>46181</v>
      </c>
      <c r="D533" t="inlineStr">
        <is>
          <t>VÄSTERBOTTENS LÄN</t>
        </is>
      </c>
      <c r="E533" t="inlineStr">
        <is>
          <t>ÅSELE</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917-2025</t>
        </is>
      </c>
      <c r="B534" s="1" t="n">
        <v>45665.77418981482</v>
      </c>
      <c r="C534" s="1" t="n">
        <v>46181</v>
      </c>
      <c r="D534" t="inlineStr">
        <is>
          <t>VÄSTERBOTTENS LÄN</t>
        </is>
      </c>
      <c r="E534" t="inlineStr">
        <is>
          <t>ÅSELE</t>
        </is>
      </c>
      <c r="G534" t="n">
        <v>1.8</v>
      </c>
      <c r="H534" t="n">
        <v>0</v>
      </c>
      <c r="I534" t="n">
        <v>0</v>
      </c>
      <c r="J534" t="n">
        <v>0</v>
      </c>
      <c r="K534" t="n">
        <v>0</v>
      </c>
      <c r="L534" t="n">
        <v>0</v>
      </c>
      <c r="M534" t="n">
        <v>0</v>
      </c>
      <c r="N534" t="n">
        <v>0</v>
      </c>
      <c r="O534" t="n">
        <v>0</v>
      </c>
      <c r="P534" t="n">
        <v>0</v>
      </c>
      <c r="Q534" t="n">
        <v>0</v>
      </c>
      <c r="R534" s="2" t="inlineStr"/>
    </row>
    <row r="535" ht="15" customHeight="1">
      <c r="A535" t="inlineStr">
        <is>
          <t>A 9199-2026</t>
        </is>
      </c>
      <c r="B535" s="1" t="n">
        <v>46070.40673611111</v>
      </c>
      <c r="C535" s="1" t="n">
        <v>46181</v>
      </c>
      <c r="D535" t="inlineStr">
        <is>
          <t>VÄSTERBOTTENS LÄN</t>
        </is>
      </c>
      <c r="E535" t="inlineStr">
        <is>
          <t>ÅSELE</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58807-2024</t>
        </is>
      </c>
      <c r="B536" s="1" t="n">
        <v>45636</v>
      </c>
      <c r="C536" s="1" t="n">
        <v>46181</v>
      </c>
      <c r="D536" t="inlineStr">
        <is>
          <t>VÄSTERBOTTENS LÄN</t>
        </is>
      </c>
      <c r="E536" t="inlineStr">
        <is>
          <t>ÅSELE</t>
        </is>
      </c>
      <c r="F536" t="inlineStr">
        <is>
          <t>SCA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4619-2022</t>
        </is>
      </c>
      <c r="B537" s="1" t="n">
        <v>44592</v>
      </c>
      <c r="C537" s="1" t="n">
        <v>46181</v>
      </c>
      <c r="D537" t="inlineStr">
        <is>
          <t>VÄSTERBOTTENS LÄN</t>
        </is>
      </c>
      <c r="E537" t="inlineStr">
        <is>
          <t>ÅSELE</t>
        </is>
      </c>
      <c r="G537" t="n">
        <v>17.6</v>
      </c>
      <c r="H537" t="n">
        <v>0</v>
      </c>
      <c r="I537" t="n">
        <v>0</v>
      </c>
      <c r="J537" t="n">
        <v>0</v>
      </c>
      <c r="K537" t="n">
        <v>0</v>
      </c>
      <c r="L537" t="n">
        <v>0</v>
      </c>
      <c r="M537" t="n">
        <v>0</v>
      </c>
      <c r="N537" t="n">
        <v>0</v>
      </c>
      <c r="O537" t="n">
        <v>0</v>
      </c>
      <c r="P537" t="n">
        <v>0</v>
      </c>
      <c r="Q537" t="n">
        <v>0</v>
      </c>
      <c r="R537" s="2" t="inlineStr"/>
    </row>
    <row r="538" ht="15" customHeight="1">
      <c r="A538" t="inlineStr">
        <is>
          <t>A 37363-2025</t>
        </is>
      </c>
      <c r="B538" s="1" t="n">
        <v>45877.31953703704</v>
      </c>
      <c r="C538" s="1" t="n">
        <v>46181</v>
      </c>
      <c r="D538" t="inlineStr">
        <is>
          <t>VÄSTERBOTTENS LÄN</t>
        </is>
      </c>
      <c r="E538" t="inlineStr">
        <is>
          <t>ÅSELE</t>
        </is>
      </c>
      <c r="F538" t="inlineStr">
        <is>
          <t>Naturvårdsverket</t>
        </is>
      </c>
      <c r="G538" t="n">
        <v>19.4</v>
      </c>
      <c r="H538" t="n">
        <v>0</v>
      </c>
      <c r="I538" t="n">
        <v>0</v>
      </c>
      <c r="J538" t="n">
        <v>0</v>
      </c>
      <c r="K538" t="n">
        <v>0</v>
      </c>
      <c r="L538" t="n">
        <v>0</v>
      </c>
      <c r="M538" t="n">
        <v>0</v>
      </c>
      <c r="N538" t="n">
        <v>0</v>
      </c>
      <c r="O538" t="n">
        <v>0</v>
      </c>
      <c r="P538" t="n">
        <v>0</v>
      </c>
      <c r="Q538" t="n">
        <v>0</v>
      </c>
      <c r="R538" s="2" t="inlineStr"/>
    </row>
    <row r="539" ht="15" customHeight="1">
      <c r="A539" t="inlineStr">
        <is>
          <t>A 51197-2025</t>
        </is>
      </c>
      <c r="B539" s="1" t="n">
        <v>45947.63258101852</v>
      </c>
      <c r="C539" s="1" t="n">
        <v>46181</v>
      </c>
      <c r="D539" t="inlineStr">
        <is>
          <t>VÄSTERBOTTENS LÄN</t>
        </is>
      </c>
      <c r="E539" t="inlineStr">
        <is>
          <t>ÅSELE</t>
        </is>
      </c>
      <c r="F539" t="inlineStr">
        <is>
          <t>Holmen skog AB</t>
        </is>
      </c>
      <c r="G539" t="n">
        <v>9.6</v>
      </c>
      <c r="H539" t="n">
        <v>0</v>
      </c>
      <c r="I539" t="n">
        <v>0</v>
      </c>
      <c r="J539" t="n">
        <v>0</v>
      </c>
      <c r="K539" t="n">
        <v>0</v>
      </c>
      <c r="L539" t="n">
        <v>0</v>
      </c>
      <c r="M539" t="n">
        <v>0</v>
      </c>
      <c r="N539" t="n">
        <v>0</v>
      </c>
      <c r="O539" t="n">
        <v>0</v>
      </c>
      <c r="P539" t="n">
        <v>0</v>
      </c>
      <c r="Q539" t="n">
        <v>0</v>
      </c>
      <c r="R539" s="2" t="inlineStr"/>
    </row>
    <row r="540" ht="15" customHeight="1">
      <c r="A540" t="inlineStr">
        <is>
          <t>A 4626-2022</t>
        </is>
      </c>
      <c r="B540" s="1" t="n">
        <v>44592</v>
      </c>
      <c r="C540" s="1" t="n">
        <v>46181</v>
      </c>
      <c r="D540" t="inlineStr">
        <is>
          <t>VÄSTERBOTTENS LÄN</t>
        </is>
      </c>
      <c r="E540" t="inlineStr">
        <is>
          <t>ÅSELE</t>
        </is>
      </c>
      <c r="G540" t="n">
        <v>6.2</v>
      </c>
      <c r="H540" t="n">
        <v>0</v>
      </c>
      <c r="I540" t="n">
        <v>0</v>
      </c>
      <c r="J540" t="n">
        <v>0</v>
      </c>
      <c r="K540" t="n">
        <v>0</v>
      </c>
      <c r="L540" t="n">
        <v>0</v>
      </c>
      <c r="M540" t="n">
        <v>0</v>
      </c>
      <c r="N540" t="n">
        <v>0</v>
      </c>
      <c r="O540" t="n">
        <v>0</v>
      </c>
      <c r="P540" t="n">
        <v>0</v>
      </c>
      <c r="Q540" t="n">
        <v>0</v>
      </c>
      <c r="R540" s="2" t="inlineStr"/>
    </row>
    <row r="541" ht="15" customHeight="1">
      <c r="A541" t="inlineStr">
        <is>
          <t>A 51099-2025</t>
        </is>
      </c>
      <c r="B541" s="1" t="n">
        <v>45947.48685185185</v>
      </c>
      <c r="C541" s="1" t="n">
        <v>46181</v>
      </c>
      <c r="D541" t="inlineStr">
        <is>
          <t>VÄSTERBOTTENS LÄN</t>
        </is>
      </c>
      <c r="E541" t="inlineStr">
        <is>
          <t>ÅSELE</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51059-2025</t>
        </is>
      </c>
      <c r="B542" s="1" t="n">
        <v>45947.44662037037</v>
      </c>
      <c r="C542" s="1" t="n">
        <v>46181</v>
      </c>
      <c r="D542" t="inlineStr">
        <is>
          <t>VÄSTERBOTTENS LÄN</t>
        </is>
      </c>
      <c r="E542" t="inlineStr">
        <is>
          <t>ÅSELE</t>
        </is>
      </c>
      <c r="F542" t="inlineStr">
        <is>
          <t>Holmen skog AB</t>
        </is>
      </c>
      <c r="G542" t="n">
        <v>3.1</v>
      </c>
      <c r="H542" t="n">
        <v>0</v>
      </c>
      <c r="I542" t="n">
        <v>0</v>
      </c>
      <c r="J542" t="n">
        <v>0</v>
      </c>
      <c r="K542" t="n">
        <v>0</v>
      </c>
      <c r="L542" t="n">
        <v>0</v>
      </c>
      <c r="M542" t="n">
        <v>0</v>
      </c>
      <c r="N542" t="n">
        <v>0</v>
      </c>
      <c r="O542" t="n">
        <v>0</v>
      </c>
      <c r="P542" t="n">
        <v>0</v>
      </c>
      <c r="Q542" t="n">
        <v>0</v>
      </c>
      <c r="R542" s="2" t="inlineStr"/>
    </row>
    <row r="543" ht="15" customHeight="1">
      <c r="A543" t="inlineStr">
        <is>
          <t>A 37769-2025</t>
        </is>
      </c>
      <c r="B543" s="1" t="n">
        <v>45880.74818287037</v>
      </c>
      <c r="C543" s="1" t="n">
        <v>46181</v>
      </c>
      <c r="D543" t="inlineStr">
        <is>
          <t>VÄSTERBOTTENS LÄN</t>
        </is>
      </c>
      <c r="E543" t="inlineStr">
        <is>
          <t>ÅSELE</t>
        </is>
      </c>
      <c r="G543" t="n">
        <v>1.2</v>
      </c>
      <c r="H543" t="n">
        <v>0</v>
      </c>
      <c r="I543" t="n">
        <v>0</v>
      </c>
      <c r="J543" t="n">
        <v>0</v>
      </c>
      <c r="K543" t="n">
        <v>0</v>
      </c>
      <c r="L543" t="n">
        <v>0</v>
      </c>
      <c r="M543" t="n">
        <v>0</v>
      </c>
      <c r="N543" t="n">
        <v>0</v>
      </c>
      <c r="O543" t="n">
        <v>0</v>
      </c>
      <c r="P543" t="n">
        <v>0</v>
      </c>
      <c r="Q543" t="n">
        <v>0</v>
      </c>
      <c r="R543" s="2" t="inlineStr"/>
    </row>
    <row r="544" ht="15" customHeight="1">
      <c r="A544" t="inlineStr">
        <is>
          <t>A 51093-2025</t>
        </is>
      </c>
      <c r="B544" s="1" t="n">
        <v>45947.4753125</v>
      </c>
      <c r="C544" s="1" t="n">
        <v>46181</v>
      </c>
      <c r="D544" t="inlineStr">
        <is>
          <t>VÄSTERBOTTENS LÄN</t>
        </is>
      </c>
      <c r="E544" t="inlineStr">
        <is>
          <t>ÅSELE</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38195-2025</t>
        </is>
      </c>
      <c r="B545" s="1" t="n">
        <v>45882.65986111111</v>
      </c>
      <c r="C545" s="1" t="n">
        <v>46181</v>
      </c>
      <c r="D545" t="inlineStr">
        <is>
          <t>VÄSTERBOTTENS LÄN</t>
        </is>
      </c>
      <c r="E545" t="inlineStr">
        <is>
          <t>ÅSELE</t>
        </is>
      </c>
      <c r="G545" t="n">
        <v>4.7</v>
      </c>
      <c r="H545" t="n">
        <v>0</v>
      </c>
      <c r="I545" t="n">
        <v>0</v>
      </c>
      <c r="J545" t="n">
        <v>0</v>
      </c>
      <c r="K545" t="n">
        <v>0</v>
      </c>
      <c r="L545" t="n">
        <v>0</v>
      </c>
      <c r="M545" t="n">
        <v>0</v>
      </c>
      <c r="N545" t="n">
        <v>0</v>
      </c>
      <c r="O545" t="n">
        <v>0</v>
      </c>
      <c r="P545" t="n">
        <v>0</v>
      </c>
      <c r="Q545" t="n">
        <v>0</v>
      </c>
      <c r="R545" s="2" t="inlineStr"/>
    </row>
    <row r="546" ht="15" customHeight="1">
      <c r="A546" t="inlineStr">
        <is>
          <t>A 51319-2025</t>
        </is>
      </c>
      <c r="B546" s="1" t="n">
        <v>45950.38591435185</v>
      </c>
      <c r="C546" s="1" t="n">
        <v>46181</v>
      </c>
      <c r="D546" t="inlineStr">
        <is>
          <t>VÄSTERBOTTENS LÄN</t>
        </is>
      </c>
      <c r="E546" t="inlineStr">
        <is>
          <t>ÅSELE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51408-2025</t>
        </is>
      </c>
      <c r="B547" s="1" t="n">
        <v>45950.49023148148</v>
      </c>
      <c r="C547" s="1" t="n">
        <v>46181</v>
      </c>
      <c r="D547" t="inlineStr">
        <is>
          <t>VÄSTERBOTTENS LÄN</t>
        </is>
      </c>
      <c r="E547" t="inlineStr">
        <is>
          <t>ÅSELE</t>
        </is>
      </c>
      <c r="F547" t="inlineStr">
        <is>
          <t>SCA</t>
        </is>
      </c>
      <c r="G547" t="n">
        <v>19.4</v>
      </c>
      <c r="H547" t="n">
        <v>0</v>
      </c>
      <c r="I547" t="n">
        <v>0</v>
      </c>
      <c r="J547" t="n">
        <v>0</v>
      </c>
      <c r="K547" t="n">
        <v>0</v>
      </c>
      <c r="L547" t="n">
        <v>0</v>
      </c>
      <c r="M547" t="n">
        <v>0</v>
      </c>
      <c r="N547" t="n">
        <v>0</v>
      </c>
      <c r="O547" t="n">
        <v>0</v>
      </c>
      <c r="P547" t="n">
        <v>0</v>
      </c>
      <c r="Q547" t="n">
        <v>0</v>
      </c>
      <c r="R547" s="2" t="inlineStr"/>
    </row>
    <row r="548" ht="15" customHeight="1">
      <c r="A548" t="inlineStr">
        <is>
          <t>A 52064-2025</t>
        </is>
      </c>
      <c r="B548" s="1" t="n">
        <v>45952.63707175926</v>
      </c>
      <c r="C548" s="1" t="n">
        <v>46181</v>
      </c>
      <c r="D548" t="inlineStr">
        <is>
          <t>VÄSTERBOTTENS LÄN</t>
        </is>
      </c>
      <c r="E548" t="inlineStr">
        <is>
          <t>ÅSELE</t>
        </is>
      </c>
      <c r="G548" t="n">
        <v>14.7</v>
      </c>
      <c r="H548" t="n">
        <v>0</v>
      </c>
      <c r="I548" t="n">
        <v>0</v>
      </c>
      <c r="J548" t="n">
        <v>0</v>
      </c>
      <c r="K548" t="n">
        <v>0</v>
      </c>
      <c r="L548" t="n">
        <v>0</v>
      </c>
      <c r="M548" t="n">
        <v>0</v>
      </c>
      <c r="N548" t="n">
        <v>0</v>
      </c>
      <c r="O548" t="n">
        <v>0</v>
      </c>
      <c r="P548" t="n">
        <v>0</v>
      </c>
      <c r="Q548" t="n">
        <v>0</v>
      </c>
      <c r="R548" s="2" t="inlineStr"/>
    </row>
    <row r="549" ht="15" customHeight="1">
      <c r="A549" t="inlineStr">
        <is>
          <t>A 38181-2025</t>
        </is>
      </c>
      <c r="B549" s="1" t="n">
        <v>45882.64618055556</v>
      </c>
      <c r="C549" s="1" t="n">
        <v>46181</v>
      </c>
      <c r="D549" t="inlineStr">
        <is>
          <t>VÄSTERBOTTENS LÄN</t>
        </is>
      </c>
      <c r="E549" t="inlineStr">
        <is>
          <t>ÅSELE</t>
        </is>
      </c>
      <c r="G549" t="n">
        <v>3.9</v>
      </c>
      <c r="H549" t="n">
        <v>0</v>
      </c>
      <c r="I549" t="n">
        <v>0</v>
      </c>
      <c r="J549" t="n">
        <v>0</v>
      </c>
      <c r="K549" t="n">
        <v>0</v>
      </c>
      <c r="L549" t="n">
        <v>0</v>
      </c>
      <c r="M549" t="n">
        <v>0</v>
      </c>
      <c r="N549" t="n">
        <v>0</v>
      </c>
      <c r="O549" t="n">
        <v>0</v>
      </c>
      <c r="P549" t="n">
        <v>0</v>
      </c>
      <c r="Q549" t="n">
        <v>0</v>
      </c>
      <c r="R549" s="2" t="inlineStr"/>
    </row>
    <row r="550" ht="15" customHeight="1">
      <c r="A550" t="inlineStr">
        <is>
          <t>A 38184-2025</t>
        </is>
      </c>
      <c r="B550" s="1" t="n">
        <v>45882.64888888889</v>
      </c>
      <c r="C550" s="1" t="n">
        <v>46181</v>
      </c>
      <c r="D550" t="inlineStr">
        <is>
          <t>VÄSTERBOTTENS LÄN</t>
        </is>
      </c>
      <c r="E550" t="inlineStr">
        <is>
          <t>ÅSELE</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37868-2025</t>
        </is>
      </c>
      <c r="B551" s="1" t="n">
        <v>45881.4718287037</v>
      </c>
      <c r="C551" s="1" t="n">
        <v>46181</v>
      </c>
      <c r="D551" t="inlineStr">
        <is>
          <t>VÄSTERBOTTENS LÄN</t>
        </is>
      </c>
      <c r="E551" t="inlineStr">
        <is>
          <t>ÅSELE</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38189-2025</t>
        </is>
      </c>
      <c r="B552" s="1" t="n">
        <v>45882.65576388889</v>
      </c>
      <c r="C552" s="1" t="n">
        <v>46181</v>
      </c>
      <c r="D552" t="inlineStr">
        <is>
          <t>VÄSTERBOTTENS LÄN</t>
        </is>
      </c>
      <c r="E552" t="inlineStr">
        <is>
          <t>ÅSELE</t>
        </is>
      </c>
      <c r="G552" t="n">
        <v>3</v>
      </c>
      <c r="H552" t="n">
        <v>0</v>
      </c>
      <c r="I552" t="n">
        <v>0</v>
      </c>
      <c r="J552" t="n">
        <v>0</v>
      </c>
      <c r="K552" t="n">
        <v>0</v>
      </c>
      <c r="L552" t="n">
        <v>0</v>
      </c>
      <c r="M552" t="n">
        <v>0</v>
      </c>
      <c r="N552" t="n">
        <v>0</v>
      </c>
      <c r="O552" t="n">
        <v>0</v>
      </c>
      <c r="P552" t="n">
        <v>0</v>
      </c>
      <c r="Q552" t="n">
        <v>0</v>
      </c>
      <c r="R552" s="2" t="inlineStr"/>
    </row>
    <row r="553" ht="15" customHeight="1">
      <c r="A553" t="inlineStr">
        <is>
          <t>A 37863-2025</t>
        </is>
      </c>
      <c r="B553" s="1" t="n">
        <v>45881.46734953704</v>
      </c>
      <c r="C553" s="1" t="n">
        <v>46181</v>
      </c>
      <c r="D553" t="inlineStr">
        <is>
          <t>VÄSTERBOTTENS LÄN</t>
        </is>
      </c>
      <c r="E553" t="inlineStr">
        <is>
          <t>ÅSELE</t>
        </is>
      </c>
      <c r="F553" t="inlineStr">
        <is>
          <t>Kommuner</t>
        </is>
      </c>
      <c r="G553" t="n">
        <v>1.1</v>
      </c>
      <c r="H553" t="n">
        <v>0</v>
      </c>
      <c r="I553" t="n">
        <v>0</v>
      </c>
      <c r="J553" t="n">
        <v>0</v>
      </c>
      <c r="K553" t="n">
        <v>0</v>
      </c>
      <c r="L553" t="n">
        <v>0</v>
      </c>
      <c r="M553" t="n">
        <v>0</v>
      </c>
      <c r="N553" t="n">
        <v>0</v>
      </c>
      <c r="O553" t="n">
        <v>0</v>
      </c>
      <c r="P553" t="n">
        <v>0</v>
      </c>
      <c r="Q553" t="n">
        <v>0</v>
      </c>
      <c r="R553" s="2" t="inlineStr"/>
    </row>
    <row r="554" ht="15" customHeight="1">
      <c r="A554" t="inlineStr">
        <is>
          <t>A 37772-2025</t>
        </is>
      </c>
      <c r="B554" s="1" t="n">
        <v>45880.75725694445</v>
      </c>
      <c r="C554" s="1" t="n">
        <v>46181</v>
      </c>
      <c r="D554" t="inlineStr">
        <is>
          <t>VÄSTERBOTTENS LÄN</t>
        </is>
      </c>
      <c r="E554" t="inlineStr">
        <is>
          <t>ÅSELE</t>
        </is>
      </c>
      <c r="G554" t="n">
        <v>11.3</v>
      </c>
      <c r="H554" t="n">
        <v>0</v>
      </c>
      <c r="I554" t="n">
        <v>0</v>
      </c>
      <c r="J554" t="n">
        <v>0</v>
      </c>
      <c r="K554" t="n">
        <v>0</v>
      </c>
      <c r="L554" t="n">
        <v>0</v>
      </c>
      <c r="M554" t="n">
        <v>0</v>
      </c>
      <c r="N554" t="n">
        <v>0</v>
      </c>
      <c r="O554" t="n">
        <v>0</v>
      </c>
      <c r="P554" t="n">
        <v>0</v>
      </c>
      <c r="Q554" t="n">
        <v>0</v>
      </c>
      <c r="R554" s="2" t="inlineStr"/>
    </row>
    <row r="555" ht="15" customHeight="1">
      <c r="A555" t="inlineStr">
        <is>
          <t>A 37773-2025</t>
        </is>
      </c>
      <c r="B555" s="1" t="n">
        <v>45880.7615162037</v>
      </c>
      <c r="C555" s="1" t="n">
        <v>46181</v>
      </c>
      <c r="D555" t="inlineStr">
        <is>
          <t>VÄSTERBOTTENS LÄN</t>
        </is>
      </c>
      <c r="E555" t="inlineStr">
        <is>
          <t>ÅSELE</t>
        </is>
      </c>
      <c r="G555" t="n">
        <v>1.9</v>
      </c>
      <c r="H555" t="n">
        <v>0</v>
      </c>
      <c r="I555" t="n">
        <v>0</v>
      </c>
      <c r="J555" t="n">
        <v>0</v>
      </c>
      <c r="K555" t="n">
        <v>0</v>
      </c>
      <c r="L555" t="n">
        <v>0</v>
      </c>
      <c r="M555" t="n">
        <v>0</v>
      </c>
      <c r="N555" t="n">
        <v>0</v>
      </c>
      <c r="O555" t="n">
        <v>0</v>
      </c>
      <c r="P555" t="n">
        <v>0</v>
      </c>
      <c r="Q555" t="n">
        <v>0</v>
      </c>
      <c r="R555" s="2" t="inlineStr"/>
    </row>
    <row r="556" ht="15" customHeight="1">
      <c r="A556" t="inlineStr">
        <is>
          <t>A 38612-2025</t>
        </is>
      </c>
      <c r="B556" s="1" t="n">
        <v>45884.5409375</v>
      </c>
      <c r="C556" s="1" t="n">
        <v>46181</v>
      </c>
      <c r="D556" t="inlineStr">
        <is>
          <t>VÄSTERBOTTENS LÄN</t>
        </is>
      </c>
      <c r="E556" t="inlineStr">
        <is>
          <t>ÅSELE</t>
        </is>
      </c>
      <c r="G556" t="n">
        <v>4.1</v>
      </c>
      <c r="H556" t="n">
        <v>0</v>
      </c>
      <c r="I556" t="n">
        <v>0</v>
      </c>
      <c r="J556" t="n">
        <v>0</v>
      </c>
      <c r="K556" t="n">
        <v>0</v>
      </c>
      <c r="L556" t="n">
        <v>0</v>
      </c>
      <c r="M556" t="n">
        <v>0</v>
      </c>
      <c r="N556" t="n">
        <v>0</v>
      </c>
      <c r="O556" t="n">
        <v>0</v>
      </c>
      <c r="P556" t="n">
        <v>0</v>
      </c>
      <c r="Q556" t="n">
        <v>0</v>
      </c>
      <c r="R556" s="2" t="inlineStr"/>
    </row>
    <row r="557" ht="15" customHeight="1">
      <c r="A557" t="inlineStr">
        <is>
          <t>A 51669-2025</t>
        </is>
      </c>
      <c r="B557" s="1" t="n">
        <v>45951.4962037037</v>
      </c>
      <c r="C557" s="1" t="n">
        <v>46181</v>
      </c>
      <c r="D557" t="inlineStr">
        <is>
          <t>VÄSTERBOTTENS LÄN</t>
        </is>
      </c>
      <c r="E557" t="inlineStr">
        <is>
          <t>ÅSELE</t>
        </is>
      </c>
      <c r="G557" t="n">
        <v>0.3</v>
      </c>
      <c r="H557" t="n">
        <v>0</v>
      </c>
      <c r="I557" t="n">
        <v>0</v>
      </c>
      <c r="J557" t="n">
        <v>0</v>
      </c>
      <c r="K557" t="n">
        <v>0</v>
      </c>
      <c r="L557" t="n">
        <v>0</v>
      </c>
      <c r="M557" t="n">
        <v>0</v>
      </c>
      <c r="N557" t="n">
        <v>0</v>
      </c>
      <c r="O557" t="n">
        <v>0</v>
      </c>
      <c r="P557" t="n">
        <v>0</v>
      </c>
      <c r="Q557" t="n">
        <v>0</v>
      </c>
      <c r="R557" s="2" t="inlineStr"/>
    </row>
    <row r="558" ht="15" customHeight="1">
      <c r="A558" t="inlineStr">
        <is>
          <t>A 9630-2026</t>
        </is>
      </c>
      <c r="B558" s="1" t="n">
        <v>46072.34447916667</v>
      </c>
      <c r="C558" s="1" t="n">
        <v>46181</v>
      </c>
      <c r="D558" t="inlineStr">
        <is>
          <t>VÄSTERBOTTENS LÄN</t>
        </is>
      </c>
      <c r="E558" t="inlineStr">
        <is>
          <t>ÅSELE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38460-2025</t>
        </is>
      </c>
      <c r="B559" s="1" t="n">
        <v>45883.71945601852</v>
      </c>
      <c r="C559" s="1" t="n">
        <v>46181</v>
      </c>
      <c r="D559" t="inlineStr">
        <is>
          <t>VÄSTERBOTTENS LÄN</t>
        </is>
      </c>
      <c r="E559" t="inlineStr">
        <is>
          <t>ÅSELE</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52143-2025</t>
        </is>
      </c>
      <c r="B560" s="1" t="n">
        <v>45953.3316550926</v>
      </c>
      <c r="C560" s="1" t="n">
        <v>46181</v>
      </c>
      <c r="D560" t="inlineStr">
        <is>
          <t>VÄSTERBOTTENS LÄN</t>
        </is>
      </c>
      <c r="E560" t="inlineStr">
        <is>
          <t>ÅSELE</t>
        </is>
      </c>
      <c r="G560" t="n">
        <v>4.9</v>
      </c>
      <c r="H560" t="n">
        <v>0</v>
      </c>
      <c r="I560" t="n">
        <v>0</v>
      </c>
      <c r="J560" t="n">
        <v>0</v>
      </c>
      <c r="K560" t="n">
        <v>0</v>
      </c>
      <c r="L560" t="n">
        <v>0</v>
      </c>
      <c r="M560" t="n">
        <v>0</v>
      </c>
      <c r="N560" t="n">
        <v>0</v>
      </c>
      <c r="O560" t="n">
        <v>0</v>
      </c>
      <c r="P560" t="n">
        <v>0</v>
      </c>
      <c r="Q560" t="n">
        <v>0</v>
      </c>
      <c r="R560" s="2" t="inlineStr"/>
    </row>
    <row r="561" ht="15" customHeight="1">
      <c r="A561" t="inlineStr">
        <is>
          <t>A 52165-2025</t>
        </is>
      </c>
      <c r="B561" s="1" t="n">
        <v>45953.36392361111</v>
      </c>
      <c r="C561" s="1" t="n">
        <v>46181</v>
      </c>
      <c r="D561" t="inlineStr">
        <is>
          <t>VÄSTERBOTTENS LÄN</t>
        </is>
      </c>
      <c r="E561" t="inlineStr">
        <is>
          <t>ÅSELE</t>
        </is>
      </c>
      <c r="G561" t="n">
        <v>12.6</v>
      </c>
      <c r="H561" t="n">
        <v>0</v>
      </c>
      <c r="I561" t="n">
        <v>0</v>
      </c>
      <c r="J561" t="n">
        <v>0</v>
      </c>
      <c r="K561" t="n">
        <v>0</v>
      </c>
      <c r="L561" t="n">
        <v>0</v>
      </c>
      <c r="M561" t="n">
        <v>0</v>
      </c>
      <c r="N561" t="n">
        <v>0</v>
      </c>
      <c r="O561" t="n">
        <v>0</v>
      </c>
      <c r="P561" t="n">
        <v>0</v>
      </c>
      <c r="Q561" t="n">
        <v>0</v>
      </c>
      <c r="R561" s="2" t="inlineStr"/>
    </row>
    <row r="562" ht="15" customHeight="1">
      <c r="A562" t="inlineStr">
        <is>
          <t>A 52192-2025</t>
        </is>
      </c>
      <c r="B562" s="1" t="n">
        <v>45953.38861111111</v>
      </c>
      <c r="C562" s="1" t="n">
        <v>46181</v>
      </c>
      <c r="D562" t="inlineStr">
        <is>
          <t>VÄSTERBOTTENS LÄN</t>
        </is>
      </c>
      <c r="E562" t="inlineStr">
        <is>
          <t>ÅSELE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52326-2025</t>
        </is>
      </c>
      <c r="B563" s="1" t="n">
        <v>45953.67081018518</v>
      </c>
      <c r="C563" s="1" t="n">
        <v>46181</v>
      </c>
      <c r="D563" t="inlineStr">
        <is>
          <t>VÄSTERBOTTENS LÄN</t>
        </is>
      </c>
      <c r="E563" t="inlineStr">
        <is>
          <t>ÅSELE</t>
        </is>
      </c>
      <c r="G563" t="n">
        <v>5.5</v>
      </c>
      <c r="H563" t="n">
        <v>0</v>
      </c>
      <c r="I563" t="n">
        <v>0</v>
      </c>
      <c r="J563" t="n">
        <v>0</v>
      </c>
      <c r="K563" t="n">
        <v>0</v>
      </c>
      <c r="L563" t="n">
        <v>0</v>
      </c>
      <c r="M563" t="n">
        <v>0</v>
      </c>
      <c r="N563" t="n">
        <v>0</v>
      </c>
      <c r="O563" t="n">
        <v>0</v>
      </c>
      <c r="P563" t="n">
        <v>0</v>
      </c>
      <c r="Q563" t="n">
        <v>0</v>
      </c>
      <c r="R563" s="2" t="inlineStr"/>
    </row>
    <row r="564" ht="15" customHeight="1">
      <c r="A564" t="inlineStr">
        <is>
          <t>A 10294-2026</t>
        </is>
      </c>
      <c r="B564" s="1" t="n">
        <v>46076.61517361111</v>
      </c>
      <c r="C564" s="1" t="n">
        <v>46181</v>
      </c>
      <c r="D564" t="inlineStr">
        <is>
          <t>VÄSTERBOTTENS LÄN</t>
        </is>
      </c>
      <c r="E564" t="inlineStr">
        <is>
          <t>ÅSELE</t>
        </is>
      </c>
      <c r="F564" t="inlineStr">
        <is>
          <t>SCA</t>
        </is>
      </c>
      <c r="G564" t="n">
        <v>10.9</v>
      </c>
      <c r="H564" t="n">
        <v>0</v>
      </c>
      <c r="I564" t="n">
        <v>0</v>
      </c>
      <c r="J564" t="n">
        <v>0</v>
      </c>
      <c r="K564" t="n">
        <v>0</v>
      </c>
      <c r="L564" t="n">
        <v>0</v>
      </c>
      <c r="M564" t="n">
        <v>0</v>
      </c>
      <c r="N564" t="n">
        <v>0</v>
      </c>
      <c r="O564" t="n">
        <v>0</v>
      </c>
      <c r="P564" t="n">
        <v>0</v>
      </c>
      <c r="Q564" t="n">
        <v>0</v>
      </c>
      <c r="R564" s="2" t="inlineStr"/>
    </row>
    <row r="565" ht="15" customHeight="1">
      <c r="A565" t="inlineStr">
        <is>
          <t>A 52139-2025</t>
        </is>
      </c>
      <c r="B565" s="1" t="n">
        <v>45953.32070601852</v>
      </c>
      <c r="C565" s="1" t="n">
        <v>46181</v>
      </c>
      <c r="D565" t="inlineStr">
        <is>
          <t>VÄSTERBOTTENS LÄN</t>
        </is>
      </c>
      <c r="E565" t="inlineStr">
        <is>
          <t>ÅSELE</t>
        </is>
      </c>
      <c r="G565" t="n">
        <v>4.2</v>
      </c>
      <c r="H565" t="n">
        <v>0</v>
      </c>
      <c r="I565" t="n">
        <v>0</v>
      </c>
      <c r="J565" t="n">
        <v>0</v>
      </c>
      <c r="K565" t="n">
        <v>0</v>
      </c>
      <c r="L565" t="n">
        <v>0</v>
      </c>
      <c r="M565" t="n">
        <v>0</v>
      </c>
      <c r="N565" t="n">
        <v>0</v>
      </c>
      <c r="O565" t="n">
        <v>0</v>
      </c>
      <c r="P565" t="n">
        <v>0</v>
      </c>
      <c r="Q565" t="n">
        <v>0</v>
      </c>
      <c r="R565" s="2" t="inlineStr"/>
    </row>
    <row r="566" ht="15" customHeight="1">
      <c r="A566" t="inlineStr">
        <is>
          <t>A 38616-2025</t>
        </is>
      </c>
      <c r="B566" s="1" t="n">
        <v>45884.54922453704</v>
      </c>
      <c r="C566" s="1" t="n">
        <v>46181</v>
      </c>
      <c r="D566" t="inlineStr">
        <is>
          <t>VÄSTERBOTTENS LÄN</t>
        </is>
      </c>
      <c r="E566" t="inlineStr">
        <is>
          <t>ÅSELE</t>
        </is>
      </c>
      <c r="G566" t="n">
        <v>1.6</v>
      </c>
      <c r="H566" t="n">
        <v>0</v>
      </c>
      <c r="I566" t="n">
        <v>0</v>
      </c>
      <c r="J566" t="n">
        <v>0</v>
      </c>
      <c r="K566" t="n">
        <v>0</v>
      </c>
      <c r="L566" t="n">
        <v>0</v>
      </c>
      <c r="M566" t="n">
        <v>0</v>
      </c>
      <c r="N566" t="n">
        <v>0</v>
      </c>
      <c r="O566" t="n">
        <v>0</v>
      </c>
      <c r="P566" t="n">
        <v>0</v>
      </c>
      <c r="Q566" t="n">
        <v>0</v>
      </c>
      <c r="R566" s="2" t="inlineStr"/>
    </row>
    <row r="567" ht="15" customHeight="1">
      <c r="A567" t="inlineStr">
        <is>
          <t>A 38418-2025</t>
        </is>
      </c>
      <c r="B567" s="1" t="n">
        <v>45883.61994212963</v>
      </c>
      <c r="C567" s="1" t="n">
        <v>46181</v>
      </c>
      <c r="D567" t="inlineStr">
        <is>
          <t>VÄSTERBOTTENS LÄN</t>
        </is>
      </c>
      <c r="E567" t="inlineStr">
        <is>
          <t>ÅSELE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38451-2025</t>
        </is>
      </c>
      <c r="B568" s="1" t="n">
        <v>45883.67800925926</v>
      </c>
      <c r="C568" s="1" t="n">
        <v>46181</v>
      </c>
      <c r="D568" t="inlineStr">
        <is>
          <t>VÄSTERBOTTENS LÄN</t>
        </is>
      </c>
      <c r="E568" t="inlineStr">
        <is>
          <t>ÅSELE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38452-2025</t>
        </is>
      </c>
      <c r="B569" s="1" t="n">
        <v>45883.67813657408</v>
      </c>
      <c r="C569" s="1" t="n">
        <v>46181</v>
      </c>
      <c r="D569" t="inlineStr">
        <is>
          <t>VÄSTERBOTTENS LÄN</t>
        </is>
      </c>
      <c r="E569" t="inlineStr">
        <is>
          <t>ÅSELE</t>
        </is>
      </c>
      <c r="F569" t="inlineStr">
        <is>
          <t>SCA</t>
        </is>
      </c>
      <c r="G569" t="n">
        <v>5.8</v>
      </c>
      <c r="H569" t="n">
        <v>0</v>
      </c>
      <c r="I569" t="n">
        <v>0</v>
      </c>
      <c r="J569" t="n">
        <v>0</v>
      </c>
      <c r="K569" t="n">
        <v>0</v>
      </c>
      <c r="L569" t="n">
        <v>0</v>
      </c>
      <c r="M569" t="n">
        <v>0</v>
      </c>
      <c r="N569" t="n">
        <v>0</v>
      </c>
      <c r="O569" t="n">
        <v>0</v>
      </c>
      <c r="P569" t="n">
        <v>0</v>
      </c>
      <c r="Q569" t="n">
        <v>0</v>
      </c>
      <c r="R569" s="2" t="inlineStr"/>
    </row>
    <row r="570" ht="15" customHeight="1">
      <c r="A570" t="inlineStr">
        <is>
          <t>A 52632-2025</t>
        </is>
      </c>
      <c r="B570" s="1" t="n">
        <v>45954.71922453704</v>
      </c>
      <c r="C570" s="1" t="n">
        <v>46181</v>
      </c>
      <c r="D570" t="inlineStr">
        <is>
          <t>VÄSTERBOTTENS LÄN</t>
        </is>
      </c>
      <c r="E570" t="inlineStr">
        <is>
          <t>ÅSELE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9950-2026</t>
        </is>
      </c>
      <c r="B571" s="1" t="n">
        <v>46073.47167824074</v>
      </c>
      <c r="C571" s="1" t="n">
        <v>46181</v>
      </c>
      <c r="D571" t="inlineStr">
        <is>
          <t>VÄSTERBOTTENS LÄN</t>
        </is>
      </c>
      <c r="E571" t="inlineStr">
        <is>
          <t>ÅSELE</t>
        </is>
      </c>
      <c r="G571" t="n">
        <v>29.9</v>
      </c>
      <c r="H571" t="n">
        <v>0</v>
      </c>
      <c r="I571" t="n">
        <v>0</v>
      </c>
      <c r="J571" t="n">
        <v>0</v>
      </c>
      <c r="K571" t="n">
        <v>0</v>
      </c>
      <c r="L571" t="n">
        <v>0</v>
      </c>
      <c r="M571" t="n">
        <v>0</v>
      </c>
      <c r="N571" t="n">
        <v>0</v>
      </c>
      <c r="O571" t="n">
        <v>0</v>
      </c>
      <c r="P571" t="n">
        <v>0</v>
      </c>
      <c r="Q571" t="n">
        <v>0</v>
      </c>
      <c r="R571" s="2" t="inlineStr"/>
    </row>
    <row r="572" ht="15" customHeight="1">
      <c r="A572" t="inlineStr">
        <is>
          <t>A 9951-2026</t>
        </is>
      </c>
      <c r="B572" s="1" t="n">
        <v>46073.47201388889</v>
      </c>
      <c r="C572" s="1" t="n">
        <v>46181</v>
      </c>
      <c r="D572" t="inlineStr">
        <is>
          <t>VÄSTERBOTTENS LÄN</t>
        </is>
      </c>
      <c r="E572" t="inlineStr">
        <is>
          <t>ÅSELE</t>
        </is>
      </c>
      <c r="G572" t="n">
        <v>17.1</v>
      </c>
      <c r="H572" t="n">
        <v>0</v>
      </c>
      <c r="I572" t="n">
        <v>0</v>
      </c>
      <c r="J572" t="n">
        <v>0</v>
      </c>
      <c r="K572" t="n">
        <v>0</v>
      </c>
      <c r="L572" t="n">
        <v>0</v>
      </c>
      <c r="M572" t="n">
        <v>0</v>
      </c>
      <c r="N572" t="n">
        <v>0</v>
      </c>
      <c r="O572" t="n">
        <v>0</v>
      </c>
      <c r="P572" t="n">
        <v>0</v>
      </c>
      <c r="Q572" t="n">
        <v>0</v>
      </c>
      <c r="R572" s="2" t="inlineStr"/>
    </row>
    <row r="573" ht="15" customHeight="1">
      <c r="A573" t="inlineStr">
        <is>
          <t>A 9943-2026</t>
        </is>
      </c>
      <c r="B573" s="1" t="n">
        <v>46073.46966435185</v>
      </c>
      <c r="C573" s="1" t="n">
        <v>46181</v>
      </c>
      <c r="D573" t="inlineStr">
        <is>
          <t>VÄSTERBOTTENS LÄN</t>
        </is>
      </c>
      <c r="E573" t="inlineStr">
        <is>
          <t>ÅSELE</t>
        </is>
      </c>
      <c r="F573" t="inlineStr">
        <is>
          <t>SCA</t>
        </is>
      </c>
      <c r="G573" t="n">
        <v>7.1</v>
      </c>
      <c r="H573" t="n">
        <v>0</v>
      </c>
      <c r="I573" t="n">
        <v>0</v>
      </c>
      <c r="J573" t="n">
        <v>0</v>
      </c>
      <c r="K573" t="n">
        <v>0</v>
      </c>
      <c r="L573" t="n">
        <v>0</v>
      </c>
      <c r="M573" t="n">
        <v>0</v>
      </c>
      <c r="N573" t="n">
        <v>0</v>
      </c>
      <c r="O573" t="n">
        <v>0</v>
      </c>
      <c r="P573" t="n">
        <v>0</v>
      </c>
      <c r="Q573" t="n">
        <v>0</v>
      </c>
      <c r="R573" s="2" t="inlineStr"/>
    </row>
    <row r="574" ht="15" customHeight="1">
      <c r="A574" t="inlineStr">
        <is>
          <t>A 52663-2025</t>
        </is>
      </c>
      <c r="B574" s="1" t="n">
        <v>45955.49012731481</v>
      </c>
      <c r="C574" s="1" t="n">
        <v>46181</v>
      </c>
      <c r="D574" t="inlineStr">
        <is>
          <t>VÄSTERBOTTENS LÄN</t>
        </is>
      </c>
      <c r="E574" t="inlineStr">
        <is>
          <t>ÅSELE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10226-2026</t>
        </is>
      </c>
      <c r="B575" s="1" t="n">
        <v>46076.5108912037</v>
      </c>
      <c r="C575" s="1" t="n">
        <v>46181</v>
      </c>
      <c r="D575" t="inlineStr">
        <is>
          <t>VÄSTERBOTTENS LÄN</t>
        </is>
      </c>
      <c r="E575" t="inlineStr">
        <is>
          <t>ÅSELE</t>
        </is>
      </c>
      <c r="F575" t="inlineStr">
        <is>
          <t>SCA</t>
        </is>
      </c>
      <c r="G575" t="n">
        <v>17.2</v>
      </c>
      <c r="H575" t="n">
        <v>0</v>
      </c>
      <c r="I575" t="n">
        <v>0</v>
      </c>
      <c r="J575" t="n">
        <v>0</v>
      </c>
      <c r="K575" t="n">
        <v>0</v>
      </c>
      <c r="L575" t="n">
        <v>0</v>
      </c>
      <c r="M575" t="n">
        <v>0</v>
      </c>
      <c r="N575" t="n">
        <v>0</v>
      </c>
      <c r="O575" t="n">
        <v>0</v>
      </c>
      <c r="P575" t="n">
        <v>0</v>
      </c>
      <c r="Q575" t="n">
        <v>0</v>
      </c>
      <c r="R575" s="2" t="inlineStr"/>
    </row>
    <row r="576" ht="15" customHeight="1">
      <c r="A576" t="inlineStr">
        <is>
          <t>A 10322-2026</t>
        </is>
      </c>
      <c r="B576" s="1" t="n">
        <v>46076.65726851852</v>
      </c>
      <c r="C576" s="1" t="n">
        <v>46181</v>
      </c>
      <c r="D576" t="inlineStr">
        <is>
          <t>VÄSTERBOTTENS LÄN</t>
        </is>
      </c>
      <c r="E576" t="inlineStr">
        <is>
          <t>ÅSELE</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16570-2023</t>
        </is>
      </c>
      <c r="B577" s="1" t="n">
        <v>45029.94212962963</v>
      </c>
      <c r="C577" s="1" t="n">
        <v>46181</v>
      </c>
      <c r="D577" t="inlineStr">
        <is>
          <t>VÄSTERBOTTENS LÄN</t>
        </is>
      </c>
      <c r="E577" t="inlineStr">
        <is>
          <t>ÅSELE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53192-2025</t>
        </is>
      </c>
      <c r="B578" s="1" t="n">
        <v>45958.56741898148</v>
      </c>
      <c r="C578" s="1" t="n">
        <v>46181</v>
      </c>
      <c r="D578" t="inlineStr">
        <is>
          <t>VÄSTERBOTTENS LÄN</t>
        </is>
      </c>
      <c r="E578" t="inlineStr">
        <is>
          <t>ÅSELE</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10675-2026</t>
        </is>
      </c>
      <c r="B579" s="1" t="n">
        <v>46078.40700231482</v>
      </c>
      <c r="C579" s="1" t="n">
        <v>46181</v>
      </c>
      <c r="D579" t="inlineStr">
        <is>
          <t>VÄSTERBOTTENS LÄN</t>
        </is>
      </c>
      <c r="E579" t="inlineStr">
        <is>
          <t>ÅSELE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10676-2026</t>
        </is>
      </c>
      <c r="B580" s="1" t="n">
        <v>46078.40722222222</v>
      </c>
      <c r="C580" s="1" t="n">
        <v>46181</v>
      </c>
      <c r="D580" t="inlineStr">
        <is>
          <t>VÄSTERBOTTENS LÄN</t>
        </is>
      </c>
      <c r="E580" t="inlineStr">
        <is>
          <t>ÅSELE</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10826-2026</t>
        </is>
      </c>
      <c r="B581" s="1" t="n">
        <v>46078.6249537037</v>
      </c>
      <c r="C581" s="1" t="n">
        <v>46181</v>
      </c>
      <c r="D581" t="inlineStr">
        <is>
          <t>VÄSTERBOTTENS LÄN</t>
        </is>
      </c>
      <c r="E581" t="inlineStr">
        <is>
          <t>ÅSELE</t>
        </is>
      </c>
      <c r="G581" t="n">
        <v>4.3</v>
      </c>
      <c r="H581" t="n">
        <v>0</v>
      </c>
      <c r="I581" t="n">
        <v>0</v>
      </c>
      <c r="J581" t="n">
        <v>0</v>
      </c>
      <c r="K581" t="n">
        <v>0</v>
      </c>
      <c r="L581" t="n">
        <v>0</v>
      </c>
      <c r="M581" t="n">
        <v>0</v>
      </c>
      <c r="N581" t="n">
        <v>0</v>
      </c>
      <c r="O581" t="n">
        <v>0</v>
      </c>
      <c r="P581" t="n">
        <v>0</v>
      </c>
      <c r="Q581" t="n">
        <v>0</v>
      </c>
      <c r="R581" s="2" t="inlineStr"/>
    </row>
    <row r="582" ht="15" customHeight="1">
      <c r="A582" t="inlineStr">
        <is>
          <t>A 10752-2026</t>
        </is>
      </c>
      <c r="B582" s="1" t="n">
        <v>46078</v>
      </c>
      <c r="C582" s="1" t="n">
        <v>46181</v>
      </c>
      <c r="D582" t="inlineStr">
        <is>
          <t>VÄSTERBOTTENS LÄN</t>
        </is>
      </c>
      <c r="E582" t="inlineStr">
        <is>
          <t>ÅSELE</t>
        </is>
      </c>
      <c r="G582" t="n">
        <v>7.2</v>
      </c>
      <c r="H582" t="n">
        <v>0</v>
      </c>
      <c r="I582" t="n">
        <v>0</v>
      </c>
      <c r="J582" t="n">
        <v>0</v>
      </c>
      <c r="K582" t="n">
        <v>0</v>
      </c>
      <c r="L582" t="n">
        <v>0</v>
      </c>
      <c r="M582" t="n">
        <v>0</v>
      </c>
      <c r="N582" t="n">
        <v>0</v>
      </c>
      <c r="O582" t="n">
        <v>0</v>
      </c>
      <c r="P582" t="n">
        <v>0</v>
      </c>
      <c r="Q582" t="n">
        <v>0</v>
      </c>
      <c r="R582" s="2" t="inlineStr"/>
    </row>
    <row r="583" ht="15" customHeight="1">
      <c r="A583" t="inlineStr">
        <is>
          <t>A 10688-2026</t>
        </is>
      </c>
      <c r="B583" s="1" t="n">
        <v>46078.42765046296</v>
      </c>
      <c r="C583" s="1" t="n">
        <v>46181</v>
      </c>
      <c r="D583" t="inlineStr">
        <is>
          <t>VÄSTERBOTTENS LÄN</t>
        </is>
      </c>
      <c r="E583" t="inlineStr">
        <is>
          <t>ÅSELE</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10677-2026</t>
        </is>
      </c>
      <c r="B584" s="1" t="n">
        <v>46078.4074537037</v>
      </c>
      <c r="C584" s="1" t="n">
        <v>46181</v>
      </c>
      <c r="D584" t="inlineStr">
        <is>
          <t>VÄSTERBOTTENS LÄN</t>
        </is>
      </c>
      <c r="E584" t="inlineStr">
        <is>
          <t>ÅSELE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52662-2025</t>
        </is>
      </c>
      <c r="B585" s="1" t="n">
        <v>45955.48998842593</v>
      </c>
      <c r="C585" s="1" t="n">
        <v>46181</v>
      </c>
      <c r="D585" t="inlineStr">
        <is>
          <t>VÄSTERBOTTENS LÄN</t>
        </is>
      </c>
      <c r="E585" t="inlineStr">
        <is>
          <t>ÅSELE</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52664-2025</t>
        </is>
      </c>
      <c r="B586" s="1" t="n">
        <v>45955.61505787037</v>
      </c>
      <c r="C586" s="1" t="n">
        <v>46181</v>
      </c>
      <c r="D586" t="inlineStr">
        <is>
          <t>VÄSTERBOTTENS LÄN</t>
        </is>
      </c>
      <c r="E586" t="inlineStr">
        <is>
          <t>ÅSELE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10762-2026</t>
        </is>
      </c>
      <c r="B587" s="1" t="n">
        <v>46078</v>
      </c>
      <c r="C587" s="1" t="n">
        <v>46181</v>
      </c>
      <c r="D587" t="inlineStr">
        <is>
          <t>VÄSTERBOTTENS LÄN</t>
        </is>
      </c>
      <c r="E587" t="inlineStr">
        <is>
          <t>ÅSELE</t>
        </is>
      </c>
      <c r="G587" t="n">
        <v>2.2</v>
      </c>
      <c r="H587" t="n">
        <v>0</v>
      </c>
      <c r="I587" t="n">
        <v>0</v>
      </c>
      <c r="J587" t="n">
        <v>0</v>
      </c>
      <c r="K587" t="n">
        <v>0</v>
      </c>
      <c r="L587" t="n">
        <v>0</v>
      </c>
      <c r="M587" t="n">
        <v>0</v>
      </c>
      <c r="N587" t="n">
        <v>0</v>
      </c>
      <c r="O587" t="n">
        <v>0</v>
      </c>
      <c r="P587" t="n">
        <v>0</v>
      </c>
      <c r="Q587" t="n">
        <v>0</v>
      </c>
      <c r="R587" s="2" t="inlineStr"/>
    </row>
    <row r="588" ht="15" customHeight="1">
      <c r="A588" t="inlineStr">
        <is>
          <t>A 10859-2026</t>
        </is>
      </c>
      <c r="B588" s="1" t="n">
        <v>46078.6675462963</v>
      </c>
      <c r="C588" s="1" t="n">
        <v>46181</v>
      </c>
      <c r="D588" t="inlineStr">
        <is>
          <t>VÄSTERBOTTENS LÄN</t>
        </is>
      </c>
      <c r="E588" t="inlineStr">
        <is>
          <t>ÅSELE</t>
        </is>
      </c>
      <c r="G588" t="n">
        <v>1.1</v>
      </c>
      <c r="H588" t="n">
        <v>0</v>
      </c>
      <c r="I588" t="n">
        <v>0</v>
      </c>
      <c r="J588" t="n">
        <v>0</v>
      </c>
      <c r="K588" t="n">
        <v>0</v>
      </c>
      <c r="L588" t="n">
        <v>0</v>
      </c>
      <c r="M588" t="n">
        <v>0</v>
      </c>
      <c r="N588" t="n">
        <v>0</v>
      </c>
      <c r="O588" t="n">
        <v>0</v>
      </c>
      <c r="P588" t="n">
        <v>0</v>
      </c>
      <c r="Q588" t="n">
        <v>0</v>
      </c>
      <c r="R588" s="2" t="inlineStr"/>
    </row>
    <row r="589" ht="15" customHeight="1">
      <c r="A589" t="inlineStr">
        <is>
          <t>A 10860-2026</t>
        </is>
      </c>
      <c r="B589" s="1" t="n">
        <v>46078.66976851852</v>
      </c>
      <c r="C589" s="1" t="n">
        <v>46181</v>
      </c>
      <c r="D589" t="inlineStr">
        <is>
          <t>VÄSTERBOTTENS LÄN</t>
        </is>
      </c>
      <c r="E589" t="inlineStr">
        <is>
          <t>ÅSELE</t>
        </is>
      </c>
      <c r="G589" t="n">
        <v>4.5</v>
      </c>
      <c r="H589" t="n">
        <v>0</v>
      </c>
      <c r="I589" t="n">
        <v>0</v>
      </c>
      <c r="J589" t="n">
        <v>0</v>
      </c>
      <c r="K589" t="n">
        <v>0</v>
      </c>
      <c r="L589" t="n">
        <v>0</v>
      </c>
      <c r="M589" t="n">
        <v>0</v>
      </c>
      <c r="N589" t="n">
        <v>0</v>
      </c>
      <c r="O589" t="n">
        <v>0</v>
      </c>
      <c r="P589" t="n">
        <v>0</v>
      </c>
      <c r="Q589" t="n">
        <v>0</v>
      </c>
      <c r="R589" s="2" t="inlineStr"/>
    </row>
    <row r="590" ht="15" customHeight="1">
      <c r="A590" t="inlineStr">
        <is>
          <t>A 34684-2023</t>
        </is>
      </c>
      <c r="B590" s="1" t="n">
        <v>45140</v>
      </c>
      <c r="C590" s="1" t="n">
        <v>46181</v>
      </c>
      <c r="D590" t="inlineStr">
        <is>
          <t>VÄSTERBOTTENS LÄN</t>
        </is>
      </c>
      <c r="E590" t="inlineStr">
        <is>
          <t>ÅSELE</t>
        </is>
      </c>
      <c r="G590" t="n">
        <v>5.9</v>
      </c>
      <c r="H590" t="n">
        <v>0</v>
      </c>
      <c r="I590" t="n">
        <v>0</v>
      </c>
      <c r="J590" t="n">
        <v>0</v>
      </c>
      <c r="K590" t="n">
        <v>0</v>
      </c>
      <c r="L590" t="n">
        <v>0</v>
      </c>
      <c r="M590" t="n">
        <v>0</v>
      </c>
      <c r="N590" t="n">
        <v>0</v>
      </c>
      <c r="O590" t="n">
        <v>0</v>
      </c>
      <c r="P590" t="n">
        <v>0</v>
      </c>
      <c r="Q590" t="n">
        <v>0</v>
      </c>
      <c r="R590" s="2" t="inlineStr"/>
    </row>
    <row r="591" ht="15" customHeight="1">
      <c r="A591" t="inlineStr">
        <is>
          <t>A 10856-2026</t>
        </is>
      </c>
      <c r="B591" s="1" t="n">
        <v>46078.66052083333</v>
      </c>
      <c r="C591" s="1" t="n">
        <v>46181</v>
      </c>
      <c r="D591" t="inlineStr">
        <is>
          <t>VÄSTERBOTTENS LÄN</t>
        </is>
      </c>
      <c r="E591" t="inlineStr">
        <is>
          <t>ÅSELE</t>
        </is>
      </c>
      <c r="G591" t="n">
        <v>2.3</v>
      </c>
      <c r="H591" t="n">
        <v>0</v>
      </c>
      <c r="I591" t="n">
        <v>0</v>
      </c>
      <c r="J591" t="n">
        <v>0</v>
      </c>
      <c r="K591" t="n">
        <v>0</v>
      </c>
      <c r="L591" t="n">
        <v>0</v>
      </c>
      <c r="M591" t="n">
        <v>0</v>
      </c>
      <c r="N591" t="n">
        <v>0</v>
      </c>
      <c r="O591" t="n">
        <v>0</v>
      </c>
      <c r="P591" t="n">
        <v>0</v>
      </c>
      <c r="Q591" t="n">
        <v>0</v>
      </c>
      <c r="R591" s="2" t="inlineStr"/>
    </row>
    <row r="592" ht="15" customHeight="1">
      <c r="A592" t="inlineStr">
        <is>
          <t>A 10863-2026</t>
        </is>
      </c>
      <c r="B592" s="1" t="n">
        <v>46078.67704861111</v>
      </c>
      <c r="C592" s="1" t="n">
        <v>46181</v>
      </c>
      <c r="D592" t="inlineStr">
        <is>
          <t>VÄSTERBOTTENS LÄN</t>
        </is>
      </c>
      <c r="E592" t="inlineStr">
        <is>
          <t>ÅSELE</t>
        </is>
      </c>
      <c r="G592" t="n">
        <v>4.4</v>
      </c>
      <c r="H592" t="n">
        <v>0</v>
      </c>
      <c r="I592" t="n">
        <v>0</v>
      </c>
      <c r="J592" t="n">
        <v>0</v>
      </c>
      <c r="K592" t="n">
        <v>0</v>
      </c>
      <c r="L592" t="n">
        <v>0</v>
      </c>
      <c r="M592" t="n">
        <v>0</v>
      </c>
      <c r="N592" t="n">
        <v>0</v>
      </c>
      <c r="O592" t="n">
        <v>0</v>
      </c>
      <c r="P592" t="n">
        <v>0</v>
      </c>
      <c r="Q592" t="n">
        <v>0</v>
      </c>
      <c r="R592" s="2" t="inlineStr"/>
    </row>
    <row r="593" ht="15" customHeight="1">
      <c r="A593" t="inlineStr">
        <is>
          <t>A 53239-2025</t>
        </is>
      </c>
      <c r="B593" s="1" t="n">
        <v>45958.63582175926</v>
      </c>
      <c r="C593" s="1" t="n">
        <v>46181</v>
      </c>
      <c r="D593" t="inlineStr">
        <is>
          <t>VÄSTERBOTTENS LÄN</t>
        </is>
      </c>
      <c r="E593" t="inlineStr">
        <is>
          <t>ÅSELE</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10837-2026</t>
        </is>
      </c>
      <c r="B594" s="1" t="n">
        <v>46078.63130787037</v>
      </c>
      <c r="C594" s="1" t="n">
        <v>46181</v>
      </c>
      <c r="D594" t="inlineStr">
        <is>
          <t>VÄSTERBOTTENS LÄN</t>
        </is>
      </c>
      <c r="E594" t="inlineStr">
        <is>
          <t>ÅSELE</t>
        </is>
      </c>
      <c r="G594" t="n">
        <v>0.7</v>
      </c>
      <c r="H594" t="n">
        <v>0</v>
      </c>
      <c r="I594" t="n">
        <v>0</v>
      </c>
      <c r="J594" t="n">
        <v>0</v>
      </c>
      <c r="K594" t="n">
        <v>0</v>
      </c>
      <c r="L594" t="n">
        <v>0</v>
      </c>
      <c r="M594" t="n">
        <v>0</v>
      </c>
      <c r="N594" t="n">
        <v>0</v>
      </c>
      <c r="O594" t="n">
        <v>0</v>
      </c>
      <c r="P594" t="n">
        <v>0</v>
      </c>
      <c r="Q594" t="n">
        <v>0</v>
      </c>
      <c r="R594" s="2" t="inlineStr"/>
    </row>
    <row r="595" ht="15" customHeight="1">
      <c r="A595" t="inlineStr">
        <is>
          <t>A 53779-2025</t>
        </is>
      </c>
      <c r="B595" s="1" t="n">
        <v>45960.69875</v>
      </c>
      <c r="C595" s="1" t="n">
        <v>46181</v>
      </c>
      <c r="D595" t="inlineStr">
        <is>
          <t>VÄSTERBOTTENS LÄN</t>
        </is>
      </c>
      <c r="E595" t="inlineStr">
        <is>
          <t>ÅSELE</t>
        </is>
      </c>
      <c r="F595" t="inlineStr">
        <is>
          <t>Holmen skog AB</t>
        </is>
      </c>
      <c r="G595" t="n">
        <v>25.8</v>
      </c>
      <c r="H595" t="n">
        <v>0</v>
      </c>
      <c r="I595" t="n">
        <v>0</v>
      </c>
      <c r="J595" t="n">
        <v>0</v>
      </c>
      <c r="K595" t="n">
        <v>0</v>
      </c>
      <c r="L595" t="n">
        <v>0</v>
      </c>
      <c r="M595" t="n">
        <v>0</v>
      </c>
      <c r="N595" t="n">
        <v>0</v>
      </c>
      <c r="O595" t="n">
        <v>0</v>
      </c>
      <c r="P595" t="n">
        <v>0</v>
      </c>
      <c r="Q595" t="n">
        <v>0</v>
      </c>
      <c r="R595" s="2" t="inlineStr"/>
    </row>
    <row r="596" ht="15" customHeight="1">
      <c r="A596" t="inlineStr">
        <is>
          <t>A 28724-2023</t>
        </is>
      </c>
      <c r="B596" s="1" t="n">
        <v>45103</v>
      </c>
      <c r="C596" s="1" t="n">
        <v>46181</v>
      </c>
      <c r="D596" t="inlineStr">
        <is>
          <t>VÄSTERBOTTENS LÄN</t>
        </is>
      </c>
      <c r="E596" t="inlineStr">
        <is>
          <t>ÅSELE</t>
        </is>
      </c>
      <c r="F596" t="inlineStr">
        <is>
          <t>Sveaskog</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41409-2023</t>
        </is>
      </c>
      <c r="B597" s="1" t="n">
        <v>45174.93927083333</v>
      </c>
      <c r="C597" s="1" t="n">
        <v>46181</v>
      </c>
      <c r="D597" t="inlineStr">
        <is>
          <t>VÄSTERBOTTENS LÄN</t>
        </is>
      </c>
      <c r="E597" t="inlineStr">
        <is>
          <t>ÅSELE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20384-2025</t>
        </is>
      </c>
      <c r="B598" s="1" t="n">
        <v>45775.44128472222</v>
      </c>
      <c r="C598" s="1" t="n">
        <v>46181</v>
      </c>
      <c r="D598" t="inlineStr">
        <is>
          <t>VÄSTERBOTTENS LÄN</t>
        </is>
      </c>
      <c r="E598" t="inlineStr">
        <is>
          <t>ÅSELE</t>
        </is>
      </c>
      <c r="G598" t="n">
        <v>12.6</v>
      </c>
      <c r="H598" t="n">
        <v>0</v>
      </c>
      <c r="I598" t="n">
        <v>0</v>
      </c>
      <c r="J598" t="n">
        <v>0</v>
      </c>
      <c r="K598" t="n">
        <v>0</v>
      </c>
      <c r="L598" t="n">
        <v>0</v>
      </c>
      <c r="M598" t="n">
        <v>0</v>
      </c>
      <c r="N598" t="n">
        <v>0</v>
      </c>
      <c r="O598" t="n">
        <v>0</v>
      </c>
      <c r="P598" t="n">
        <v>0</v>
      </c>
      <c r="Q598" t="n">
        <v>0</v>
      </c>
      <c r="R598" s="2" t="inlineStr"/>
    </row>
    <row r="599" ht="15" customHeight="1">
      <c r="A599" t="inlineStr">
        <is>
          <t>A 54846-2025</t>
        </is>
      </c>
      <c r="B599" s="1" t="n">
        <v>45966.70601851852</v>
      </c>
      <c r="C599" s="1" t="n">
        <v>46181</v>
      </c>
      <c r="D599" t="inlineStr">
        <is>
          <t>VÄSTERBOTTENS LÄN</t>
        </is>
      </c>
      <c r="E599" t="inlineStr">
        <is>
          <t>ÅSELE</t>
        </is>
      </c>
      <c r="F599" t="inlineStr">
        <is>
          <t>Sveaskog</t>
        </is>
      </c>
      <c r="G599" t="n">
        <v>21.9</v>
      </c>
      <c r="H599" t="n">
        <v>0</v>
      </c>
      <c r="I599" t="n">
        <v>0</v>
      </c>
      <c r="J599" t="n">
        <v>0</v>
      </c>
      <c r="K599" t="n">
        <v>0</v>
      </c>
      <c r="L599" t="n">
        <v>0</v>
      </c>
      <c r="M599" t="n">
        <v>0</v>
      </c>
      <c r="N599" t="n">
        <v>0</v>
      </c>
      <c r="O599" t="n">
        <v>0</v>
      </c>
      <c r="P599" t="n">
        <v>0</v>
      </c>
      <c r="Q599" t="n">
        <v>0</v>
      </c>
      <c r="R599" s="2" t="inlineStr"/>
    </row>
    <row r="600" ht="15" customHeight="1">
      <c r="A600" t="inlineStr">
        <is>
          <t>A 54849-2025</t>
        </is>
      </c>
      <c r="B600" s="1" t="n">
        <v>45966.71070601852</v>
      </c>
      <c r="C600" s="1" t="n">
        <v>46181</v>
      </c>
      <c r="D600" t="inlineStr">
        <is>
          <t>VÄSTERBOTTENS LÄN</t>
        </is>
      </c>
      <c r="E600" t="inlineStr">
        <is>
          <t>ÅSELE</t>
        </is>
      </c>
      <c r="F600" t="inlineStr">
        <is>
          <t>Sveaskog</t>
        </is>
      </c>
      <c r="G600" t="n">
        <v>19.3</v>
      </c>
      <c r="H600" t="n">
        <v>0</v>
      </c>
      <c r="I600" t="n">
        <v>0</v>
      </c>
      <c r="J600" t="n">
        <v>0</v>
      </c>
      <c r="K600" t="n">
        <v>0</v>
      </c>
      <c r="L600" t="n">
        <v>0</v>
      </c>
      <c r="M600" t="n">
        <v>0</v>
      </c>
      <c r="N600" t="n">
        <v>0</v>
      </c>
      <c r="O600" t="n">
        <v>0</v>
      </c>
      <c r="P600" t="n">
        <v>0</v>
      </c>
      <c r="Q600" t="n">
        <v>0</v>
      </c>
      <c r="R600" s="2" t="inlineStr"/>
    </row>
    <row r="601" ht="15" customHeight="1">
      <c r="A601" t="inlineStr">
        <is>
          <t>A 54853-2025</t>
        </is>
      </c>
      <c r="B601" s="1" t="n">
        <v>45966.72503472222</v>
      </c>
      <c r="C601" s="1" t="n">
        <v>46181</v>
      </c>
      <c r="D601" t="inlineStr">
        <is>
          <t>VÄSTERBOTTENS LÄN</t>
        </is>
      </c>
      <c r="E601" t="inlineStr">
        <is>
          <t>ÅSELE</t>
        </is>
      </c>
      <c r="F601" t="inlineStr">
        <is>
          <t>Sveaskog</t>
        </is>
      </c>
      <c r="G601" t="n">
        <v>29.3</v>
      </c>
      <c r="H601" t="n">
        <v>0</v>
      </c>
      <c r="I601" t="n">
        <v>0</v>
      </c>
      <c r="J601" t="n">
        <v>0</v>
      </c>
      <c r="K601" t="n">
        <v>0</v>
      </c>
      <c r="L601" t="n">
        <v>0</v>
      </c>
      <c r="M601" t="n">
        <v>0</v>
      </c>
      <c r="N601" t="n">
        <v>0</v>
      </c>
      <c r="O601" t="n">
        <v>0</v>
      </c>
      <c r="P601" t="n">
        <v>0</v>
      </c>
      <c r="Q601" t="n">
        <v>0</v>
      </c>
      <c r="R601" s="2" t="inlineStr"/>
    </row>
    <row r="602" ht="15" customHeight="1">
      <c r="A602" t="inlineStr">
        <is>
          <t>A 54811-2025</t>
        </is>
      </c>
      <c r="B602" s="1" t="n">
        <v>45966.64833333333</v>
      </c>
      <c r="C602" s="1" t="n">
        <v>46181</v>
      </c>
      <c r="D602" t="inlineStr">
        <is>
          <t>VÄSTERBOTTENS LÄN</t>
        </is>
      </c>
      <c r="E602" t="inlineStr">
        <is>
          <t>ÅSELE</t>
        </is>
      </c>
      <c r="F602" t="inlineStr">
        <is>
          <t>Kommuner</t>
        </is>
      </c>
      <c r="G602" t="n">
        <v>13.7</v>
      </c>
      <c r="H602" t="n">
        <v>0</v>
      </c>
      <c r="I602" t="n">
        <v>0</v>
      </c>
      <c r="J602" t="n">
        <v>0</v>
      </c>
      <c r="K602" t="n">
        <v>0</v>
      </c>
      <c r="L602" t="n">
        <v>0</v>
      </c>
      <c r="M602" t="n">
        <v>0</v>
      </c>
      <c r="N602" t="n">
        <v>0</v>
      </c>
      <c r="O602" t="n">
        <v>0</v>
      </c>
      <c r="P602" t="n">
        <v>0</v>
      </c>
      <c r="Q602" t="n">
        <v>0</v>
      </c>
      <c r="R602" s="2" t="inlineStr"/>
    </row>
    <row r="603" ht="15" customHeight="1">
      <c r="A603" t="inlineStr">
        <is>
          <t>A 54832-2025</t>
        </is>
      </c>
      <c r="B603" s="1" t="n">
        <v>45966.67761574074</v>
      </c>
      <c r="C603" s="1" t="n">
        <v>46181</v>
      </c>
      <c r="D603" t="inlineStr">
        <is>
          <t>VÄSTERBOTTENS LÄN</t>
        </is>
      </c>
      <c r="E603" t="inlineStr">
        <is>
          <t>ÅSELE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15777-2025</t>
        </is>
      </c>
      <c r="B604" s="1" t="n">
        <v>45748</v>
      </c>
      <c r="C604" s="1" t="n">
        <v>46181</v>
      </c>
      <c r="D604" t="inlineStr">
        <is>
          <t>VÄSTERBOTTENS LÄN</t>
        </is>
      </c>
      <c r="E604" t="inlineStr">
        <is>
          <t>ÅSELE</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11534-2026</t>
        </is>
      </c>
      <c r="B605" s="1" t="n">
        <v>46083</v>
      </c>
      <c r="C605" s="1" t="n">
        <v>46181</v>
      </c>
      <c r="D605" t="inlineStr">
        <is>
          <t>VÄSTERBOTTENS LÄN</t>
        </is>
      </c>
      <c r="E605" t="inlineStr">
        <is>
          <t>ÅSELE</t>
        </is>
      </c>
      <c r="G605" t="n">
        <v>14.2</v>
      </c>
      <c r="H605" t="n">
        <v>0</v>
      </c>
      <c r="I605" t="n">
        <v>0</v>
      </c>
      <c r="J605" t="n">
        <v>0</v>
      </c>
      <c r="K605" t="n">
        <v>0</v>
      </c>
      <c r="L605" t="n">
        <v>0</v>
      </c>
      <c r="M605" t="n">
        <v>0</v>
      </c>
      <c r="N605" t="n">
        <v>0</v>
      </c>
      <c r="O605" t="n">
        <v>0</v>
      </c>
      <c r="P605" t="n">
        <v>0</v>
      </c>
      <c r="Q605" t="n">
        <v>0</v>
      </c>
      <c r="R605" s="2" t="inlineStr"/>
    </row>
    <row r="606" ht="15" customHeight="1">
      <c r="A606" t="inlineStr">
        <is>
          <t>A 29599-2024</t>
        </is>
      </c>
      <c r="B606" s="1" t="n">
        <v>45484.59297453704</v>
      </c>
      <c r="C606" s="1" t="n">
        <v>46181</v>
      </c>
      <c r="D606" t="inlineStr">
        <is>
          <t>VÄSTERBOTTENS LÄN</t>
        </is>
      </c>
      <c r="E606" t="inlineStr">
        <is>
          <t>ÅSELE</t>
        </is>
      </c>
      <c r="F606" t="inlineStr">
        <is>
          <t>Sveaskog</t>
        </is>
      </c>
      <c r="G606" t="n">
        <v>5.7</v>
      </c>
      <c r="H606" t="n">
        <v>0</v>
      </c>
      <c r="I606" t="n">
        <v>0</v>
      </c>
      <c r="J606" t="n">
        <v>0</v>
      </c>
      <c r="K606" t="n">
        <v>0</v>
      </c>
      <c r="L606" t="n">
        <v>0</v>
      </c>
      <c r="M606" t="n">
        <v>0</v>
      </c>
      <c r="N606" t="n">
        <v>0</v>
      </c>
      <c r="O606" t="n">
        <v>0</v>
      </c>
      <c r="P606" t="n">
        <v>0</v>
      </c>
      <c r="Q606" t="n">
        <v>0</v>
      </c>
      <c r="R606" s="2" t="inlineStr"/>
    </row>
    <row r="607" ht="15" customHeight="1">
      <c r="A607" t="inlineStr">
        <is>
          <t>A 11886-2026</t>
        </is>
      </c>
      <c r="B607" s="1" t="n">
        <v>46085.51328703704</v>
      </c>
      <c r="C607" s="1" t="n">
        <v>46181</v>
      </c>
      <c r="D607" t="inlineStr">
        <is>
          <t>VÄSTERBOTTENS LÄN</t>
        </is>
      </c>
      <c r="E607" t="inlineStr">
        <is>
          <t>ÅSELE</t>
        </is>
      </c>
      <c r="G607" t="n">
        <v>15.4</v>
      </c>
      <c r="H607" t="n">
        <v>0</v>
      </c>
      <c r="I607" t="n">
        <v>0</v>
      </c>
      <c r="J607" t="n">
        <v>0</v>
      </c>
      <c r="K607" t="n">
        <v>0</v>
      </c>
      <c r="L607" t="n">
        <v>0</v>
      </c>
      <c r="M607" t="n">
        <v>0</v>
      </c>
      <c r="N607" t="n">
        <v>0</v>
      </c>
      <c r="O607" t="n">
        <v>0</v>
      </c>
      <c r="P607" t="n">
        <v>0</v>
      </c>
      <c r="Q607" t="n">
        <v>0</v>
      </c>
      <c r="R607" s="2" t="inlineStr"/>
    </row>
    <row r="608" ht="15" customHeight="1">
      <c r="A608" t="inlineStr">
        <is>
          <t>A 2894-2025</t>
        </is>
      </c>
      <c r="B608" s="1" t="n">
        <v>45677</v>
      </c>
      <c r="C608" s="1" t="n">
        <v>46181</v>
      </c>
      <c r="D608" t="inlineStr">
        <is>
          <t>VÄSTERBOTTENS LÄN</t>
        </is>
      </c>
      <c r="E608" t="inlineStr">
        <is>
          <t>ÅSELE</t>
        </is>
      </c>
      <c r="G608" t="n">
        <v>1.5</v>
      </c>
      <c r="H608" t="n">
        <v>0</v>
      </c>
      <c r="I608" t="n">
        <v>0</v>
      </c>
      <c r="J608" t="n">
        <v>0</v>
      </c>
      <c r="K608" t="n">
        <v>0</v>
      </c>
      <c r="L608" t="n">
        <v>0</v>
      </c>
      <c r="M608" t="n">
        <v>0</v>
      </c>
      <c r="N608" t="n">
        <v>0</v>
      </c>
      <c r="O608" t="n">
        <v>0</v>
      </c>
      <c r="P608" t="n">
        <v>0</v>
      </c>
      <c r="Q608" t="n">
        <v>0</v>
      </c>
      <c r="R608" s="2" t="inlineStr"/>
    </row>
    <row r="609" ht="15" customHeight="1">
      <c r="A609" t="inlineStr">
        <is>
          <t>A 52280-2023</t>
        </is>
      </c>
      <c r="B609" s="1" t="n">
        <v>45224.57511574074</v>
      </c>
      <c r="C609" s="1" t="n">
        <v>46181</v>
      </c>
      <c r="D609" t="inlineStr">
        <is>
          <t>VÄSTERBOTTENS LÄN</t>
        </is>
      </c>
      <c r="E609" t="inlineStr">
        <is>
          <t>ÅSELE</t>
        </is>
      </c>
      <c r="F609" t="inlineStr">
        <is>
          <t>Holmen skog AB</t>
        </is>
      </c>
      <c r="G609" t="n">
        <v>15.4</v>
      </c>
      <c r="H609" t="n">
        <v>0</v>
      </c>
      <c r="I609" t="n">
        <v>0</v>
      </c>
      <c r="J609" t="n">
        <v>0</v>
      </c>
      <c r="K609" t="n">
        <v>0</v>
      </c>
      <c r="L609" t="n">
        <v>0</v>
      </c>
      <c r="M609" t="n">
        <v>0</v>
      </c>
      <c r="N609" t="n">
        <v>0</v>
      </c>
      <c r="O609" t="n">
        <v>0</v>
      </c>
      <c r="P609" t="n">
        <v>0</v>
      </c>
      <c r="Q609" t="n">
        <v>0</v>
      </c>
      <c r="R609" s="2" t="inlineStr"/>
    </row>
    <row r="610" ht="15" customHeight="1">
      <c r="A610" t="inlineStr">
        <is>
          <t>A 55054-2025</t>
        </is>
      </c>
      <c r="B610" s="1" t="n">
        <v>45967.67780092593</v>
      </c>
      <c r="C610" s="1" t="n">
        <v>46181</v>
      </c>
      <c r="D610" t="inlineStr">
        <is>
          <t>VÄSTERBOTTENS LÄN</t>
        </is>
      </c>
      <c r="E610" t="inlineStr">
        <is>
          <t>ÅSELE</t>
        </is>
      </c>
      <c r="F610" t="inlineStr">
        <is>
          <t>SCA</t>
        </is>
      </c>
      <c r="G610" t="n">
        <v>13.3</v>
      </c>
      <c r="H610" t="n">
        <v>0</v>
      </c>
      <c r="I610" t="n">
        <v>0</v>
      </c>
      <c r="J610" t="n">
        <v>0</v>
      </c>
      <c r="K610" t="n">
        <v>0</v>
      </c>
      <c r="L610" t="n">
        <v>0</v>
      </c>
      <c r="M610" t="n">
        <v>0</v>
      </c>
      <c r="N610" t="n">
        <v>0</v>
      </c>
      <c r="O610" t="n">
        <v>0</v>
      </c>
      <c r="P610" t="n">
        <v>0</v>
      </c>
      <c r="Q610" t="n">
        <v>0</v>
      </c>
      <c r="R610" s="2" t="inlineStr"/>
    </row>
    <row r="611" ht="15" customHeight="1">
      <c r="A611" t="inlineStr">
        <is>
          <t>A 55169-2025</t>
        </is>
      </c>
      <c r="B611" s="1" t="n">
        <v>45968.49219907408</v>
      </c>
      <c r="C611" s="1" t="n">
        <v>46181</v>
      </c>
      <c r="D611" t="inlineStr">
        <is>
          <t>VÄSTERBOTTENS LÄN</t>
        </is>
      </c>
      <c r="E611" t="inlineStr">
        <is>
          <t>ÅSELE</t>
        </is>
      </c>
      <c r="F611" t="inlineStr">
        <is>
          <t>Naturvårdsverket</t>
        </is>
      </c>
      <c r="G611" t="n">
        <v>1.2</v>
      </c>
      <c r="H611" t="n">
        <v>0</v>
      </c>
      <c r="I611" t="n">
        <v>0</v>
      </c>
      <c r="J611" t="n">
        <v>0</v>
      </c>
      <c r="K611" t="n">
        <v>0</v>
      </c>
      <c r="L611" t="n">
        <v>0</v>
      </c>
      <c r="M611" t="n">
        <v>0</v>
      </c>
      <c r="N611" t="n">
        <v>0</v>
      </c>
      <c r="O611" t="n">
        <v>0</v>
      </c>
      <c r="P611" t="n">
        <v>0</v>
      </c>
      <c r="Q611" t="n">
        <v>0</v>
      </c>
      <c r="R611" s="2" t="inlineStr"/>
    </row>
    <row r="612" ht="15" customHeight="1">
      <c r="A612" t="inlineStr">
        <is>
          <t>A 11690-2026</t>
        </is>
      </c>
      <c r="B612" s="1" t="n">
        <v>46084.59228009259</v>
      </c>
      <c r="C612" s="1" t="n">
        <v>46181</v>
      </c>
      <c r="D612" t="inlineStr">
        <is>
          <t>VÄSTERBOTTENS LÄN</t>
        </is>
      </c>
      <c r="E612" t="inlineStr">
        <is>
          <t>ÅSELE</t>
        </is>
      </c>
      <c r="G612" t="n">
        <v>0.7</v>
      </c>
      <c r="H612" t="n">
        <v>0</v>
      </c>
      <c r="I612" t="n">
        <v>0</v>
      </c>
      <c r="J612" t="n">
        <v>0</v>
      </c>
      <c r="K612" t="n">
        <v>0</v>
      </c>
      <c r="L612" t="n">
        <v>0</v>
      </c>
      <c r="M612" t="n">
        <v>0</v>
      </c>
      <c r="N612" t="n">
        <v>0</v>
      </c>
      <c r="O612" t="n">
        <v>0</v>
      </c>
      <c r="P612" t="n">
        <v>0</v>
      </c>
      <c r="Q612" t="n">
        <v>0</v>
      </c>
      <c r="R612" s="2" t="inlineStr"/>
    </row>
    <row r="613" ht="15" customHeight="1">
      <c r="A613" t="inlineStr">
        <is>
          <t>A 54977-2025</t>
        </is>
      </c>
      <c r="B613" s="1" t="n">
        <v>45967.51125</v>
      </c>
      <c r="C613" s="1" t="n">
        <v>46181</v>
      </c>
      <c r="D613" t="inlineStr">
        <is>
          <t>VÄSTERBOTTENS LÄN</t>
        </is>
      </c>
      <c r="E613" t="inlineStr">
        <is>
          <t>ÅSELE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55161-2025</t>
        </is>
      </c>
      <c r="B614" s="1" t="n">
        <v>45968.47324074074</v>
      </c>
      <c r="C614" s="1" t="n">
        <v>46181</v>
      </c>
      <c r="D614" t="inlineStr">
        <is>
          <t>VÄSTERBOTTENS LÄN</t>
        </is>
      </c>
      <c r="E614" t="inlineStr">
        <is>
          <t>ÅSELE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20304-2025</t>
        </is>
      </c>
      <c r="B615" s="1" t="n">
        <v>45774</v>
      </c>
      <c r="C615" s="1" t="n">
        <v>46181</v>
      </c>
      <c r="D615" t="inlineStr">
        <is>
          <t>VÄSTERBOTTENS LÄN</t>
        </is>
      </c>
      <c r="E615" t="inlineStr">
        <is>
          <t>ÅSELE</t>
        </is>
      </c>
      <c r="G615" t="n">
        <v>2.2</v>
      </c>
      <c r="H615" t="n">
        <v>0</v>
      </c>
      <c r="I615" t="n">
        <v>0</v>
      </c>
      <c r="J615" t="n">
        <v>0</v>
      </c>
      <c r="K615" t="n">
        <v>0</v>
      </c>
      <c r="L615" t="n">
        <v>0</v>
      </c>
      <c r="M615" t="n">
        <v>0</v>
      </c>
      <c r="N615" t="n">
        <v>0</v>
      </c>
      <c r="O615" t="n">
        <v>0</v>
      </c>
      <c r="P615" t="n">
        <v>0</v>
      </c>
      <c r="Q615" t="n">
        <v>0</v>
      </c>
      <c r="R615" s="2" t="inlineStr"/>
    </row>
    <row r="616" ht="15" customHeight="1">
      <c r="A616" t="inlineStr">
        <is>
          <t>A 55566-2025</t>
        </is>
      </c>
      <c r="B616" s="1" t="n">
        <v>45971.65574074074</v>
      </c>
      <c r="C616" s="1" t="n">
        <v>46181</v>
      </c>
      <c r="D616" t="inlineStr">
        <is>
          <t>VÄSTERBOTTENS LÄN</t>
        </is>
      </c>
      <c r="E616" t="inlineStr">
        <is>
          <t>ÅSELE</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33219-2021</t>
        </is>
      </c>
      <c r="B617" s="1" t="n">
        <v>44376.93453703704</v>
      </c>
      <c r="C617" s="1" t="n">
        <v>46181</v>
      </c>
      <c r="D617" t="inlineStr">
        <is>
          <t>VÄSTERBOTTENS LÄN</t>
        </is>
      </c>
      <c r="E617" t="inlineStr">
        <is>
          <t>ÅSELE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55342-2025</t>
        </is>
      </c>
      <c r="B618" s="1" t="n">
        <v>45971.34835648148</v>
      </c>
      <c r="C618" s="1" t="n">
        <v>46181</v>
      </c>
      <c r="D618" t="inlineStr">
        <is>
          <t>VÄSTERBOTTENS LÄN</t>
        </is>
      </c>
      <c r="E618" t="inlineStr">
        <is>
          <t>ÅSELE</t>
        </is>
      </c>
      <c r="F618" t="inlineStr">
        <is>
          <t>Holmen skog AB</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55817-2025</t>
        </is>
      </c>
      <c r="B619" s="1" t="n">
        <v>45972.69997685185</v>
      </c>
      <c r="C619" s="1" t="n">
        <v>46181</v>
      </c>
      <c r="D619" t="inlineStr">
        <is>
          <t>VÄSTERBOTTENS LÄN</t>
        </is>
      </c>
      <c r="E619" t="inlineStr">
        <is>
          <t>ÅSELE</t>
        </is>
      </c>
      <c r="F619" t="inlineStr">
        <is>
          <t>Holmen skog AB</t>
        </is>
      </c>
      <c r="G619" t="n">
        <v>12.1</v>
      </c>
      <c r="H619" t="n">
        <v>0</v>
      </c>
      <c r="I619" t="n">
        <v>0</v>
      </c>
      <c r="J619" t="n">
        <v>0</v>
      </c>
      <c r="K619" t="n">
        <v>0</v>
      </c>
      <c r="L619" t="n">
        <v>0</v>
      </c>
      <c r="M619" t="n">
        <v>0</v>
      </c>
      <c r="N619" t="n">
        <v>0</v>
      </c>
      <c r="O619" t="n">
        <v>0</v>
      </c>
      <c r="P619" t="n">
        <v>0</v>
      </c>
      <c r="Q619" t="n">
        <v>0</v>
      </c>
      <c r="R619" s="2" t="inlineStr"/>
    </row>
    <row r="620" ht="15" customHeight="1">
      <c r="A620" t="inlineStr">
        <is>
          <t>A 26677-2023</t>
        </is>
      </c>
      <c r="B620" s="1" t="n">
        <v>45093.31925925926</v>
      </c>
      <c r="C620" s="1" t="n">
        <v>46181</v>
      </c>
      <c r="D620" t="inlineStr">
        <is>
          <t>VÄSTERBOTTENS LÄN</t>
        </is>
      </c>
      <c r="E620" t="inlineStr">
        <is>
          <t>ÅSELE</t>
        </is>
      </c>
      <c r="F620" t="inlineStr">
        <is>
          <t>Sveaskog</t>
        </is>
      </c>
      <c r="G620" t="n">
        <v>3.3</v>
      </c>
      <c r="H620" t="n">
        <v>0</v>
      </c>
      <c r="I620" t="n">
        <v>0</v>
      </c>
      <c r="J620" t="n">
        <v>0</v>
      </c>
      <c r="K620" t="n">
        <v>0</v>
      </c>
      <c r="L620" t="n">
        <v>0</v>
      </c>
      <c r="M620" t="n">
        <v>0</v>
      </c>
      <c r="N620" t="n">
        <v>0</v>
      </c>
      <c r="O620" t="n">
        <v>0</v>
      </c>
      <c r="P620" t="n">
        <v>0</v>
      </c>
      <c r="Q620" t="n">
        <v>0</v>
      </c>
      <c r="R620" s="2" t="inlineStr"/>
    </row>
    <row r="621" ht="15" customHeight="1">
      <c r="A621" t="inlineStr">
        <is>
          <t>A 56291-2025</t>
        </is>
      </c>
      <c r="B621" s="1" t="n">
        <v>45974.5987037037</v>
      </c>
      <c r="C621" s="1" t="n">
        <v>46181</v>
      </c>
      <c r="D621" t="inlineStr">
        <is>
          <t>VÄSTERBOTTENS LÄN</t>
        </is>
      </c>
      <c r="E621" t="inlineStr">
        <is>
          <t>ÅSELE</t>
        </is>
      </c>
      <c r="G621" t="n">
        <v>5.3</v>
      </c>
      <c r="H621" t="n">
        <v>0</v>
      </c>
      <c r="I621" t="n">
        <v>0</v>
      </c>
      <c r="J621" t="n">
        <v>0</v>
      </c>
      <c r="K621" t="n">
        <v>0</v>
      </c>
      <c r="L621" t="n">
        <v>0</v>
      </c>
      <c r="M621" t="n">
        <v>0</v>
      </c>
      <c r="N621" t="n">
        <v>0</v>
      </c>
      <c r="O621" t="n">
        <v>0</v>
      </c>
      <c r="P621" t="n">
        <v>0</v>
      </c>
      <c r="Q621" t="n">
        <v>0</v>
      </c>
      <c r="R621" s="2" t="inlineStr"/>
    </row>
    <row r="622" ht="15" customHeight="1">
      <c r="A622" t="inlineStr">
        <is>
          <t>A 56018-2025</t>
        </is>
      </c>
      <c r="B622" s="1" t="n">
        <v>45973.59322916667</v>
      </c>
      <c r="C622" s="1" t="n">
        <v>46181</v>
      </c>
      <c r="D622" t="inlineStr">
        <is>
          <t>VÄSTERBOTTENS LÄN</t>
        </is>
      </c>
      <c r="E622" t="inlineStr">
        <is>
          <t>ÅSELE</t>
        </is>
      </c>
      <c r="F622" t="inlineStr">
        <is>
          <t>Holmen skog AB</t>
        </is>
      </c>
      <c r="G622" t="n">
        <v>8.6</v>
      </c>
      <c r="H622" t="n">
        <v>0</v>
      </c>
      <c r="I622" t="n">
        <v>0</v>
      </c>
      <c r="J622" t="n">
        <v>0</v>
      </c>
      <c r="K622" t="n">
        <v>0</v>
      </c>
      <c r="L622" t="n">
        <v>0</v>
      </c>
      <c r="M622" t="n">
        <v>0</v>
      </c>
      <c r="N622" t="n">
        <v>0</v>
      </c>
      <c r="O622" t="n">
        <v>0</v>
      </c>
      <c r="P622" t="n">
        <v>0</v>
      </c>
      <c r="Q622" t="n">
        <v>0</v>
      </c>
      <c r="R622" s="2" t="inlineStr"/>
    </row>
    <row r="623" ht="15" customHeight="1">
      <c r="A623" t="inlineStr">
        <is>
          <t>A 12088-2026</t>
        </is>
      </c>
      <c r="B623" s="1" t="n">
        <v>46086.46201388889</v>
      </c>
      <c r="C623" s="1" t="n">
        <v>46181</v>
      </c>
      <c r="D623" t="inlineStr">
        <is>
          <t>VÄSTERBOTTENS LÄN</t>
        </is>
      </c>
      <c r="E623" t="inlineStr">
        <is>
          <t>ÅSELE</t>
        </is>
      </c>
      <c r="G623" t="n">
        <v>2.7</v>
      </c>
      <c r="H623" t="n">
        <v>0</v>
      </c>
      <c r="I623" t="n">
        <v>0</v>
      </c>
      <c r="J623" t="n">
        <v>0</v>
      </c>
      <c r="K623" t="n">
        <v>0</v>
      </c>
      <c r="L623" t="n">
        <v>0</v>
      </c>
      <c r="M623" t="n">
        <v>0</v>
      </c>
      <c r="N623" t="n">
        <v>0</v>
      </c>
      <c r="O623" t="n">
        <v>0</v>
      </c>
      <c r="P623" t="n">
        <v>0</v>
      </c>
      <c r="Q623" t="n">
        <v>0</v>
      </c>
      <c r="R623" s="2" t="inlineStr"/>
    </row>
    <row r="624" ht="15" customHeight="1">
      <c r="A624" t="inlineStr">
        <is>
          <t>A 17805-2025</t>
        </is>
      </c>
      <c r="B624" s="1" t="n">
        <v>45758.5525462963</v>
      </c>
      <c r="C624" s="1" t="n">
        <v>46181</v>
      </c>
      <c r="D624" t="inlineStr">
        <is>
          <t>VÄSTERBOTTENS LÄN</t>
        </is>
      </c>
      <c r="E624" t="inlineStr">
        <is>
          <t>ÅSELE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12418-2026</t>
        </is>
      </c>
      <c r="B625" s="1" t="n">
        <v>46090</v>
      </c>
      <c r="C625" s="1" t="n">
        <v>46181</v>
      </c>
      <c r="D625" t="inlineStr">
        <is>
          <t>VÄSTERBOTTENS LÄN</t>
        </is>
      </c>
      <c r="E625" t="inlineStr">
        <is>
          <t>ÅSELE</t>
        </is>
      </c>
      <c r="G625" t="n">
        <v>1.3</v>
      </c>
      <c r="H625" t="n">
        <v>0</v>
      </c>
      <c r="I625" t="n">
        <v>0</v>
      </c>
      <c r="J625" t="n">
        <v>0</v>
      </c>
      <c r="K625" t="n">
        <v>0</v>
      </c>
      <c r="L625" t="n">
        <v>0</v>
      </c>
      <c r="M625" t="n">
        <v>0</v>
      </c>
      <c r="N625" t="n">
        <v>0</v>
      </c>
      <c r="O625" t="n">
        <v>0</v>
      </c>
      <c r="P625" t="n">
        <v>0</v>
      </c>
      <c r="Q625" t="n">
        <v>0</v>
      </c>
      <c r="R625" s="2" t="inlineStr"/>
    </row>
    <row r="626" ht="15" customHeight="1">
      <c r="A626" t="inlineStr">
        <is>
          <t>A 19572-2025</t>
        </is>
      </c>
      <c r="B626" s="1" t="n">
        <v>45770.55261574074</v>
      </c>
      <c r="C626" s="1" t="n">
        <v>46181</v>
      </c>
      <c r="D626" t="inlineStr">
        <is>
          <t>VÄSTERBOTTENS LÄN</t>
        </is>
      </c>
      <c r="E626" t="inlineStr">
        <is>
          <t>ÅSELE</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6326-2025</t>
        </is>
      </c>
      <c r="B627" s="1" t="n">
        <v>45698.85268518519</v>
      </c>
      <c r="C627" s="1" t="n">
        <v>46181</v>
      </c>
      <c r="D627" t="inlineStr">
        <is>
          <t>VÄSTERBOTTENS LÄN</t>
        </is>
      </c>
      <c r="E627" t="inlineStr">
        <is>
          <t>ÅSELE</t>
        </is>
      </c>
      <c r="G627" t="n">
        <v>4.4</v>
      </c>
      <c r="H627" t="n">
        <v>0</v>
      </c>
      <c r="I627" t="n">
        <v>0</v>
      </c>
      <c r="J627" t="n">
        <v>0</v>
      </c>
      <c r="K627" t="n">
        <v>0</v>
      </c>
      <c r="L627" t="n">
        <v>0</v>
      </c>
      <c r="M627" t="n">
        <v>0</v>
      </c>
      <c r="N627" t="n">
        <v>0</v>
      </c>
      <c r="O627" t="n">
        <v>0</v>
      </c>
      <c r="P627" t="n">
        <v>0</v>
      </c>
      <c r="Q627" t="n">
        <v>0</v>
      </c>
      <c r="R627" s="2" t="inlineStr"/>
    </row>
    <row r="628" ht="15" customHeight="1">
      <c r="A628" t="inlineStr">
        <is>
          <t>A 56551-2025</t>
        </is>
      </c>
      <c r="B628" s="1" t="n">
        <v>45975.48168981481</v>
      </c>
      <c r="C628" s="1" t="n">
        <v>46181</v>
      </c>
      <c r="D628" t="inlineStr">
        <is>
          <t>VÄSTERBOTTENS LÄN</t>
        </is>
      </c>
      <c r="E628" t="inlineStr">
        <is>
          <t>ÅSELE</t>
        </is>
      </c>
      <c r="G628" t="n">
        <v>4.3</v>
      </c>
      <c r="H628" t="n">
        <v>0</v>
      </c>
      <c r="I628" t="n">
        <v>0</v>
      </c>
      <c r="J628" t="n">
        <v>0</v>
      </c>
      <c r="K628" t="n">
        <v>0</v>
      </c>
      <c r="L628" t="n">
        <v>0</v>
      </c>
      <c r="M628" t="n">
        <v>0</v>
      </c>
      <c r="N628" t="n">
        <v>0</v>
      </c>
      <c r="O628" t="n">
        <v>0</v>
      </c>
      <c r="P628" t="n">
        <v>0</v>
      </c>
      <c r="Q628" t="n">
        <v>0</v>
      </c>
      <c r="R628" s="2" t="inlineStr"/>
    </row>
    <row r="629" ht="15" customHeight="1">
      <c r="A629" t="inlineStr">
        <is>
          <t>A 56974-2025</t>
        </is>
      </c>
      <c r="B629" s="1" t="n">
        <v>45978.68910879629</v>
      </c>
      <c r="C629" s="1" t="n">
        <v>46181</v>
      </c>
      <c r="D629" t="inlineStr">
        <is>
          <t>VÄSTERBOTTENS LÄN</t>
        </is>
      </c>
      <c r="E629" t="inlineStr">
        <is>
          <t>ÅSELE</t>
        </is>
      </c>
      <c r="F629" t="inlineStr">
        <is>
          <t>Holmen skog AB</t>
        </is>
      </c>
      <c r="G629" t="n">
        <v>15.5</v>
      </c>
      <c r="H629" t="n">
        <v>0</v>
      </c>
      <c r="I629" t="n">
        <v>0</v>
      </c>
      <c r="J629" t="n">
        <v>0</v>
      </c>
      <c r="K629" t="n">
        <v>0</v>
      </c>
      <c r="L629" t="n">
        <v>0</v>
      </c>
      <c r="M629" t="n">
        <v>0</v>
      </c>
      <c r="N629" t="n">
        <v>0</v>
      </c>
      <c r="O629" t="n">
        <v>0</v>
      </c>
      <c r="P629" t="n">
        <v>0</v>
      </c>
      <c r="Q629" t="n">
        <v>0</v>
      </c>
      <c r="R629" s="2" t="inlineStr"/>
    </row>
    <row r="630" ht="15" customHeight="1">
      <c r="A630" t="inlineStr">
        <is>
          <t>A 56562-2025</t>
        </is>
      </c>
      <c r="B630" s="1" t="n">
        <v>45975.49438657407</v>
      </c>
      <c r="C630" s="1" t="n">
        <v>46181</v>
      </c>
      <c r="D630" t="inlineStr">
        <is>
          <t>VÄSTERBOTTENS LÄN</t>
        </is>
      </c>
      <c r="E630" t="inlineStr">
        <is>
          <t>ÅSELE</t>
        </is>
      </c>
      <c r="G630" t="n">
        <v>0.8</v>
      </c>
      <c r="H630" t="n">
        <v>0</v>
      </c>
      <c r="I630" t="n">
        <v>0</v>
      </c>
      <c r="J630" t="n">
        <v>0</v>
      </c>
      <c r="K630" t="n">
        <v>0</v>
      </c>
      <c r="L630" t="n">
        <v>0</v>
      </c>
      <c r="M630" t="n">
        <v>0</v>
      </c>
      <c r="N630" t="n">
        <v>0</v>
      </c>
      <c r="O630" t="n">
        <v>0</v>
      </c>
      <c r="P630" t="n">
        <v>0</v>
      </c>
      <c r="Q630" t="n">
        <v>0</v>
      </c>
      <c r="R630" s="2" t="inlineStr"/>
    </row>
    <row r="631" ht="15" customHeight="1">
      <c r="A631" t="inlineStr">
        <is>
          <t>A 56583-2025</t>
        </is>
      </c>
      <c r="B631" s="1" t="n">
        <v>45975.5490625</v>
      </c>
      <c r="C631" s="1" t="n">
        <v>46181</v>
      </c>
      <c r="D631" t="inlineStr">
        <is>
          <t>VÄSTERBOTTENS LÄN</t>
        </is>
      </c>
      <c r="E631" t="inlineStr">
        <is>
          <t>ÅSELE</t>
        </is>
      </c>
      <c r="G631" t="n">
        <v>11.6</v>
      </c>
      <c r="H631" t="n">
        <v>0</v>
      </c>
      <c r="I631" t="n">
        <v>0</v>
      </c>
      <c r="J631" t="n">
        <v>0</v>
      </c>
      <c r="K631" t="n">
        <v>0</v>
      </c>
      <c r="L631" t="n">
        <v>0</v>
      </c>
      <c r="M631" t="n">
        <v>0</v>
      </c>
      <c r="N631" t="n">
        <v>0</v>
      </c>
      <c r="O631" t="n">
        <v>0</v>
      </c>
      <c r="P631" t="n">
        <v>0</v>
      </c>
      <c r="Q631" t="n">
        <v>0</v>
      </c>
      <c r="R631" s="2" t="inlineStr"/>
    </row>
    <row r="632" ht="15" customHeight="1">
      <c r="A632" t="inlineStr">
        <is>
          <t>A 12405-2026</t>
        </is>
      </c>
      <c r="B632" s="1" t="n">
        <v>46090</v>
      </c>
      <c r="C632" s="1" t="n">
        <v>46181</v>
      </c>
      <c r="D632" t="inlineStr">
        <is>
          <t>VÄSTERBOTTENS LÄN</t>
        </is>
      </c>
      <c r="E632" t="inlineStr">
        <is>
          <t>ÅSELE</t>
        </is>
      </c>
      <c r="G632" t="n">
        <v>7.3</v>
      </c>
      <c r="H632" t="n">
        <v>0</v>
      </c>
      <c r="I632" t="n">
        <v>0</v>
      </c>
      <c r="J632" t="n">
        <v>0</v>
      </c>
      <c r="K632" t="n">
        <v>0</v>
      </c>
      <c r="L632" t="n">
        <v>0</v>
      </c>
      <c r="M632" t="n">
        <v>0</v>
      </c>
      <c r="N632" t="n">
        <v>0</v>
      </c>
      <c r="O632" t="n">
        <v>0</v>
      </c>
      <c r="P632" t="n">
        <v>0</v>
      </c>
      <c r="Q632" t="n">
        <v>0</v>
      </c>
      <c r="R632" s="2" t="inlineStr"/>
    </row>
    <row r="633" ht="15" customHeight="1">
      <c r="A633" t="inlineStr">
        <is>
          <t>A 56536-2025</t>
        </is>
      </c>
      <c r="B633" s="1" t="n">
        <v>45975.47174768519</v>
      </c>
      <c r="C633" s="1" t="n">
        <v>46181</v>
      </c>
      <c r="D633" t="inlineStr">
        <is>
          <t>VÄSTERBOTTENS LÄN</t>
        </is>
      </c>
      <c r="E633" t="inlineStr">
        <is>
          <t>ÅSELE</t>
        </is>
      </c>
      <c r="F633" t="inlineStr">
        <is>
          <t>Holmen skog AB</t>
        </is>
      </c>
      <c r="G633" t="n">
        <v>13.3</v>
      </c>
      <c r="H633" t="n">
        <v>0</v>
      </c>
      <c r="I633" t="n">
        <v>0</v>
      </c>
      <c r="J633" t="n">
        <v>0</v>
      </c>
      <c r="K633" t="n">
        <v>0</v>
      </c>
      <c r="L633" t="n">
        <v>0</v>
      </c>
      <c r="M633" t="n">
        <v>0</v>
      </c>
      <c r="N633" t="n">
        <v>0</v>
      </c>
      <c r="O633" t="n">
        <v>0</v>
      </c>
      <c r="P633" t="n">
        <v>0</v>
      </c>
      <c r="Q633" t="n">
        <v>0</v>
      </c>
      <c r="R633" s="2" t="inlineStr"/>
    </row>
    <row r="634" ht="15" customHeight="1">
      <c r="A634" t="inlineStr">
        <is>
          <t>A 10760-2023</t>
        </is>
      </c>
      <c r="B634" s="1" t="n">
        <v>44988.92247685185</v>
      </c>
      <c r="C634" s="1" t="n">
        <v>46181</v>
      </c>
      <c r="D634" t="inlineStr">
        <is>
          <t>VÄSTERBOTTENS LÄN</t>
        </is>
      </c>
      <c r="E634" t="inlineStr">
        <is>
          <t>ÅSELE</t>
        </is>
      </c>
      <c r="G634" t="n">
        <v>0.3</v>
      </c>
      <c r="H634" t="n">
        <v>0</v>
      </c>
      <c r="I634" t="n">
        <v>0</v>
      </c>
      <c r="J634" t="n">
        <v>0</v>
      </c>
      <c r="K634" t="n">
        <v>0</v>
      </c>
      <c r="L634" t="n">
        <v>0</v>
      </c>
      <c r="M634" t="n">
        <v>0</v>
      </c>
      <c r="N634" t="n">
        <v>0</v>
      </c>
      <c r="O634" t="n">
        <v>0</v>
      </c>
      <c r="P634" t="n">
        <v>0</v>
      </c>
      <c r="Q634" t="n">
        <v>0</v>
      </c>
      <c r="R634" s="2" t="inlineStr"/>
    </row>
    <row r="635" ht="15" customHeight="1">
      <c r="A635" t="inlineStr">
        <is>
          <t>A 10761-2023</t>
        </is>
      </c>
      <c r="B635" s="1" t="n">
        <v>44988.92252314815</v>
      </c>
      <c r="C635" s="1" t="n">
        <v>46181</v>
      </c>
      <c r="D635" t="inlineStr">
        <is>
          <t>VÄSTERBOTTENS LÄN</t>
        </is>
      </c>
      <c r="E635" t="inlineStr">
        <is>
          <t>ÅSELE</t>
        </is>
      </c>
      <c r="G635" t="n">
        <v>0.3</v>
      </c>
      <c r="H635" t="n">
        <v>0</v>
      </c>
      <c r="I635" t="n">
        <v>0</v>
      </c>
      <c r="J635" t="n">
        <v>0</v>
      </c>
      <c r="K635" t="n">
        <v>0</v>
      </c>
      <c r="L635" t="n">
        <v>0</v>
      </c>
      <c r="M635" t="n">
        <v>0</v>
      </c>
      <c r="N635" t="n">
        <v>0</v>
      </c>
      <c r="O635" t="n">
        <v>0</v>
      </c>
      <c r="P635" t="n">
        <v>0</v>
      </c>
      <c r="Q635" t="n">
        <v>0</v>
      </c>
      <c r="R635" s="2" t="inlineStr"/>
    </row>
    <row r="636" ht="15" customHeight="1">
      <c r="A636" t="inlineStr">
        <is>
          <t>A 56743-2025</t>
        </is>
      </c>
      <c r="B636" s="1" t="n">
        <v>45978.36053240741</v>
      </c>
      <c r="C636" s="1" t="n">
        <v>46181</v>
      </c>
      <c r="D636" t="inlineStr">
        <is>
          <t>VÄSTERBOTTENS LÄN</t>
        </is>
      </c>
      <c r="E636" t="inlineStr">
        <is>
          <t>ÅSELE</t>
        </is>
      </c>
      <c r="G636" t="n">
        <v>2.3</v>
      </c>
      <c r="H636" t="n">
        <v>0</v>
      </c>
      <c r="I636" t="n">
        <v>0</v>
      </c>
      <c r="J636" t="n">
        <v>0</v>
      </c>
      <c r="K636" t="n">
        <v>0</v>
      </c>
      <c r="L636" t="n">
        <v>0</v>
      </c>
      <c r="M636" t="n">
        <v>0</v>
      </c>
      <c r="N636" t="n">
        <v>0</v>
      </c>
      <c r="O636" t="n">
        <v>0</v>
      </c>
      <c r="P636" t="n">
        <v>0</v>
      </c>
      <c r="Q636" t="n">
        <v>0</v>
      </c>
      <c r="R636" s="2" t="inlineStr"/>
    </row>
    <row r="637" ht="15" customHeight="1">
      <c r="A637" t="inlineStr">
        <is>
          <t>A 42642-2024</t>
        </is>
      </c>
      <c r="B637" s="1" t="n">
        <v>45566</v>
      </c>
      <c r="C637" s="1" t="n">
        <v>46181</v>
      </c>
      <c r="D637" t="inlineStr">
        <is>
          <t>VÄSTERBOTTENS LÄN</t>
        </is>
      </c>
      <c r="E637" t="inlineStr">
        <is>
          <t>ÅSELE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57339-2025</t>
        </is>
      </c>
      <c r="B638" s="1" t="n">
        <v>45980.345625</v>
      </c>
      <c r="C638" s="1" t="n">
        <v>46181</v>
      </c>
      <c r="D638" t="inlineStr">
        <is>
          <t>VÄSTERBOTTENS LÄN</t>
        </is>
      </c>
      <c r="E638" t="inlineStr">
        <is>
          <t>ÅSELE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57118-2025</t>
        </is>
      </c>
      <c r="B639" s="1" t="n">
        <v>45979.4640625</v>
      </c>
      <c r="C639" s="1" t="n">
        <v>46181</v>
      </c>
      <c r="D639" t="inlineStr">
        <is>
          <t>VÄSTERBOTTENS LÄN</t>
        </is>
      </c>
      <c r="E639" t="inlineStr">
        <is>
          <t>ÅSELE</t>
        </is>
      </c>
      <c r="G639" t="n">
        <v>3.4</v>
      </c>
      <c r="H639" t="n">
        <v>0</v>
      </c>
      <c r="I639" t="n">
        <v>0</v>
      </c>
      <c r="J639" t="n">
        <v>0</v>
      </c>
      <c r="K639" t="n">
        <v>0</v>
      </c>
      <c r="L639" t="n">
        <v>0</v>
      </c>
      <c r="M639" t="n">
        <v>0</v>
      </c>
      <c r="N639" t="n">
        <v>0</v>
      </c>
      <c r="O639" t="n">
        <v>0</v>
      </c>
      <c r="P639" t="n">
        <v>0</v>
      </c>
      <c r="Q639" t="n">
        <v>0</v>
      </c>
      <c r="R639" s="2" t="inlineStr"/>
    </row>
    <row r="640" ht="15" customHeight="1">
      <c r="A640" t="inlineStr">
        <is>
          <t>A 13164-2026</t>
        </is>
      </c>
      <c r="B640" s="1" t="n">
        <v>46093</v>
      </c>
      <c r="C640" s="1" t="n">
        <v>46181</v>
      </c>
      <c r="D640" t="inlineStr">
        <is>
          <t>VÄSTERBOTTENS LÄN</t>
        </is>
      </c>
      <c r="E640" t="inlineStr">
        <is>
          <t>ÅSELE</t>
        </is>
      </c>
      <c r="G640" t="n">
        <v>7.1</v>
      </c>
      <c r="H640" t="n">
        <v>0</v>
      </c>
      <c r="I640" t="n">
        <v>0</v>
      </c>
      <c r="J640" t="n">
        <v>0</v>
      </c>
      <c r="K640" t="n">
        <v>0</v>
      </c>
      <c r="L640" t="n">
        <v>0</v>
      </c>
      <c r="M640" t="n">
        <v>0</v>
      </c>
      <c r="N640" t="n">
        <v>0</v>
      </c>
      <c r="O640" t="n">
        <v>0</v>
      </c>
      <c r="P640" t="n">
        <v>0</v>
      </c>
      <c r="Q640" t="n">
        <v>0</v>
      </c>
      <c r="R640" s="2" t="inlineStr"/>
    </row>
    <row r="641" ht="15" customHeight="1">
      <c r="A641" t="inlineStr">
        <is>
          <t>A 13056-2026</t>
        </is>
      </c>
      <c r="B641" s="1" t="n">
        <v>46093.34582175926</v>
      </c>
      <c r="C641" s="1" t="n">
        <v>46181</v>
      </c>
      <c r="D641" t="inlineStr">
        <is>
          <t>VÄSTERBOTTENS LÄN</t>
        </is>
      </c>
      <c r="E641" t="inlineStr">
        <is>
          <t>ÅSELE</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13249-2026</t>
        </is>
      </c>
      <c r="B642" s="1" t="n">
        <v>46093.656875</v>
      </c>
      <c r="C642" s="1" t="n">
        <v>46181</v>
      </c>
      <c r="D642" t="inlineStr">
        <is>
          <t>VÄSTERBOTTENS LÄN</t>
        </is>
      </c>
      <c r="E642" t="inlineStr">
        <is>
          <t>ÅSELE</t>
        </is>
      </c>
      <c r="F642" t="inlineStr">
        <is>
          <t>SCA</t>
        </is>
      </c>
      <c r="G642" t="n">
        <v>13.6</v>
      </c>
      <c r="H642" t="n">
        <v>0</v>
      </c>
      <c r="I642" t="n">
        <v>0</v>
      </c>
      <c r="J642" t="n">
        <v>0</v>
      </c>
      <c r="K642" t="n">
        <v>0</v>
      </c>
      <c r="L642" t="n">
        <v>0</v>
      </c>
      <c r="M642" t="n">
        <v>0</v>
      </c>
      <c r="N642" t="n">
        <v>0</v>
      </c>
      <c r="O642" t="n">
        <v>0</v>
      </c>
      <c r="P642" t="n">
        <v>0</v>
      </c>
      <c r="Q642" t="n">
        <v>0</v>
      </c>
      <c r="R642" s="2" t="inlineStr"/>
    </row>
    <row r="643" ht="15" customHeight="1">
      <c r="A643" t="inlineStr">
        <is>
          <t>A 12811-2026</t>
        </is>
      </c>
      <c r="B643" s="1" t="n">
        <v>46092.38594907407</v>
      </c>
      <c r="C643" s="1" t="n">
        <v>46181</v>
      </c>
      <c r="D643" t="inlineStr">
        <is>
          <t>VÄSTERBOTTENS LÄN</t>
        </is>
      </c>
      <c r="E643" t="inlineStr">
        <is>
          <t>ÅSELE</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57379-2025</t>
        </is>
      </c>
      <c r="B644" s="1" t="n">
        <v>45980.40270833333</v>
      </c>
      <c r="C644" s="1" t="n">
        <v>46181</v>
      </c>
      <c r="D644" t="inlineStr">
        <is>
          <t>VÄSTERBOTTENS LÄN</t>
        </is>
      </c>
      <c r="E644" t="inlineStr">
        <is>
          <t>ÅSELE</t>
        </is>
      </c>
      <c r="G644" t="n">
        <v>1.4</v>
      </c>
      <c r="H644" t="n">
        <v>0</v>
      </c>
      <c r="I644" t="n">
        <v>0</v>
      </c>
      <c r="J644" t="n">
        <v>0</v>
      </c>
      <c r="K644" t="n">
        <v>0</v>
      </c>
      <c r="L644" t="n">
        <v>0</v>
      </c>
      <c r="M644" t="n">
        <v>0</v>
      </c>
      <c r="N644" t="n">
        <v>0</v>
      </c>
      <c r="O644" t="n">
        <v>0</v>
      </c>
      <c r="P644" t="n">
        <v>0</v>
      </c>
      <c r="Q644" t="n">
        <v>0</v>
      </c>
      <c r="R644" s="2" t="inlineStr"/>
    </row>
    <row r="645" ht="15" customHeight="1">
      <c r="A645" t="inlineStr">
        <is>
          <t>A 11535-2026</t>
        </is>
      </c>
      <c r="B645" s="1" t="n">
        <v>46083</v>
      </c>
      <c r="C645" s="1" t="n">
        <v>46181</v>
      </c>
      <c r="D645" t="inlineStr">
        <is>
          <t>VÄSTERBOTTENS LÄN</t>
        </is>
      </c>
      <c r="E645" t="inlineStr">
        <is>
          <t>ÅSELE</t>
        </is>
      </c>
      <c r="G645" t="n">
        <v>6.9</v>
      </c>
      <c r="H645" t="n">
        <v>0</v>
      </c>
      <c r="I645" t="n">
        <v>0</v>
      </c>
      <c r="J645" t="n">
        <v>0</v>
      </c>
      <c r="K645" t="n">
        <v>0</v>
      </c>
      <c r="L645" t="n">
        <v>0</v>
      </c>
      <c r="M645" t="n">
        <v>0</v>
      </c>
      <c r="N645" t="n">
        <v>0</v>
      </c>
      <c r="O645" t="n">
        <v>0</v>
      </c>
      <c r="P645" t="n">
        <v>0</v>
      </c>
      <c r="Q645" t="n">
        <v>0</v>
      </c>
      <c r="R645" s="2" t="inlineStr"/>
    </row>
    <row r="646" ht="15" customHeight="1">
      <c r="A646" t="inlineStr">
        <is>
          <t>A 12921-2026</t>
        </is>
      </c>
      <c r="B646" s="1" t="n">
        <v>46092.60209490741</v>
      </c>
      <c r="C646" s="1" t="n">
        <v>46181</v>
      </c>
      <c r="D646" t="inlineStr">
        <is>
          <t>VÄSTERBOTTENS LÄN</t>
        </is>
      </c>
      <c r="E646" t="inlineStr">
        <is>
          <t>ÅSELE</t>
        </is>
      </c>
      <c r="G646" t="n">
        <v>18.8</v>
      </c>
      <c r="H646" t="n">
        <v>0</v>
      </c>
      <c r="I646" t="n">
        <v>0</v>
      </c>
      <c r="J646" t="n">
        <v>0</v>
      </c>
      <c r="K646" t="n">
        <v>0</v>
      </c>
      <c r="L646" t="n">
        <v>0</v>
      </c>
      <c r="M646" t="n">
        <v>0</v>
      </c>
      <c r="N646" t="n">
        <v>0</v>
      </c>
      <c r="O646" t="n">
        <v>0</v>
      </c>
      <c r="P646" t="n">
        <v>0</v>
      </c>
      <c r="Q646" t="n">
        <v>0</v>
      </c>
      <c r="R646" s="2" t="inlineStr"/>
    </row>
    <row r="647" ht="15" customHeight="1">
      <c r="A647" t="inlineStr">
        <is>
          <t>A 13161-2026</t>
        </is>
      </c>
      <c r="B647" s="1" t="n">
        <v>46093</v>
      </c>
      <c r="C647" s="1" t="n">
        <v>46181</v>
      </c>
      <c r="D647" t="inlineStr">
        <is>
          <t>VÄSTERBOTTENS LÄN</t>
        </is>
      </c>
      <c r="E647" t="inlineStr">
        <is>
          <t>ÅSELE</t>
        </is>
      </c>
      <c r="G647" t="n">
        <v>0.5</v>
      </c>
      <c r="H647" t="n">
        <v>0</v>
      </c>
      <c r="I647" t="n">
        <v>0</v>
      </c>
      <c r="J647" t="n">
        <v>0</v>
      </c>
      <c r="K647" t="n">
        <v>0</v>
      </c>
      <c r="L647" t="n">
        <v>0</v>
      </c>
      <c r="M647" t="n">
        <v>0</v>
      </c>
      <c r="N647" t="n">
        <v>0</v>
      </c>
      <c r="O647" t="n">
        <v>0</v>
      </c>
      <c r="P647" t="n">
        <v>0</v>
      </c>
      <c r="Q647" t="n">
        <v>0</v>
      </c>
      <c r="R647" s="2" t="inlineStr"/>
    </row>
    <row r="648" ht="15" customHeight="1">
      <c r="A648" t="inlineStr">
        <is>
          <t>A 13169-2026</t>
        </is>
      </c>
      <c r="B648" s="1" t="n">
        <v>46093</v>
      </c>
      <c r="C648" s="1" t="n">
        <v>46181</v>
      </c>
      <c r="D648" t="inlineStr">
        <is>
          <t>VÄSTERBOTTENS LÄN</t>
        </is>
      </c>
      <c r="E648" t="inlineStr">
        <is>
          <t>ÅSELE</t>
        </is>
      </c>
      <c r="G648" t="n">
        <v>0.4</v>
      </c>
      <c r="H648" t="n">
        <v>0</v>
      </c>
      <c r="I648" t="n">
        <v>0</v>
      </c>
      <c r="J648" t="n">
        <v>0</v>
      </c>
      <c r="K648" t="n">
        <v>0</v>
      </c>
      <c r="L648" t="n">
        <v>0</v>
      </c>
      <c r="M648" t="n">
        <v>0</v>
      </c>
      <c r="N648" t="n">
        <v>0</v>
      </c>
      <c r="O648" t="n">
        <v>0</v>
      </c>
      <c r="P648" t="n">
        <v>0</v>
      </c>
      <c r="Q648" t="n">
        <v>0</v>
      </c>
      <c r="R648" s="2" t="inlineStr"/>
    </row>
    <row r="649" ht="15" customHeight="1">
      <c r="A649" t="inlineStr">
        <is>
          <t>A 13273-2026</t>
        </is>
      </c>
      <c r="B649" s="1" t="n">
        <v>46093</v>
      </c>
      <c r="C649" s="1" t="n">
        <v>46181</v>
      </c>
      <c r="D649" t="inlineStr">
        <is>
          <t>VÄSTERBOTTENS LÄN</t>
        </is>
      </c>
      <c r="E649" t="inlineStr">
        <is>
          <t>ÅSELE</t>
        </is>
      </c>
      <c r="G649" t="n">
        <v>3.8</v>
      </c>
      <c r="H649" t="n">
        <v>0</v>
      </c>
      <c r="I649" t="n">
        <v>0</v>
      </c>
      <c r="J649" t="n">
        <v>0</v>
      </c>
      <c r="K649" t="n">
        <v>0</v>
      </c>
      <c r="L649" t="n">
        <v>0</v>
      </c>
      <c r="M649" t="n">
        <v>0</v>
      </c>
      <c r="N649" t="n">
        <v>0</v>
      </c>
      <c r="O649" t="n">
        <v>0</v>
      </c>
      <c r="P649" t="n">
        <v>0</v>
      </c>
      <c r="Q649" t="n">
        <v>0</v>
      </c>
      <c r="R649" s="2" t="inlineStr"/>
    </row>
    <row r="650" ht="15" customHeight="1">
      <c r="A650" t="inlineStr">
        <is>
          <t>A 57895-2025</t>
        </is>
      </c>
      <c r="B650" s="1" t="n">
        <v>45981.70042824074</v>
      </c>
      <c r="C650" s="1" t="n">
        <v>46181</v>
      </c>
      <c r="D650" t="inlineStr">
        <is>
          <t>VÄSTERBOTTENS LÄN</t>
        </is>
      </c>
      <c r="E650" t="inlineStr">
        <is>
          <t>ÅSELE</t>
        </is>
      </c>
      <c r="F650" t="inlineStr">
        <is>
          <t>Holmen skog AB</t>
        </is>
      </c>
      <c r="G650" t="n">
        <v>10.3</v>
      </c>
      <c r="H650" t="n">
        <v>0</v>
      </c>
      <c r="I650" t="n">
        <v>0</v>
      </c>
      <c r="J650" t="n">
        <v>0</v>
      </c>
      <c r="K650" t="n">
        <v>0</v>
      </c>
      <c r="L650" t="n">
        <v>0</v>
      </c>
      <c r="M650" t="n">
        <v>0</v>
      </c>
      <c r="N650" t="n">
        <v>0</v>
      </c>
      <c r="O650" t="n">
        <v>0</v>
      </c>
      <c r="P650" t="n">
        <v>0</v>
      </c>
      <c r="Q650" t="n">
        <v>0</v>
      </c>
      <c r="R650" s="2" t="inlineStr"/>
    </row>
    <row r="651" ht="15" customHeight="1">
      <c r="A651" t="inlineStr">
        <is>
          <t>A 13000-2026</t>
        </is>
      </c>
      <c r="B651" s="1" t="n">
        <v>46092.684375</v>
      </c>
      <c r="C651" s="1" t="n">
        <v>46181</v>
      </c>
      <c r="D651" t="inlineStr">
        <is>
          <t>VÄSTERBOTTENS LÄN</t>
        </is>
      </c>
      <c r="E651" t="inlineStr">
        <is>
          <t>ÅSELE</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33990-2024</t>
        </is>
      </c>
      <c r="B652" s="1" t="n">
        <v>45523.53366898148</v>
      </c>
      <c r="C652" s="1" t="n">
        <v>46181</v>
      </c>
      <c r="D652" t="inlineStr">
        <is>
          <t>VÄSTERBOTTENS LÄN</t>
        </is>
      </c>
      <c r="E652" t="inlineStr">
        <is>
          <t>ÅSELE</t>
        </is>
      </c>
      <c r="F652" t="inlineStr">
        <is>
          <t>Sveaskog</t>
        </is>
      </c>
      <c r="G652" t="n">
        <v>6.2</v>
      </c>
      <c r="H652" t="n">
        <v>0</v>
      </c>
      <c r="I652" t="n">
        <v>0</v>
      </c>
      <c r="J652" t="n">
        <v>0</v>
      </c>
      <c r="K652" t="n">
        <v>0</v>
      </c>
      <c r="L652" t="n">
        <v>0</v>
      </c>
      <c r="M652" t="n">
        <v>0</v>
      </c>
      <c r="N652" t="n">
        <v>0</v>
      </c>
      <c r="O652" t="n">
        <v>0</v>
      </c>
      <c r="P652" t="n">
        <v>0</v>
      </c>
      <c r="Q652" t="n">
        <v>0</v>
      </c>
      <c r="R652" s="2" t="inlineStr"/>
    </row>
    <row r="653" ht="15" customHeight="1">
      <c r="A653" t="inlineStr">
        <is>
          <t>A 57697-2025</t>
        </is>
      </c>
      <c r="B653" s="1" t="n">
        <v>45981.45693287037</v>
      </c>
      <c r="C653" s="1" t="n">
        <v>46181</v>
      </c>
      <c r="D653" t="inlineStr">
        <is>
          <t>VÄSTERBOTTENS LÄN</t>
        </is>
      </c>
      <c r="E653" t="inlineStr">
        <is>
          <t>ÅSELE</t>
        </is>
      </c>
      <c r="G653" t="n">
        <v>5.5</v>
      </c>
      <c r="H653" t="n">
        <v>0</v>
      </c>
      <c r="I653" t="n">
        <v>0</v>
      </c>
      <c r="J653" t="n">
        <v>0</v>
      </c>
      <c r="K653" t="n">
        <v>0</v>
      </c>
      <c r="L653" t="n">
        <v>0</v>
      </c>
      <c r="M653" t="n">
        <v>0</v>
      </c>
      <c r="N653" t="n">
        <v>0</v>
      </c>
      <c r="O653" t="n">
        <v>0</v>
      </c>
      <c r="P653" t="n">
        <v>0</v>
      </c>
      <c r="Q653" t="n">
        <v>0</v>
      </c>
      <c r="R653" s="2" t="inlineStr"/>
    </row>
    <row r="654" ht="15" customHeight="1">
      <c r="A654" t="inlineStr">
        <is>
          <t>A 28980-2024</t>
        </is>
      </c>
      <c r="B654" s="1" t="n">
        <v>45481.47248842593</v>
      </c>
      <c r="C654" s="1" t="n">
        <v>46181</v>
      </c>
      <c r="D654" t="inlineStr">
        <is>
          <t>VÄSTERBOTTENS LÄN</t>
        </is>
      </c>
      <c r="E654" t="inlineStr">
        <is>
          <t>ÅSELE</t>
        </is>
      </c>
      <c r="F654" t="inlineStr">
        <is>
          <t>Sveaskog</t>
        </is>
      </c>
      <c r="G654" t="n">
        <v>9</v>
      </c>
      <c r="H654" t="n">
        <v>0</v>
      </c>
      <c r="I654" t="n">
        <v>0</v>
      </c>
      <c r="J654" t="n">
        <v>0</v>
      </c>
      <c r="K654" t="n">
        <v>0</v>
      </c>
      <c r="L654" t="n">
        <v>0</v>
      </c>
      <c r="M654" t="n">
        <v>0</v>
      </c>
      <c r="N654" t="n">
        <v>0</v>
      </c>
      <c r="O654" t="n">
        <v>0</v>
      </c>
      <c r="P654" t="n">
        <v>0</v>
      </c>
      <c r="Q654" t="n">
        <v>0</v>
      </c>
      <c r="R654" s="2" t="inlineStr"/>
    </row>
    <row r="655" ht="15" customHeight="1">
      <c r="A655" t="inlineStr">
        <is>
          <t>A 13402-2025</t>
        </is>
      </c>
      <c r="B655" s="1" t="n">
        <v>45735</v>
      </c>
      <c r="C655" s="1" t="n">
        <v>46181</v>
      </c>
      <c r="D655" t="inlineStr">
        <is>
          <t>VÄSTERBOTTENS LÄN</t>
        </is>
      </c>
      <c r="E655" t="inlineStr">
        <is>
          <t>ÅSELE</t>
        </is>
      </c>
      <c r="G655" t="n">
        <v>1.7</v>
      </c>
      <c r="H655" t="n">
        <v>0</v>
      </c>
      <c r="I655" t="n">
        <v>0</v>
      </c>
      <c r="J655" t="n">
        <v>0</v>
      </c>
      <c r="K655" t="n">
        <v>0</v>
      </c>
      <c r="L655" t="n">
        <v>0</v>
      </c>
      <c r="M655" t="n">
        <v>0</v>
      </c>
      <c r="N655" t="n">
        <v>0</v>
      </c>
      <c r="O655" t="n">
        <v>0</v>
      </c>
      <c r="P655" t="n">
        <v>0</v>
      </c>
      <c r="Q655" t="n">
        <v>0</v>
      </c>
      <c r="R655" s="2" t="inlineStr"/>
    </row>
    <row r="656" ht="15" customHeight="1">
      <c r="A656" t="inlineStr">
        <is>
          <t>A 13509-2026</t>
        </is>
      </c>
      <c r="B656" s="1" t="n">
        <v>46094.60001157408</v>
      </c>
      <c r="C656" s="1" t="n">
        <v>46181</v>
      </c>
      <c r="D656" t="inlineStr">
        <is>
          <t>VÄSTERBOTTENS LÄN</t>
        </is>
      </c>
      <c r="E656" t="inlineStr">
        <is>
          <t>ÅSELE</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58423-2025</t>
        </is>
      </c>
      <c r="B657" s="1" t="n">
        <v>45985.59456018519</v>
      </c>
      <c r="C657" s="1" t="n">
        <v>46181</v>
      </c>
      <c r="D657" t="inlineStr">
        <is>
          <t>VÄSTERBOTTENS LÄN</t>
        </is>
      </c>
      <c r="E657" t="inlineStr">
        <is>
          <t>ÅSELE</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23604-2023</t>
        </is>
      </c>
      <c r="B658" s="1" t="n">
        <v>45077.45833333334</v>
      </c>
      <c r="C658" s="1" t="n">
        <v>46181</v>
      </c>
      <c r="D658" t="inlineStr">
        <is>
          <t>VÄSTERBOTTENS LÄN</t>
        </is>
      </c>
      <c r="E658" t="inlineStr">
        <is>
          <t>ÅSELE</t>
        </is>
      </c>
      <c r="F658" t="inlineStr">
        <is>
          <t>Holmen skog AB</t>
        </is>
      </c>
      <c r="G658" t="n">
        <v>5.8</v>
      </c>
      <c r="H658" t="n">
        <v>0</v>
      </c>
      <c r="I658" t="n">
        <v>0</v>
      </c>
      <c r="J658" t="n">
        <v>0</v>
      </c>
      <c r="K658" t="n">
        <v>0</v>
      </c>
      <c r="L658" t="n">
        <v>0</v>
      </c>
      <c r="M658" t="n">
        <v>0</v>
      </c>
      <c r="N658" t="n">
        <v>0</v>
      </c>
      <c r="O658" t="n">
        <v>0</v>
      </c>
      <c r="P658" t="n">
        <v>0</v>
      </c>
      <c r="Q658" t="n">
        <v>0</v>
      </c>
      <c r="R658" s="2" t="inlineStr"/>
    </row>
    <row r="659" ht="15" customHeight="1">
      <c r="A659" t="inlineStr">
        <is>
          <t>A 58441-2025</t>
        </is>
      </c>
      <c r="B659" s="1" t="n">
        <v>45985.61600694444</v>
      </c>
      <c r="C659" s="1" t="n">
        <v>46181</v>
      </c>
      <c r="D659" t="inlineStr">
        <is>
          <t>VÄSTERBOTTENS LÄN</t>
        </is>
      </c>
      <c r="E659" t="inlineStr">
        <is>
          <t>ÅSELE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9259-2025</t>
        </is>
      </c>
      <c r="B660" s="1" t="n">
        <v>45714</v>
      </c>
      <c r="C660" s="1" t="n">
        <v>46181</v>
      </c>
      <c r="D660" t="inlineStr">
        <is>
          <t>VÄSTERBOTTENS LÄN</t>
        </is>
      </c>
      <c r="E660" t="inlineStr">
        <is>
          <t>ÅSELE</t>
        </is>
      </c>
      <c r="G660" t="n">
        <v>1.3</v>
      </c>
      <c r="H660" t="n">
        <v>0</v>
      </c>
      <c r="I660" t="n">
        <v>0</v>
      </c>
      <c r="J660" t="n">
        <v>0</v>
      </c>
      <c r="K660" t="n">
        <v>0</v>
      </c>
      <c r="L660" t="n">
        <v>0</v>
      </c>
      <c r="M660" t="n">
        <v>0</v>
      </c>
      <c r="N660" t="n">
        <v>0</v>
      </c>
      <c r="O660" t="n">
        <v>0</v>
      </c>
      <c r="P660" t="n">
        <v>0</v>
      </c>
      <c r="Q660" t="n">
        <v>0</v>
      </c>
      <c r="R660" s="2" t="inlineStr"/>
    </row>
    <row r="661" ht="15" customHeight="1">
      <c r="A661" t="inlineStr">
        <is>
          <t>A 18031-2025</t>
        </is>
      </c>
      <c r="B661" s="1" t="n">
        <v>45761</v>
      </c>
      <c r="C661" s="1" t="n">
        <v>46181</v>
      </c>
      <c r="D661" t="inlineStr">
        <is>
          <t>VÄSTERBOTTENS LÄN</t>
        </is>
      </c>
      <c r="E661" t="inlineStr">
        <is>
          <t>ÅSELE</t>
        </is>
      </c>
      <c r="G661" t="n">
        <v>7.6</v>
      </c>
      <c r="H661" t="n">
        <v>0</v>
      </c>
      <c r="I661" t="n">
        <v>0</v>
      </c>
      <c r="J661" t="n">
        <v>0</v>
      </c>
      <c r="K661" t="n">
        <v>0</v>
      </c>
      <c r="L661" t="n">
        <v>0</v>
      </c>
      <c r="M661" t="n">
        <v>0</v>
      </c>
      <c r="N661" t="n">
        <v>0</v>
      </c>
      <c r="O661" t="n">
        <v>0</v>
      </c>
      <c r="P661" t="n">
        <v>0</v>
      </c>
      <c r="Q661" t="n">
        <v>0</v>
      </c>
      <c r="R661" s="2" t="inlineStr"/>
    </row>
    <row r="662" ht="15" customHeight="1">
      <c r="A662" t="inlineStr">
        <is>
          <t>A 20224-2026</t>
        </is>
      </c>
      <c r="B662" s="1" t="n">
        <v>46139.44859953703</v>
      </c>
      <c r="C662" s="1" t="n">
        <v>46181</v>
      </c>
      <c r="D662" t="inlineStr">
        <is>
          <t>VÄSTERBOTTENS LÄN</t>
        </is>
      </c>
      <c r="E662" t="inlineStr">
        <is>
          <t>ÅSELE</t>
        </is>
      </c>
      <c r="F662" t="inlineStr">
        <is>
          <t>SCA</t>
        </is>
      </c>
      <c r="G662" t="n">
        <v>19.4</v>
      </c>
      <c r="H662" t="n">
        <v>0</v>
      </c>
      <c r="I662" t="n">
        <v>0</v>
      </c>
      <c r="J662" t="n">
        <v>0</v>
      </c>
      <c r="K662" t="n">
        <v>0</v>
      </c>
      <c r="L662" t="n">
        <v>0</v>
      </c>
      <c r="M662" t="n">
        <v>0</v>
      </c>
      <c r="N662" t="n">
        <v>0</v>
      </c>
      <c r="O662" t="n">
        <v>0</v>
      </c>
      <c r="P662" t="n">
        <v>0</v>
      </c>
      <c r="Q662" t="n">
        <v>0</v>
      </c>
      <c r="R662" s="2" t="inlineStr"/>
    </row>
    <row r="663" ht="15" customHeight="1">
      <c r="A663" t="inlineStr">
        <is>
          <t>A 13351-2026</t>
        </is>
      </c>
      <c r="B663" s="1" t="n">
        <v>46094.3859375</v>
      </c>
      <c r="C663" s="1" t="n">
        <v>46181</v>
      </c>
      <c r="D663" t="inlineStr">
        <is>
          <t>VÄSTERBOTTENS LÄN</t>
        </is>
      </c>
      <c r="E663" t="inlineStr">
        <is>
          <t>ÅSELE</t>
        </is>
      </c>
      <c r="F663" t="inlineStr">
        <is>
          <t>SCA</t>
        </is>
      </c>
      <c r="G663" t="n">
        <v>12.2</v>
      </c>
      <c r="H663" t="n">
        <v>0</v>
      </c>
      <c r="I663" t="n">
        <v>0</v>
      </c>
      <c r="J663" t="n">
        <v>0</v>
      </c>
      <c r="K663" t="n">
        <v>0</v>
      </c>
      <c r="L663" t="n">
        <v>0</v>
      </c>
      <c r="M663" t="n">
        <v>0</v>
      </c>
      <c r="N663" t="n">
        <v>0</v>
      </c>
      <c r="O663" t="n">
        <v>0</v>
      </c>
      <c r="P663" t="n">
        <v>0</v>
      </c>
      <c r="Q663" t="n">
        <v>0</v>
      </c>
      <c r="R663" s="2" t="inlineStr"/>
    </row>
    <row r="664" ht="15" customHeight="1">
      <c r="A664" t="inlineStr">
        <is>
          <t>A 37241-2024</t>
        </is>
      </c>
      <c r="B664" s="1" t="n">
        <v>45540.34417824074</v>
      </c>
      <c r="C664" s="1" t="n">
        <v>46181</v>
      </c>
      <c r="D664" t="inlineStr">
        <is>
          <t>VÄSTERBOTTENS LÄN</t>
        </is>
      </c>
      <c r="E664" t="inlineStr">
        <is>
          <t>ÅSELE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58465-2025</t>
        </is>
      </c>
      <c r="B665" s="1" t="n">
        <v>45985.63663194444</v>
      </c>
      <c r="C665" s="1" t="n">
        <v>46181</v>
      </c>
      <c r="D665" t="inlineStr">
        <is>
          <t>VÄSTERBOTTENS LÄN</t>
        </is>
      </c>
      <c r="E665" t="inlineStr">
        <is>
          <t>ÅSELE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58460-2025</t>
        </is>
      </c>
      <c r="B666" s="1" t="n">
        <v>45985.63626157407</v>
      </c>
      <c r="C666" s="1" t="n">
        <v>46181</v>
      </c>
      <c r="D666" t="inlineStr">
        <is>
          <t>VÄSTERBOTTENS LÄN</t>
        </is>
      </c>
      <c r="E666" t="inlineStr">
        <is>
          <t>ÅSELE</t>
        </is>
      </c>
      <c r="F666" t="inlineStr">
        <is>
          <t>SCA</t>
        </is>
      </c>
      <c r="G666" t="n">
        <v>4.4</v>
      </c>
      <c r="H666" t="n">
        <v>0</v>
      </c>
      <c r="I666" t="n">
        <v>0</v>
      </c>
      <c r="J666" t="n">
        <v>0</v>
      </c>
      <c r="K666" t="n">
        <v>0</v>
      </c>
      <c r="L666" t="n">
        <v>0</v>
      </c>
      <c r="M666" t="n">
        <v>0</v>
      </c>
      <c r="N666" t="n">
        <v>0</v>
      </c>
      <c r="O666" t="n">
        <v>0</v>
      </c>
      <c r="P666" t="n">
        <v>0</v>
      </c>
      <c r="Q666" t="n">
        <v>0</v>
      </c>
      <c r="R666" s="2" t="inlineStr"/>
    </row>
    <row r="667" ht="15" customHeight="1">
      <c r="A667" t="inlineStr">
        <is>
          <t>A 34139-2024</t>
        </is>
      </c>
      <c r="B667" s="1" t="n">
        <v>45524.36006944445</v>
      </c>
      <c r="C667" s="1" t="n">
        <v>46181</v>
      </c>
      <c r="D667" t="inlineStr">
        <is>
          <t>VÄSTERBOTTENS LÄN</t>
        </is>
      </c>
      <c r="E667" t="inlineStr">
        <is>
          <t>ÅSELE</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34144-2024</t>
        </is>
      </c>
      <c r="B668" s="1" t="n">
        <v>45524</v>
      </c>
      <c r="C668" s="1" t="n">
        <v>46181</v>
      </c>
      <c r="D668" t="inlineStr">
        <is>
          <t>VÄSTERBOTTENS LÄN</t>
        </is>
      </c>
      <c r="E668" t="inlineStr">
        <is>
          <t>ÅSELE</t>
        </is>
      </c>
      <c r="F668" t="inlineStr">
        <is>
          <t>Sveaskog</t>
        </is>
      </c>
      <c r="G668" t="n">
        <v>10.9</v>
      </c>
      <c r="H668" t="n">
        <v>0</v>
      </c>
      <c r="I668" t="n">
        <v>0</v>
      </c>
      <c r="J668" t="n">
        <v>0</v>
      </c>
      <c r="K668" t="n">
        <v>0</v>
      </c>
      <c r="L668" t="n">
        <v>0</v>
      </c>
      <c r="M668" t="n">
        <v>0</v>
      </c>
      <c r="N668" t="n">
        <v>0</v>
      </c>
      <c r="O668" t="n">
        <v>0</v>
      </c>
      <c r="P668" t="n">
        <v>0</v>
      </c>
      <c r="Q668" t="n">
        <v>0</v>
      </c>
      <c r="R668" s="2" t="inlineStr"/>
    </row>
    <row r="669" ht="15" customHeight="1">
      <c r="A669" t="inlineStr">
        <is>
          <t>A 58704-2025</t>
        </is>
      </c>
      <c r="B669" s="1" t="n">
        <v>45986.598125</v>
      </c>
      <c r="C669" s="1" t="n">
        <v>46181</v>
      </c>
      <c r="D669" t="inlineStr">
        <is>
          <t>VÄSTERBOTTENS LÄN</t>
        </is>
      </c>
      <c r="E669" t="inlineStr">
        <is>
          <t>ÅSELE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58622-2025</t>
        </is>
      </c>
      <c r="B670" s="1" t="n">
        <v>45986.46958333333</v>
      </c>
      <c r="C670" s="1" t="n">
        <v>46181</v>
      </c>
      <c r="D670" t="inlineStr">
        <is>
          <t>VÄSTERBOTTENS LÄN</t>
        </is>
      </c>
      <c r="E670" t="inlineStr">
        <is>
          <t>ÅSELE</t>
        </is>
      </c>
      <c r="G670" t="n">
        <v>1.2</v>
      </c>
      <c r="H670" t="n">
        <v>0</v>
      </c>
      <c r="I670" t="n">
        <v>0</v>
      </c>
      <c r="J670" t="n">
        <v>0</v>
      </c>
      <c r="K670" t="n">
        <v>0</v>
      </c>
      <c r="L670" t="n">
        <v>0</v>
      </c>
      <c r="M670" t="n">
        <v>0</v>
      </c>
      <c r="N670" t="n">
        <v>0</v>
      </c>
      <c r="O670" t="n">
        <v>0</v>
      </c>
      <c r="P670" t="n">
        <v>0</v>
      </c>
      <c r="Q670" t="n">
        <v>0</v>
      </c>
      <c r="R670" s="2" t="inlineStr"/>
    </row>
    <row r="671" ht="15" customHeight="1">
      <c r="A671" t="inlineStr">
        <is>
          <t>A 58434-2025</t>
        </is>
      </c>
      <c r="B671" s="1" t="n">
        <v>45985.61247685185</v>
      </c>
      <c r="C671" s="1" t="n">
        <v>46181</v>
      </c>
      <c r="D671" t="inlineStr">
        <is>
          <t>VÄSTERBOTTENS LÄN</t>
        </is>
      </c>
      <c r="E671" t="inlineStr">
        <is>
          <t>ÅSELE</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36331-2024</t>
        </is>
      </c>
      <c r="B672" s="1" t="n">
        <v>45534.63957175926</v>
      </c>
      <c r="C672" s="1" t="n">
        <v>46181</v>
      </c>
      <c r="D672" t="inlineStr">
        <is>
          <t>VÄSTERBOTTENS LÄN</t>
        </is>
      </c>
      <c r="E672" t="inlineStr">
        <is>
          <t>ÅSELE</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22078-2023</t>
        </is>
      </c>
      <c r="B673" s="1" t="n">
        <v>45068</v>
      </c>
      <c r="C673" s="1" t="n">
        <v>46181</v>
      </c>
      <c r="D673" t="inlineStr">
        <is>
          <t>VÄSTERBOTTENS LÄN</t>
        </is>
      </c>
      <c r="E673" t="inlineStr">
        <is>
          <t>ÅSELE</t>
        </is>
      </c>
      <c r="G673" t="n">
        <v>2.7</v>
      </c>
      <c r="H673" t="n">
        <v>0</v>
      </c>
      <c r="I673" t="n">
        <v>0</v>
      </c>
      <c r="J673" t="n">
        <v>0</v>
      </c>
      <c r="K673" t="n">
        <v>0</v>
      </c>
      <c r="L673" t="n">
        <v>0</v>
      </c>
      <c r="M673" t="n">
        <v>0</v>
      </c>
      <c r="N673" t="n">
        <v>0</v>
      </c>
      <c r="O673" t="n">
        <v>0</v>
      </c>
      <c r="P673" t="n">
        <v>0</v>
      </c>
      <c r="Q673" t="n">
        <v>0</v>
      </c>
      <c r="R673" s="2" t="inlineStr"/>
    </row>
    <row r="674" ht="15" customHeight="1">
      <c r="A674" t="inlineStr">
        <is>
          <t>A 28610-2021</t>
        </is>
      </c>
      <c r="B674" s="1" t="n">
        <v>44356.93482638889</v>
      </c>
      <c r="C674" s="1" t="n">
        <v>46181</v>
      </c>
      <c r="D674" t="inlineStr">
        <is>
          <t>VÄSTERBOTTENS LÄN</t>
        </is>
      </c>
      <c r="E674" t="inlineStr">
        <is>
          <t>ÅSELE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8634-2023</t>
        </is>
      </c>
      <c r="B675" s="1" t="n">
        <v>44977.93446759259</v>
      </c>
      <c r="C675" s="1" t="n">
        <v>46181</v>
      </c>
      <c r="D675" t="inlineStr">
        <is>
          <t>VÄSTERBOTTENS LÄN</t>
        </is>
      </c>
      <c r="E675" t="inlineStr">
        <is>
          <t>ÅSELE</t>
        </is>
      </c>
      <c r="G675" t="n">
        <v>1</v>
      </c>
      <c r="H675" t="n">
        <v>0</v>
      </c>
      <c r="I675" t="n">
        <v>0</v>
      </c>
      <c r="J675" t="n">
        <v>0</v>
      </c>
      <c r="K675" t="n">
        <v>0</v>
      </c>
      <c r="L675" t="n">
        <v>0</v>
      </c>
      <c r="M675" t="n">
        <v>0</v>
      </c>
      <c r="N675" t="n">
        <v>0</v>
      </c>
      <c r="O675" t="n">
        <v>0</v>
      </c>
      <c r="P675" t="n">
        <v>0</v>
      </c>
      <c r="Q675" t="n">
        <v>0</v>
      </c>
      <c r="R675" s="2" t="inlineStr"/>
    </row>
    <row r="676" ht="15" customHeight="1">
      <c r="A676" t="inlineStr">
        <is>
          <t>A 59299-2025</t>
        </is>
      </c>
      <c r="B676" s="1" t="n">
        <v>45988.84578703704</v>
      </c>
      <c r="C676" s="1" t="n">
        <v>46181</v>
      </c>
      <c r="D676" t="inlineStr">
        <is>
          <t>VÄSTERBOTTENS LÄN</t>
        </is>
      </c>
      <c r="E676" t="inlineStr">
        <is>
          <t>ÅSELE</t>
        </is>
      </c>
      <c r="G676" t="n">
        <v>3.1</v>
      </c>
      <c r="H676" t="n">
        <v>0</v>
      </c>
      <c r="I676" t="n">
        <v>0</v>
      </c>
      <c r="J676" t="n">
        <v>0</v>
      </c>
      <c r="K676" t="n">
        <v>0</v>
      </c>
      <c r="L676" t="n">
        <v>0</v>
      </c>
      <c r="M676" t="n">
        <v>0</v>
      </c>
      <c r="N676" t="n">
        <v>0</v>
      </c>
      <c r="O676" t="n">
        <v>0</v>
      </c>
      <c r="P676" t="n">
        <v>0</v>
      </c>
      <c r="Q676" t="n">
        <v>0</v>
      </c>
      <c r="R676" s="2" t="inlineStr"/>
    </row>
    <row r="677" ht="15" customHeight="1">
      <c r="A677" t="inlineStr">
        <is>
          <t>A 19385-2025</t>
        </is>
      </c>
      <c r="B677" s="1" t="n">
        <v>45769.65708333333</v>
      </c>
      <c r="C677" s="1" t="n">
        <v>46181</v>
      </c>
      <c r="D677" t="inlineStr">
        <is>
          <t>VÄSTERBOTTENS LÄN</t>
        </is>
      </c>
      <c r="E677" t="inlineStr">
        <is>
          <t>ÅSELE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19928-2025</t>
        </is>
      </c>
      <c r="B678" s="1" t="n">
        <v>45771</v>
      </c>
      <c r="C678" s="1" t="n">
        <v>46181</v>
      </c>
      <c r="D678" t="inlineStr">
        <is>
          <t>VÄSTERBOTTENS LÄN</t>
        </is>
      </c>
      <c r="E678" t="inlineStr">
        <is>
          <t>ÅSELE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59862-2025</t>
        </is>
      </c>
      <c r="B679" s="1" t="n">
        <v>45992.81230324074</v>
      </c>
      <c r="C679" s="1" t="n">
        <v>46181</v>
      </c>
      <c r="D679" t="inlineStr">
        <is>
          <t>VÄSTERBOTTENS LÄN</t>
        </is>
      </c>
      <c r="E679" t="inlineStr">
        <is>
          <t>ÅSELE</t>
        </is>
      </c>
      <c r="G679" t="n">
        <v>2.2</v>
      </c>
      <c r="H679" t="n">
        <v>0</v>
      </c>
      <c r="I679" t="n">
        <v>0</v>
      </c>
      <c r="J679" t="n">
        <v>0</v>
      </c>
      <c r="K679" t="n">
        <v>0</v>
      </c>
      <c r="L679" t="n">
        <v>0</v>
      </c>
      <c r="M679" t="n">
        <v>0</v>
      </c>
      <c r="N679" t="n">
        <v>0</v>
      </c>
      <c r="O679" t="n">
        <v>0</v>
      </c>
      <c r="P679" t="n">
        <v>0</v>
      </c>
      <c r="Q679" t="n">
        <v>0</v>
      </c>
      <c r="R679" s="2" t="inlineStr"/>
    </row>
    <row r="680" ht="15" customHeight="1">
      <c r="A680" t="inlineStr">
        <is>
          <t>A 60275-2025</t>
        </is>
      </c>
      <c r="B680" s="1" t="n">
        <v>45993</v>
      </c>
      <c r="C680" s="1" t="n">
        <v>46181</v>
      </c>
      <c r="D680" t="inlineStr">
        <is>
          <t>VÄSTERBOTTENS LÄN</t>
        </is>
      </c>
      <c r="E680" t="inlineStr">
        <is>
          <t>ÅSELE</t>
        </is>
      </c>
      <c r="G680" t="n">
        <v>5.3</v>
      </c>
      <c r="H680" t="n">
        <v>0</v>
      </c>
      <c r="I680" t="n">
        <v>0</v>
      </c>
      <c r="J680" t="n">
        <v>0</v>
      </c>
      <c r="K680" t="n">
        <v>0</v>
      </c>
      <c r="L680" t="n">
        <v>0</v>
      </c>
      <c r="M680" t="n">
        <v>0</v>
      </c>
      <c r="N680" t="n">
        <v>0</v>
      </c>
      <c r="O680" t="n">
        <v>0</v>
      </c>
      <c r="P680" t="n">
        <v>0</v>
      </c>
      <c r="Q680" t="n">
        <v>0</v>
      </c>
      <c r="R680" s="2" t="inlineStr"/>
    </row>
    <row r="681" ht="15" customHeight="1">
      <c r="A681" t="inlineStr">
        <is>
          <t>A 13794-2026</t>
        </is>
      </c>
      <c r="B681" s="1" t="n">
        <v>46097.8160300926</v>
      </c>
      <c r="C681" s="1" t="n">
        <v>46181</v>
      </c>
      <c r="D681" t="inlineStr">
        <is>
          <t>VÄSTERBOTTENS LÄN</t>
        </is>
      </c>
      <c r="E681" t="inlineStr">
        <is>
          <t>ÅSELE</t>
        </is>
      </c>
      <c r="F681" t="inlineStr">
        <is>
          <t>Sveaskog</t>
        </is>
      </c>
      <c r="G681" t="n">
        <v>10.9</v>
      </c>
      <c r="H681" t="n">
        <v>0</v>
      </c>
      <c r="I681" t="n">
        <v>0</v>
      </c>
      <c r="J681" t="n">
        <v>0</v>
      </c>
      <c r="K681" t="n">
        <v>0</v>
      </c>
      <c r="L681" t="n">
        <v>0</v>
      </c>
      <c r="M681" t="n">
        <v>0</v>
      </c>
      <c r="N681" t="n">
        <v>0</v>
      </c>
      <c r="O681" t="n">
        <v>0</v>
      </c>
      <c r="P681" t="n">
        <v>0</v>
      </c>
      <c r="Q681" t="n">
        <v>0</v>
      </c>
      <c r="R681" s="2" t="inlineStr"/>
    </row>
    <row r="682" ht="15" customHeight="1">
      <c r="A682" t="inlineStr">
        <is>
          <t>A 59912-2025</t>
        </is>
      </c>
      <c r="B682" s="1" t="n">
        <v>45993.36509259259</v>
      </c>
      <c r="C682" s="1" t="n">
        <v>46181</v>
      </c>
      <c r="D682" t="inlineStr">
        <is>
          <t>VÄSTERBOTTENS LÄN</t>
        </is>
      </c>
      <c r="E682" t="inlineStr">
        <is>
          <t>ÅSELE</t>
        </is>
      </c>
      <c r="G682" t="n">
        <v>5.1</v>
      </c>
      <c r="H682" t="n">
        <v>0</v>
      </c>
      <c r="I682" t="n">
        <v>0</v>
      </c>
      <c r="J682" t="n">
        <v>0</v>
      </c>
      <c r="K682" t="n">
        <v>0</v>
      </c>
      <c r="L682" t="n">
        <v>0</v>
      </c>
      <c r="M682" t="n">
        <v>0</v>
      </c>
      <c r="N682" t="n">
        <v>0</v>
      </c>
      <c r="O682" t="n">
        <v>0</v>
      </c>
      <c r="P682" t="n">
        <v>0</v>
      </c>
      <c r="Q682" t="n">
        <v>0</v>
      </c>
      <c r="R682" s="2" t="inlineStr"/>
    </row>
    <row r="683" ht="15" customHeight="1">
      <c r="A683" t="inlineStr">
        <is>
          <t>A 60469-2025</t>
        </is>
      </c>
      <c r="B683" s="1" t="n">
        <v>45995.56527777778</v>
      </c>
      <c r="C683" s="1" t="n">
        <v>46181</v>
      </c>
      <c r="D683" t="inlineStr">
        <is>
          <t>VÄSTERBOTTENS LÄN</t>
        </is>
      </c>
      <c r="E683" t="inlineStr">
        <is>
          <t>ÅSELE</t>
        </is>
      </c>
      <c r="G683" t="n">
        <v>0.1</v>
      </c>
      <c r="H683" t="n">
        <v>0</v>
      </c>
      <c r="I683" t="n">
        <v>0</v>
      </c>
      <c r="J683" t="n">
        <v>0</v>
      </c>
      <c r="K683" t="n">
        <v>0</v>
      </c>
      <c r="L683" t="n">
        <v>0</v>
      </c>
      <c r="M683" t="n">
        <v>0</v>
      </c>
      <c r="N683" t="n">
        <v>0</v>
      </c>
      <c r="O683" t="n">
        <v>0</v>
      </c>
      <c r="P683" t="n">
        <v>0</v>
      </c>
      <c r="Q683" t="n">
        <v>0</v>
      </c>
      <c r="R683" s="2" t="inlineStr"/>
    </row>
    <row r="684" ht="15" customHeight="1">
      <c r="A684" t="inlineStr">
        <is>
          <t>A 36070-2023</t>
        </is>
      </c>
      <c r="B684" s="1" t="n">
        <v>45149</v>
      </c>
      <c r="C684" s="1" t="n">
        <v>46181</v>
      </c>
      <c r="D684" t="inlineStr">
        <is>
          <t>VÄSTERBOTTENS LÄN</t>
        </is>
      </c>
      <c r="E684" t="inlineStr">
        <is>
          <t>ÅSELE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60723-2025</t>
        </is>
      </c>
      <c r="B685" s="1" t="n">
        <v>45996.65587962963</v>
      </c>
      <c r="C685" s="1" t="n">
        <v>46181</v>
      </c>
      <c r="D685" t="inlineStr">
        <is>
          <t>VÄSTERBOTTENS LÄN</t>
        </is>
      </c>
      <c r="E685" t="inlineStr">
        <is>
          <t>ÅSELE</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41160-2024</t>
        </is>
      </c>
      <c r="B686" s="1" t="n">
        <v>45559.47989583333</v>
      </c>
      <c r="C686" s="1" t="n">
        <v>46181</v>
      </c>
      <c r="D686" t="inlineStr">
        <is>
          <t>VÄSTERBOTTENS LÄN</t>
        </is>
      </c>
      <c r="E686" t="inlineStr">
        <is>
          <t>ÅSELE</t>
        </is>
      </c>
      <c r="F686" t="inlineStr">
        <is>
          <t>Sveaskog</t>
        </is>
      </c>
      <c r="G686" t="n">
        <v>18.8</v>
      </c>
      <c r="H686" t="n">
        <v>0</v>
      </c>
      <c r="I686" t="n">
        <v>0</v>
      </c>
      <c r="J686" t="n">
        <v>0</v>
      </c>
      <c r="K686" t="n">
        <v>0</v>
      </c>
      <c r="L686" t="n">
        <v>0</v>
      </c>
      <c r="M686" t="n">
        <v>0</v>
      </c>
      <c r="N686" t="n">
        <v>0</v>
      </c>
      <c r="O686" t="n">
        <v>0</v>
      </c>
      <c r="P686" t="n">
        <v>0</v>
      </c>
      <c r="Q686" t="n">
        <v>0</v>
      </c>
      <c r="R686" s="2" t="inlineStr"/>
    </row>
    <row r="687" ht="15" customHeight="1">
      <c r="A687" t="inlineStr">
        <is>
          <t>A 2485-2023</t>
        </is>
      </c>
      <c r="B687" s="1" t="n">
        <v>44943.50074074074</v>
      </c>
      <c r="C687" s="1" t="n">
        <v>46181</v>
      </c>
      <c r="D687" t="inlineStr">
        <is>
          <t>VÄSTERBOTTENS LÄN</t>
        </is>
      </c>
      <c r="E687" t="inlineStr">
        <is>
          <t>ÅSELE</t>
        </is>
      </c>
      <c r="G687" t="n">
        <v>1.2</v>
      </c>
      <c r="H687" t="n">
        <v>0</v>
      </c>
      <c r="I687" t="n">
        <v>0</v>
      </c>
      <c r="J687" t="n">
        <v>0</v>
      </c>
      <c r="K687" t="n">
        <v>0</v>
      </c>
      <c r="L687" t="n">
        <v>0</v>
      </c>
      <c r="M687" t="n">
        <v>0</v>
      </c>
      <c r="N687" t="n">
        <v>0</v>
      </c>
      <c r="O687" t="n">
        <v>0</v>
      </c>
      <c r="P687" t="n">
        <v>0</v>
      </c>
      <c r="Q687" t="n">
        <v>0</v>
      </c>
      <c r="R687" s="2" t="inlineStr"/>
    </row>
    <row r="688" ht="15" customHeight="1">
      <c r="A688" t="inlineStr">
        <is>
          <t>A 2091-2024</t>
        </is>
      </c>
      <c r="B688" s="1" t="n">
        <v>45309</v>
      </c>
      <c r="C688" s="1" t="n">
        <v>46181</v>
      </c>
      <c r="D688" t="inlineStr">
        <is>
          <t>VÄSTERBOTTENS LÄN</t>
        </is>
      </c>
      <c r="E688" t="inlineStr">
        <is>
          <t>ÅSELE</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6682-2024</t>
        </is>
      </c>
      <c r="B689" s="1" t="n">
        <v>45341.92533564815</v>
      </c>
      <c r="C689" s="1" t="n">
        <v>46181</v>
      </c>
      <c r="D689" t="inlineStr">
        <is>
          <t>VÄSTERBOTTENS LÄN</t>
        </is>
      </c>
      <c r="E689" t="inlineStr">
        <is>
          <t>ÅSELE</t>
        </is>
      </c>
      <c r="G689" t="n">
        <v>0.4</v>
      </c>
      <c r="H689" t="n">
        <v>0</v>
      </c>
      <c r="I689" t="n">
        <v>0</v>
      </c>
      <c r="J689" t="n">
        <v>0</v>
      </c>
      <c r="K689" t="n">
        <v>0</v>
      </c>
      <c r="L689" t="n">
        <v>0</v>
      </c>
      <c r="M689" t="n">
        <v>0</v>
      </c>
      <c r="N689" t="n">
        <v>0</v>
      </c>
      <c r="O689" t="n">
        <v>0</v>
      </c>
      <c r="P689" t="n">
        <v>0</v>
      </c>
      <c r="Q689" t="n">
        <v>0</v>
      </c>
      <c r="R689" s="2" t="inlineStr"/>
    </row>
    <row r="690" ht="15" customHeight="1">
      <c r="A690" t="inlineStr">
        <is>
          <t>A 17284-2025</t>
        </is>
      </c>
      <c r="B690" s="1" t="n">
        <v>45756.57346064815</v>
      </c>
      <c r="C690" s="1" t="n">
        <v>46181</v>
      </c>
      <c r="D690" t="inlineStr">
        <is>
          <t>VÄSTERBOTTENS LÄN</t>
        </is>
      </c>
      <c r="E690" t="inlineStr">
        <is>
          <t>ÅSELE</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12589-2024</t>
        </is>
      </c>
      <c r="B691" s="1" t="n">
        <v>45379.93677083333</v>
      </c>
      <c r="C691" s="1" t="n">
        <v>46181</v>
      </c>
      <c r="D691" t="inlineStr">
        <is>
          <t>VÄSTERBOTTENS LÄN</t>
        </is>
      </c>
      <c r="E691" t="inlineStr">
        <is>
          <t>ÅSELE</t>
        </is>
      </c>
      <c r="F691" t="inlineStr">
        <is>
          <t>SCA</t>
        </is>
      </c>
      <c r="G691" t="n">
        <v>6.2</v>
      </c>
      <c r="H691" t="n">
        <v>0</v>
      </c>
      <c r="I691" t="n">
        <v>0</v>
      </c>
      <c r="J691" t="n">
        <v>0</v>
      </c>
      <c r="K691" t="n">
        <v>0</v>
      </c>
      <c r="L691" t="n">
        <v>0</v>
      </c>
      <c r="M691" t="n">
        <v>0</v>
      </c>
      <c r="N691" t="n">
        <v>0</v>
      </c>
      <c r="O691" t="n">
        <v>0</v>
      </c>
      <c r="P691" t="n">
        <v>0</v>
      </c>
      <c r="Q691" t="n">
        <v>0</v>
      </c>
      <c r="R691" s="2" t="inlineStr"/>
    </row>
    <row r="692" ht="15" customHeight="1">
      <c r="A692" t="inlineStr">
        <is>
          <t>A 43286-2025</t>
        </is>
      </c>
      <c r="B692" s="1" t="n">
        <v>45910</v>
      </c>
      <c r="C692" s="1" t="n">
        <v>46181</v>
      </c>
      <c r="D692" t="inlineStr">
        <is>
          <t>VÄSTERBOTTENS LÄN</t>
        </is>
      </c>
      <c r="E692" t="inlineStr">
        <is>
          <t>ÅSELE</t>
        </is>
      </c>
      <c r="F692" t="inlineStr">
        <is>
          <t>Kyrkan</t>
        </is>
      </c>
      <c r="G692" t="n">
        <v>7.6</v>
      </c>
      <c r="H692" t="n">
        <v>0</v>
      </c>
      <c r="I692" t="n">
        <v>0</v>
      </c>
      <c r="J692" t="n">
        <v>0</v>
      </c>
      <c r="K692" t="n">
        <v>0</v>
      </c>
      <c r="L692" t="n">
        <v>0</v>
      </c>
      <c r="M692" t="n">
        <v>0</v>
      </c>
      <c r="N692" t="n">
        <v>0</v>
      </c>
      <c r="O692" t="n">
        <v>0</v>
      </c>
      <c r="P692" t="n">
        <v>0</v>
      </c>
      <c r="Q692" t="n">
        <v>0</v>
      </c>
      <c r="R692" s="2" t="inlineStr"/>
    </row>
    <row r="693" ht="15" customHeight="1">
      <c r="A693" t="inlineStr">
        <is>
          <t>A 18009-2025</t>
        </is>
      </c>
      <c r="B693" s="1" t="n">
        <v>45761</v>
      </c>
      <c r="C693" s="1" t="n">
        <v>46181</v>
      </c>
      <c r="D693" t="inlineStr">
        <is>
          <t>VÄSTERBOTTENS LÄN</t>
        </is>
      </c>
      <c r="E693" t="inlineStr">
        <is>
          <t>ÅSELE</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61457-2025</t>
        </is>
      </c>
      <c r="B694" s="1" t="n">
        <v>46001.59224537037</v>
      </c>
      <c r="C694" s="1" t="n">
        <v>46181</v>
      </c>
      <c r="D694" t="inlineStr">
        <is>
          <t>VÄSTERBOTTENS LÄN</t>
        </is>
      </c>
      <c r="E694" t="inlineStr">
        <is>
          <t>ÅSELE</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41960-2024</t>
        </is>
      </c>
      <c r="B695" s="1" t="n">
        <v>45561</v>
      </c>
      <c r="C695" s="1" t="n">
        <v>46181</v>
      </c>
      <c r="D695" t="inlineStr">
        <is>
          <t>VÄSTERBOTTENS LÄN</t>
        </is>
      </c>
      <c r="E695" t="inlineStr">
        <is>
          <t>ÅSELE</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61506-2025</t>
        </is>
      </c>
      <c r="B696" s="1" t="n">
        <v>46001.68094907407</v>
      </c>
      <c r="C696" s="1" t="n">
        <v>46181</v>
      </c>
      <c r="D696" t="inlineStr">
        <is>
          <t>VÄSTERBOTTENS LÄN</t>
        </is>
      </c>
      <c r="E696" t="inlineStr">
        <is>
          <t>ÅSELE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3250-2025</t>
        </is>
      </c>
      <c r="B697" s="1" t="n">
        <v>45679</v>
      </c>
      <c r="C697" s="1" t="n">
        <v>46181</v>
      </c>
      <c r="D697" t="inlineStr">
        <is>
          <t>VÄSTERBOTTENS LÄN</t>
        </is>
      </c>
      <c r="E697" t="inlineStr">
        <is>
          <t>ÅSELE</t>
        </is>
      </c>
      <c r="G697" t="n">
        <v>2.3</v>
      </c>
      <c r="H697" t="n">
        <v>0</v>
      </c>
      <c r="I697" t="n">
        <v>0</v>
      </c>
      <c r="J697" t="n">
        <v>0</v>
      </c>
      <c r="K697" t="n">
        <v>0</v>
      </c>
      <c r="L697" t="n">
        <v>0</v>
      </c>
      <c r="M697" t="n">
        <v>0</v>
      </c>
      <c r="N697" t="n">
        <v>0</v>
      </c>
      <c r="O697" t="n">
        <v>0</v>
      </c>
      <c r="P697" t="n">
        <v>0</v>
      </c>
      <c r="Q697" t="n">
        <v>0</v>
      </c>
      <c r="R697" s="2" t="inlineStr"/>
    </row>
    <row r="698" ht="15" customHeight="1">
      <c r="A698" t="inlineStr">
        <is>
          <t>A 61450-2025</t>
        </is>
      </c>
      <c r="B698" s="1" t="n">
        <v>46001.57803240741</v>
      </c>
      <c r="C698" s="1" t="n">
        <v>46181</v>
      </c>
      <c r="D698" t="inlineStr">
        <is>
          <t>VÄSTERBOTTENS LÄN</t>
        </is>
      </c>
      <c r="E698" t="inlineStr">
        <is>
          <t>ÅSELE</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20962-2026</t>
        </is>
      </c>
      <c r="B699" s="1" t="n">
        <v>46142.54586805555</v>
      </c>
      <c r="C699" s="1" t="n">
        <v>46181</v>
      </c>
      <c r="D699" t="inlineStr">
        <is>
          <t>VÄSTERBOTTENS LÄN</t>
        </is>
      </c>
      <c r="E699" t="inlineStr">
        <is>
          <t>ÅSELE</t>
        </is>
      </c>
      <c r="F699" t="inlineStr">
        <is>
          <t>Sveaskog</t>
        </is>
      </c>
      <c r="G699" t="n">
        <v>15.2</v>
      </c>
      <c r="H699" t="n">
        <v>0</v>
      </c>
      <c r="I699" t="n">
        <v>0</v>
      </c>
      <c r="J699" t="n">
        <v>0</v>
      </c>
      <c r="K699" t="n">
        <v>0</v>
      </c>
      <c r="L699" t="n">
        <v>0</v>
      </c>
      <c r="M699" t="n">
        <v>0</v>
      </c>
      <c r="N699" t="n">
        <v>0</v>
      </c>
      <c r="O699" t="n">
        <v>0</v>
      </c>
      <c r="P699" t="n">
        <v>0</v>
      </c>
      <c r="Q699" t="n">
        <v>0</v>
      </c>
      <c r="R699" s="2" t="inlineStr"/>
    </row>
    <row r="700" ht="15" customHeight="1">
      <c r="A700" t="inlineStr">
        <is>
          <t>A 14458-2026</t>
        </is>
      </c>
      <c r="B700" s="1" t="n">
        <v>46100.53188657408</v>
      </c>
      <c r="C700" s="1" t="n">
        <v>46181</v>
      </c>
      <c r="D700" t="inlineStr">
        <is>
          <t>VÄSTERBOTTENS LÄN</t>
        </is>
      </c>
      <c r="E700" t="inlineStr">
        <is>
          <t>ÅSELE</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61462-2025</t>
        </is>
      </c>
      <c r="B701" s="1" t="n">
        <v>46001.59894675926</v>
      </c>
      <c r="C701" s="1" t="n">
        <v>46181</v>
      </c>
      <c r="D701" t="inlineStr">
        <is>
          <t>VÄSTERBOTTENS LÄN</t>
        </is>
      </c>
      <c r="E701" t="inlineStr">
        <is>
          <t>ÅSELE</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28854-2023</t>
        </is>
      </c>
      <c r="B702" s="1" t="n">
        <v>45104</v>
      </c>
      <c r="C702" s="1" t="n">
        <v>46181</v>
      </c>
      <c r="D702" t="inlineStr">
        <is>
          <t>VÄSTERBOTTENS LÄN</t>
        </is>
      </c>
      <c r="E702" t="inlineStr">
        <is>
          <t>ÅSELE</t>
        </is>
      </c>
      <c r="F702" t="inlineStr">
        <is>
          <t>Naturvårdsverket</t>
        </is>
      </c>
      <c r="G702" t="n">
        <v>15.8</v>
      </c>
      <c r="H702" t="n">
        <v>0</v>
      </c>
      <c r="I702" t="n">
        <v>0</v>
      </c>
      <c r="J702" t="n">
        <v>0</v>
      </c>
      <c r="K702" t="n">
        <v>0</v>
      </c>
      <c r="L702" t="n">
        <v>0</v>
      </c>
      <c r="M702" t="n">
        <v>0</v>
      </c>
      <c r="N702" t="n">
        <v>0</v>
      </c>
      <c r="O702" t="n">
        <v>0</v>
      </c>
      <c r="P702" t="n">
        <v>0</v>
      </c>
      <c r="Q702" t="n">
        <v>0</v>
      </c>
      <c r="R702" s="2" t="inlineStr"/>
    </row>
    <row r="703" ht="15" customHeight="1">
      <c r="A703" t="inlineStr">
        <is>
          <t>A 61519-2025</t>
        </is>
      </c>
      <c r="B703" s="1" t="n">
        <v>46001.68630787037</v>
      </c>
      <c r="C703" s="1" t="n">
        <v>46181</v>
      </c>
      <c r="D703" t="inlineStr">
        <is>
          <t>VÄSTERBOTTENS LÄN</t>
        </is>
      </c>
      <c r="E703" t="inlineStr">
        <is>
          <t>ÅSELE</t>
        </is>
      </c>
      <c r="F703" t="inlineStr">
        <is>
          <t>SCA</t>
        </is>
      </c>
      <c r="G703" t="n">
        <v>17.4</v>
      </c>
      <c r="H703" t="n">
        <v>0</v>
      </c>
      <c r="I703" t="n">
        <v>0</v>
      </c>
      <c r="J703" t="n">
        <v>0</v>
      </c>
      <c r="K703" t="n">
        <v>0</v>
      </c>
      <c r="L703" t="n">
        <v>0</v>
      </c>
      <c r="M703" t="n">
        <v>0</v>
      </c>
      <c r="N703" t="n">
        <v>0</v>
      </c>
      <c r="O703" t="n">
        <v>0</v>
      </c>
      <c r="P703" t="n">
        <v>0</v>
      </c>
      <c r="Q703" t="n">
        <v>0</v>
      </c>
      <c r="R703" s="2" t="inlineStr"/>
    </row>
    <row r="704" ht="15" customHeight="1">
      <c r="A704" t="inlineStr">
        <is>
          <t>A 36959-2024</t>
        </is>
      </c>
      <c r="B704" s="1" t="n">
        <v>45538</v>
      </c>
      <c r="C704" s="1" t="n">
        <v>46181</v>
      </c>
      <c r="D704" t="inlineStr">
        <is>
          <t>VÄSTERBOTTENS LÄN</t>
        </is>
      </c>
      <c r="E704" t="inlineStr">
        <is>
          <t>ÅSELE</t>
        </is>
      </c>
      <c r="F704" t="inlineStr">
        <is>
          <t>Naturvårdsverket</t>
        </is>
      </c>
      <c r="G704" t="n">
        <v>13.4</v>
      </c>
      <c r="H704" t="n">
        <v>0</v>
      </c>
      <c r="I704" t="n">
        <v>0</v>
      </c>
      <c r="J704" t="n">
        <v>0</v>
      </c>
      <c r="K704" t="n">
        <v>0</v>
      </c>
      <c r="L704" t="n">
        <v>0</v>
      </c>
      <c r="M704" t="n">
        <v>0</v>
      </c>
      <c r="N704" t="n">
        <v>0</v>
      </c>
      <c r="O704" t="n">
        <v>0</v>
      </c>
      <c r="P704" t="n">
        <v>0</v>
      </c>
      <c r="Q704" t="n">
        <v>0</v>
      </c>
      <c r="R704" s="2" t="inlineStr"/>
    </row>
    <row r="705" ht="15" customHeight="1">
      <c r="A705" t="inlineStr">
        <is>
          <t>A 43133-2023</t>
        </is>
      </c>
      <c r="B705" s="1" t="n">
        <v>45182</v>
      </c>
      <c r="C705" s="1" t="n">
        <v>46181</v>
      </c>
      <c r="D705" t="inlineStr">
        <is>
          <t>VÄSTERBOTTENS LÄN</t>
        </is>
      </c>
      <c r="E705" t="inlineStr">
        <is>
          <t>ÅSELE</t>
        </is>
      </c>
      <c r="F705" t="inlineStr">
        <is>
          <t>SCA</t>
        </is>
      </c>
      <c r="G705" t="n">
        <v>14.1</v>
      </c>
      <c r="H705" t="n">
        <v>0</v>
      </c>
      <c r="I705" t="n">
        <v>0</v>
      </c>
      <c r="J705" t="n">
        <v>0</v>
      </c>
      <c r="K705" t="n">
        <v>0</v>
      </c>
      <c r="L705" t="n">
        <v>0</v>
      </c>
      <c r="M705" t="n">
        <v>0</v>
      </c>
      <c r="N705" t="n">
        <v>0</v>
      </c>
      <c r="O705" t="n">
        <v>0</v>
      </c>
      <c r="P705" t="n">
        <v>0</v>
      </c>
      <c r="Q705" t="n">
        <v>0</v>
      </c>
      <c r="R705" s="2" t="inlineStr"/>
    </row>
    <row r="706" ht="15" customHeight="1">
      <c r="A706" t="inlineStr">
        <is>
          <t>A 32993-2023</t>
        </is>
      </c>
      <c r="B706" s="1" t="n">
        <v>45113</v>
      </c>
      <c r="C706" s="1" t="n">
        <v>46181</v>
      </c>
      <c r="D706" t="inlineStr">
        <is>
          <t>VÄSTERBOTTENS LÄN</t>
        </is>
      </c>
      <c r="E706" t="inlineStr">
        <is>
          <t>ÅSELE</t>
        </is>
      </c>
      <c r="G706" t="n">
        <v>3.2</v>
      </c>
      <c r="H706" t="n">
        <v>0</v>
      </c>
      <c r="I706" t="n">
        <v>0</v>
      </c>
      <c r="J706" t="n">
        <v>0</v>
      </c>
      <c r="K706" t="n">
        <v>0</v>
      </c>
      <c r="L706" t="n">
        <v>0</v>
      </c>
      <c r="M706" t="n">
        <v>0</v>
      </c>
      <c r="N706" t="n">
        <v>0</v>
      </c>
      <c r="O706" t="n">
        <v>0</v>
      </c>
      <c r="P706" t="n">
        <v>0</v>
      </c>
      <c r="Q706" t="n">
        <v>0</v>
      </c>
      <c r="R706" s="2" t="inlineStr"/>
    </row>
    <row r="707" ht="15" customHeight="1">
      <c r="A707" t="inlineStr">
        <is>
          <t>A 32586-2023</t>
        </is>
      </c>
      <c r="B707" s="1" t="n">
        <v>45121</v>
      </c>
      <c r="C707" s="1" t="n">
        <v>46181</v>
      </c>
      <c r="D707" t="inlineStr">
        <is>
          <t>VÄSTERBOTTENS LÄN</t>
        </is>
      </c>
      <c r="E707" t="inlineStr">
        <is>
          <t>ÅSELE</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64898-2023</t>
        </is>
      </c>
      <c r="B708" s="1" t="n">
        <v>45282.61475694444</v>
      </c>
      <c r="C708" s="1" t="n">
        <v>46181</v>
      </c>
      <c r="D708" t="inlineStr">
        <is>
          <t>VÄSTERBOTTENS LÄN</t>
        </is>
      </c>
      <c r="E708" t="inlineStr">
        <is>
          <t>ÅSELE</t>
        </is>
      </c>
      <c r="G708" t="n">
        <v>4.1</v>
      </c>
      <c r="H708" t="n">
        <v>0</v>
      </c>
      <c r="I708" t="n">
        <v>0</v>
      </c>
      <c r="J708" t="n">
        <v>0</v>
      </c>
      <c r="K708" t="n">
        <v>0</v>
      </c>
      <c r="L708" t="n">
        <v>0</v>
      </c>
      <c r="M708" t="n">
        <v>0</v>
      </c>
      <c r="N708" t="n">
        <v>0</v>
      </c>
      <c r="O708" t="n">
        <v>0</v>
      </c>
      <c r="P708" t="n">
        <v>0</v>
      </c>
      <c r="Q708" t="n">
        <v>0</v>
      </c>
      <c r="R708" s="2" t="inlineStr"/>
    </row>
    <row r="709" ht="15" customHeight="1">
      <c r="A709" t="inlineStr">
        <is>
          <t>A 62179-2025</t>
        </is>
      </c>
      <c r="B709" s="1" t="n">
        <v>46006.52695601852</v>
      </c>
      <c r="C709" s="1" t="n">
        <v>46181</v>
      </c>
      <c r="D709" t="inlineStr">
        <is>
          <t>VÄSTERBOTTENS LÄN</t>
        </is>
      </c>
      <c r="E709" t="inlineStr">
        <is>
          <t>ÅSELE</t>
        </is>
      </c>
      <c r="F709" t="inlineStr">
        <is>
          <t>Holmen skog AB</t>
        </is>
      </c>
      <c r="G709" t="n">
        <v>4.8</v>
      </c>
      <c r="H709" t="n">
        <v>0</v>
      </c>
      <c r="I709" t="n">
        <v>0</v>
      </c>
      <c r="J709" t="n">
        <v>0</v>
      </c>
      <c r="K709" t="n">
        <v>0</v>
      </c>
      <c r="L709" t="n">
        <v>0</v>
      </c>
      <c r="M709" t="n">
        <v>0</v>
      </c>
      <c r="N709" t="n">
        <v>0</v>
      </c>
      <c r="O709" t="n">
        <v>0</v>
      </c>
      <c r="P709" t="n">
        <v>0</v>
      </c>
      <c r="Q709" t="n">
        <v>0</v>
      </c>
      <c r="R709" s="2" t="inlineStr"/>
    </row>
    <row r="710" ht="15" customHeight="1">
      <c r="A710" t="inlineStr">
        <is>
          <t>A 20985-2026</t>
        </is>
      </c>
      <c r="B710" s="1" t="n">
        <v>46142.59431712963</v>
      </c>
      <c r="C710" s="1" t="n">
        <v>46181</v>
      </c>
      <c r="D710" t="inlineStr">
        <is>
          <t>VÄSTERBOTTENS LÄN</t>
        </is>
      </c>
      <c r="E710" t="inlineStr">
        <is>
          <t>ÅSELE</t>
        </is>
      </c>
      <c r="F710" t="inlineStr">
        <is>
          <t>SCA</t>
        </is>
      </c>
      <c r="G710" t="n">
        <v>7.4</v>
      </c>
      <c r="H710" t="n">
        <v>0</v>
      </c>
      <c r="I710" t="n">
        <v>0</v>
      </c>
      <c r="J710" t="n">
        <v>0</v>
      </c>
      <c r="K710" t="n">
        <v>0</v>
      </c>
      <c r="L710" t="n">
        <v>0</v>
      </c>
      <c r="M710" t="n">
        <v>0</v>
      </c>
      <c r="N710" t="n">
        <v>0</v>
      </c>
      <c r="O710" t="n">
        <v>0</v>
      </c>
      <c r="P710" t="n">
        <v>0</v>
      </c>
      <c r="Q710" t="n">
        <v>0</v>
      </c>
      <c r="R710" s="2" t="inlineStr"/>
    </row>
    <row r="711" ht="15" customHeight="1">
      <c r="A711" t="inlineStr">
        <is>
          <t>A 62309-2025</t>
        </is>
      </c>
      <c r="B711" s="1" t="n">
        <v>46006.67302083333</v>
      </c>
      <c r="C711" s="1" t="n">
        <v>46181</v>
      </c>
      <c r="D711" t="inlineStr">
        <is>
          <t>VÄSTERBOTTENS LÄN</t>
        </is>
      </c>
      <c r="E711" t="inlineStr">
        <is>
          <t>ÅSELE</t>
        </is>
      </c>
      <c r="F711" t="inlineStr">
        <is>
          <t>Naturvårdsverket</t>
        </is>
      </c>
      <c r="G711" t="n">
        <v>4.5</v>
      </c>
      <c r="H711" t="n">
        <v>0</v>
      </c>
      <c r="I711" t="n">
        <v>0</v>
      </c>
      <c r="J711" t="n">
        <v>0</v>
      </c>
      <c r="K711" t="n">
        <v>0</v>
      </c>
      <c r="L711" t="n">
        <v>0</v>
      </c>
      <c r="M711" t="n">
        <v>0</v>
      </c>
      <c r="N711" t="n">
        <v>0</v>
      </c>
      <c r="O711" t="n">
        <v>0</v>
      </c>
      <c r="P711" t="n">
        <v>0</v>
      </c>
      <c r="Q711" t="n">
        <v>0</v>
      </c>
      <c r="R711" s="2" t="inlineStr"/>
    </row>
    <row r="712" ht="15" customHeight="1">
      <c r="A712" t="inlineStr">
        <is>
          <t>A 62975-2021</t>
        </is>
      </c>
      <c r="B712" s="1" t="n">
        <v>44505</v>
      </c>
      <c r="C712" s="1" t="n">
        <v>46181</v>
      </c>
      <c r="D712" t="inlineStr">
        <is>
          <t>VÄSTERBOTTENS LÄN</t>
        </is>
      </c>
      <c r="E712" t="inlineStr">
        <is>
          <t>ÅSELE</t>
        </is>
      </c>
      <c r="F712" t="inlineStr">
        <is>
          <t>Holmen skog AB</t>
        </is>
      </c>
      <c r="G712" t="n">
        <v>2.1</v>
      </c>
      <c r="H712" t="n">
        <v>0</v>
      </c>
      <c r="I712" t="n">
        <v>0</v>
      </c>
      <c r="J712" t="n">
        <v>0</v>
      </c>
      <c r="K712" t="n">
        <v>0</v>
      </c>
      <c r="L712" t="n">
        <v>0</v>
      </c>
      <c r="M712" t="n">
        <v>0</v>
      </c>
      <c r="N712" t="n">
        <v>0</v>
      </c>
      <c r="O712" t="n">
        <v>0</v>
      </c>
      <c r="P712" t="n">
        <v>0</v>
      </c>
      <c r="Q712" t="n">
        <v>0</v>
      </c>
      <c r="R712" s="2" t="inlineStr"/>
    </row>
    <row r="713" ht="15" customHeight="1">
      <c r="A713" t="inlineStr">
        <is>
          <t>A 63060-2023</t>
        </is>
      </c>
      <c r="B713" s="1" t="n">
        <v>45272.95590277778</v>
      </c>
      <c r="C713" s="1" t="n">
        <v>46181</v>
      </c>
      <c r="D713" t="inlineStr">
        <is>
          <t>VÄSTERBOTTENS LÄN</t>
        </is>
      </c>
      <c r="E713" t="inlineStr">
        <is>
          <t>ÅSELE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17285-2025</t>
        </is>
      </c>
      <c r="B714" s="1" t="n">
        <v>45756.57349537037</v>
      </c>
      <c r="C714" s="1" t="n">
        <v>46181</v>
      </c>
      <c r="D714" t="inlineStr">
        <is>
          <t>VÄSTERBOTTENS LÄN</t>
        </is>
      </c>
      <c r="E714" t="inlineStr">
        <is>
          <t>ÅSELE</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29054-2023</t>
        </is>
      </c>
      <c r="B715" s="1" t="n">
        <v>45104.92340277778</v>
      </c>
      <c r="C715" s="1" t="n">
        <v>46181</v>
      </c>
      <c r="D715" t="inlineStr">
        <is>
          <t>VÄSTERBOTTENS LÄN</t>
        </is>
      </c>
      <c r="E715" t="inlineStr">
        <is>
          <t>ÅSELE</t>
        </is>
      </c>
      <c r="G715" t="n">
        <v>1.9</v>
      </c>
      <c r="H715" t="n">
        <v>0</v>
      </c>
      <c r="I715" t="n">
        <v>0</v>
      </c>
      <c r="J715" t="n">
        <v>0</v>
      </c>
      <c r="K715" t="n">
        <v>0</v>
      </c>
      <c r="L715" t="n">
        <v>0</v>
      </c>
      <c r="M715" t="n">
        <v>0</v>
      </c>
      <c r="N715" t="n">
        <v>0</v>
      </c>
      <c r="O715" t="n">
        <v>0</v>
      </c>
      <c r="P715" t="n">
        <v>0</v>
      </c>
      <c r="Q715" t="n">
        <v>0</v>
      </c>
      <c r="R715" s="2" t="inlineStr"/>
    </row>
    <row r="716" ht="15" customHeight="1">
      <c r="A716" t="inlineStr">
        <is>
          <t>A 29055-2023</t>
        </is>
      </c>
      <c r="B716" s="1" t="n">
        <v>45104.9234375</v>
      </c>
      <c r="C716" s="1" t="n">
        <v>46181</v>
      </c>
      <c r="D716" t="inlineStr">
        <is>
          <t>VÄSTERBOTTENS LÄN</t>
        </is>
      </c>
      <c r="E716" t="inlineStr">
        <is>
          <t>ÅSELE</t>
        </is>
      </c>
      <c r="G716" t="n">
        <v>3.5</v>
      </c>
      <c r="H716" t="n">
        <v>0</v>
      </c>
      <c r="I716" t="n">
        <v>0</v>
      </c>
      <c r="J716" t="n">
        <v>0</v>
      </c>
      <c r="K716" t="n">
        <v>0</v>
      </c>
      <c r="L716" t="n">
        <v>0</v>
      </c>
      <c r="M716" t="n">
        <v>0</v>
      </c>
      <c r="N716" t="n">
        <v>0</v>
      </c>
      <c r="O716" t="n">
        <v>0</v>
      </c>
      <c r="P716" t="n">
        <v>0</v>
      </c>
      <c r="Q716" t="n">
        <v>0</v>
      </c>
      <c r="R716" s="2" t="inlineStr"/>
    </row>
    <row r="717" ht="15" customHeight="1">
      <c r="A717" t="inlineStr">
        <is>
          <t>A 62364-2025</t>
        </is>
      </c>
      <c r="B717" s="1" t="n">
        <v>46007.32546296297</v>
      </c>
      <c r="C717" s="1" t="n">
        <v>46181</v>
      </c>
      <c r="D717" t="inlineStr">
        <is>
          <t>VÄSTERBOTTENS LÄN</t>
        </is>
      </c>
      <c r="E717" t="inlineStr">
        <is>
          <t>ÅSELE</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28279-2023</t>
        </is>
      </c>
      <c r="B718" s="1" t="n">
        <v>45099.62826388889</v>
      </c>
      <c r="C718" s="1" t="n">
        <v>46181</v>
      </c>
      <c r="D718" t="inlineStr">
        <is>
          <t>VÄSTERBOTTENS LÄN</t>
        </is>
      </c>
      <c r="E718" t="inlineStr">
        <is>
          <t>ÅSELE</t>
        </is>
      </c>
      <c r="F718" t="inlineStr">
        <is>
          <t>Sveaskog</t>
        </is>
      </c>
      <c r="G718" t="n">
        <v>16.6</v>
      </c>
      <c r="H718" t="n">
        <v>0</v>
      </c>
      <c r="I718" t="n">
        <v>0</v>
      </c>
      <c r="J718" t="n">
        <v>0</v>
      </c>
      <c r="K718" t="n">
        <v>0</v>
      </c>
      <c r="L718" t="n">
        <v>0</v>
      </c>
      <c r="M718" t="n">
        <v>0</v>
      </c>
      <c r="N718" t="n">
        <v>0</v>
      </c>
      <c r="O718" t="n">
        <v>0</v>
      </c>
      <c r="P718" t="n">
        <v>0</v>
      </c>
      <c r="Q718" t="n">
        <v>0</v>
      </c>
      <c r="R718" s="2" t="inlineStr"/>
    </row>
    <row r="719" ht="15" customHeight="1">
      <c r="A719" t="inlineStr">
        <is>
          <t>A 58386-2022</t>
        </is>
      </c>
      <c r="B719" s="1" t="n">
        <v>44894</v>
      </c>
      <c r="C719" s="1" t="n">
        <v>46181</v>
      </c>
      <c r="D719" t="inlineStr">
        <is>
          <t>VÄSTERBOTTENS LÄN</t>
        </is>
      </c>
      <c r="E719" t="inlineStr">
        <is>
          <t>ÅSELE</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15051-2026</t>
        </is>
      </c>
      <c r="B720" s="1" t="n">
        <v>46104.67607638889</v>
      </c>
      <c r="C720" s="1" t="n">
        <v>46181</v>
      </c>
      <c r="D720" t="inlineStr">
        <is>
          <t>VÄSTERBOTTENS LÄN</t>
        </is>
      </c>
      <c r="E720" t="inlineStr">
        <is>
          <t>ÅSELE</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22267-2023</t>
        </is>
      </c>
      <c r="B721" s="1" t="n">
        <v>45068</v>
      </c>
      <c r="C721" s="1" t="n">
        <v>46181</v>
      </c>
      <c r="D721" t="inlineStr">
        <is>
          <t>VÄSTERBOTTENS LÄN</t>
        </is>
      </c>
      <c r="E721" t="inlineStr">
        <is>
          <t>ÅSELE</t>
        </is>
      </c>
      <c r="G721" t="n">
        <v>2.1</v>
      </c>
      <c r="H721" t="n">
        <v>0</v>
      </c>
      <c r="I721" t="n">
        <v>0</v>
      </c>
      <c r="J721" t="n">
        <v>0</v>
      </c>
      <c r="K721" t="n">
        <v>0</v>
      </c>
      <c r="L721" t="n">
        <v>0</v>
      </c>
      <c r="M721" t="n">
        <v>0</v>
      </c>
      <c r="N721" t="n">
        <v>0</v>
      </c>
      <c r="O721" t="n">
        <v>0</v>
      </c>
      <c r="P721" t="n">
        <v>0</v>
      </c>
      <c r="Q721" t="n">
        <v>0</v>
      </c>
      <c r="R721" s="2" t="inlineStr"/>
    </row>
    <row r="722" ht="15" customHeight="1">
      <c r="A722" t="inlineStr">
        <is>
          <t>A 29967-2024</t>
        </is>
      </c>
      <c r="B722" s="1" t="n">
        <v>45488.4725925926</v>
      </c>
      <c r="C722" s="1" t="n">
        <v>46181</v>
      </c>
      <c r="D722" t="inlineStr">
        <is>
          <t>VÄSTERBOTTENS LÄN</t>
        </is>
      </c>
      <c r="E722" t="inlineStr">
        <is>
          <t>ÅSELE</t>
        </is>
      </c>
      <c r="G722" t="n">
        <v>5.8</v>
      </c>
      <c r="H722" t="n">
        <v>0</v>
      </c>
      <c r="I722" t="n">
        <v>0</v>
      </c>
      <c r="J722" t="n">
        <v>0</v>
      </c>
      <c r="K722" t="n">
        <v>0</v>
      </c>
      <c r="L722" t="n">
        <v>0</v>
      </c>
      <c r="M722" t="n">
        <v>0</v>
      </c>
      <c r="N722" t="n">
        <v>0</v>
      </c>
      <c r="O722" t="n">
        <v>0</v>
      </c>
      <c r="P722" t="n">
        <v>0</v>
      </c>
      <c r="Q722" t="n">
        <v>0</v>
      </c>
      <c r="R722" s="2" t="inlineStr"/>
    </row>
    <row r="723" ht="15" customHeight="1">
      <c r="A723" t="inlineStr">
        <is>
          <t>A 29726-2023</t>
        </is>
      </c>
      <c r="B723" s="1" t="n">
        <v>45107.44431712963</v>
      </c>
      <c r="C723" s="1" t="n">
        <v>46181</v>
      </c>
      <c r="D723" t="inlineStr">
        <is>
          <t>VÄSTERBOTTENS LÄN</t>
        </is>
      </c>
      <c r="E723" t="inlineStr">
        <is>
          <t>ÅSELE</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50284-2024</t>
        </is>
      </c>
      <c r="B724" s="1" t="n">
        <v>45600.61493055556</v>
      </c>
      <c r="C724" s="1" t="n">
        <v>46181</v>
      </c>
      <c r="D724" t="inlineStr">
        <is>
          <t>VÄSTERBOTTENS LÄN</t>
        </is>
      </c>
      <c r="E724" t="inlineStr">
        <is>
          <t>ÅSELE</t>
        </is>
      </c>
      <c r="F724" t="inlineStr">
        <is>
          <t>SCA</t>
        </is>
      </c>
      <c r="G724" t="n">
        <v>15.3</v>
      </c>
      <c r="H724" t="n">
        <v>0</v>
      </c>
      <c r="I724" t="n">
        <v>0</v>
      </c>
      <c r="J724" t="n">
        <v>0</v>
      </c>
      <c r="K724" t="n">
        <v>0</v>
      </c>
      <c r="L724" t="n">
        <v>0</v>
      </c>
      <c r="M724" t="n">
        <v>0</v>
      </c>
      <c r="N724" t="n">
        <v>0</v>
      </c>
      <c r="O724" t="n">
        <v>0</v>
      </c>
      <c r="P724" t="n">
        <v>0</v>
      </c>
      <c r="Q724" t="n">
        <v>0</v>
      </c>
      <c r="R724" s="2" t="inlineStr"/>
    </row>
    <row r="725" ht="15" customHeight="1">
      <c r="A725" t="inlineStr">
        <is>
          <t>A 38350-2024</t>
        </is>
      </c>
      <c r="B725" s="1" t="n">
        <v>45545</v>
      </c>
      <c r="C725" s="1" t="n">
        <v>46181</v>
      </c>
      <c r="D725" t="inlineStr">
        <is>
          <t>VÄSTERBOTTENS LÄN</t>
        </is>
      </c>
      <c r="E725" t="inlineStr">
        <is>
          <t>ÅSELE</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15854-2026</t>
        </is>
      </c>
      <c r="B726" s="1" t="n">
        <v>46107</v>
      </c>
      <c r="C726" s="1" t="n">
        <v>46181</v>
      </c>
      <c r="D726" t="inlineStr">
        <is>
          <t>VÄSTERBOTTENS LÄN</t>
        </is>
      </c>
      <c r="E726" t="inlineStr">
        <is>
          <t>ÅSELE</t>
        </is>
      </c>
      <c r="G726" t="n">
        <v>1.5</v>
      </c>
      <c r="H726" t="n">
        <v>0</v>
      </c>
      <c r="I726" t="n">
        <v>0</v>
      </c>
      <c r="J726" t="n">
        <v>0</v>
      </c>
      <c r="K726" t="n">
        <v>0</v>
      </c>
      <c r="L726" t="n">
        <v>0</v>
      </c>
      <c r="M726" t="n">
        <v>0</v>
      </c>
      <c r="N726" t="n">
        <v>0</v>
      </c>
      <c r="O726" t="n">
        <v>0</v>
      </c>
      <c r="P726" t="n">
        <v>0</v>
      </c>
      <c r="Q726" t="n">
        <v>0</v>
      </c>
      <c r="R726" s="2" t="inlineStr"/>
    </row>
    <row r="727" ht="15" customHeight="1">
      <c r="A727" t="inlineStr">
        <is>
          <t>A 21341-2024</t>
        </is>
      </c>
      <c r="B727" s="1" t="n">
        <v>45440.92835648148</v>
      </c>
      <c r="C727" s="1" t="n">
        <v>46181</v>
      </c>
      <c r="D727" t="inlineStr">
        <is>
          <t>VÄSTERBOTTENS LÄN</t>
        </is>
      </c>
      <c r="E727" t="inlineStr">
        <is>
          <t>ÅSELE</t>
        </is>
      </c>
      <c r="G727" t="n">
        <v>0.9</v>
      </c>
      <c r="H727" t="n">
        <v>0</v>
      </c>
      <c r="I727" t="n">
        <v>0</v>
      </c>
      <c r="J727" t="n">
        <v>0</v>
      </c>
      <c r="K727" t="n">
        <v>0</v>
      </c>
      <c r="L727" t="n">
        <v>0</v>
      </c>
      <c r="M727" t="n">
        <v>0</v>
      </c>
      <c r="N727" t="n">
        <v>0</v>
      </c>
      <c r="O727" t="n">
        <v>0</v>
      </c>
      <c r="P727" t="n">
        <v>0</v>
      </c>
      <c r="Q727" t="n">
        <v>0</v>
      </c>
      <c r="R727" s="2" t="inlineStr"/>
    </row>
    <row r="728" ht="15" customHeight="1">
      <c r="A728" t="inlineStr">
        <is>
          <t>A 21560-2026</t>
        </is>
      </c>
      <c r="B728" s="1" t="n">
        <v>46148.66628472223</v>
      </c>
      <c r="C728" s="1" t="n">
        <v>46181</v>
      </c>
      <c r="D728" t="inlineStr">
        <is>
          <t>VÄSTERBOTTENS LÄN</t>
        </is>
      </c>
      <c r="E728" t="inlineStr">
        <is>
          <t>ÅSELE</t>
        </is>
      </c>
      <c r="F728" t="inlineStr">
        <is>
          <t>Holmen skog AB</t>
        </is>
      </c>
      <c r="G728" t="n">
        <v>2.8</v>
      </c>
      <c r="H728" t="n">
        <v>0</v>
      </c>
      <c r="I728" t="n">
        <v>0</v>
      </c>
      <c r="J728" t="n">
        <v>0</v>
      </c>
      <c r="K728" t="n">
        <v>0</v>
      </c>
      <c r="L728" t="n">
        <v>0</v>
      </c>
      <c r="M728" t="n">
        <v>0</v>
      </c>
      <c r="N728" t="n">
        <v>0</v>
      </c>
      <c r="O728" t="n">
        <v>0</v>
      </c>
      <c r="P728" t="n">
        <v>0</v>
      </c>
      <c r="Q728" t="n">
        <v>0</v>
      </c>
      <c r="R728" s="2" t="inlineStr"/>
    </row>
    <row r="729" ht="15" customHeight="1">
      <c r="A729" t="inlineStr">
        <is>
          <t>A 21537-2026</t>
        </is>
      </c>
      <c r="B729" s="1" t="n">
        <v>46148.6366087963</v>
      </c>
      <c r="C729" s="1" t="n">
        <v>46181</v>
      </c>
      <c r="D729" t="inlineStr">
        <is>
          <t>VÄSTERBOTTENS LÄN</t>
        </is>
      </c>
      <c r="E729" t="inlineStr">
        <is>
          <t>ÅSELE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29039-2024</t>
        </is>
      </c>
      <c r="B730" s="1" t="n">
        <v>45481.60922453704</v>
      </c>
      <c r="C730" s="1" t="n">
        <v>46181</v>
      </c>
      <c r="D730" t="inlineStr">
        <is>
          <t>VÄSTERBOTTENS LÄN</t>
        </is>
      </c>
      <c r="E730" t="inlineStr">
        <is>
          <t>ÅSELE</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41583-2024</t>
        </is>
      </c>
      <c r="B731" s="1" t="n">
        <v>45560.55664351852</v>
      </c>
      <c r="C731" s="1" t="n">
        <v>46181</v>
      </c>
      <c r="D731" t="inlineStr">
        <is>
          <t>VÄSTERBOTTENS LÄN</t>
        </is>
      </c>
      <c r="E731" t="inlineStr">
        <is>
          <t>ÅSELE</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41427-2024</t>
        </is>
      </c>
      <c r="B732" s="1" t="n">
        <v>45560.35121527778</v>
      </c>
      <c r="C732" s="1" t="n">
        <v>46181</v>
      </c>
      <c r="D732" t="inlineStr">
        <is>
          <t>VÄSTERBOTTENS LÄN</t>
        </is>
      </c>
      <c r="E732" t="inlineStr">
        <is>
          <t>ÅSELE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35453-2025</t>
        </is>
      </c>
      <c r="B733" s="1" t="n">
        <v>45855</v>
      </c>
      <c r="C733" s="1" t="n">
        <v>46181</v>
      </c>
      <c r="D733" t="inlineStr">
        <is>
          <t>VÄSTERBOTTENS LÄN</t>
        </is>
      </c>
      <c r="E733" t="inlineStr">
        <is>
          <t>ÅSELE</t>
        </is>
      </c>
      <c r="G733" t="n">
        <v>7</v>
      </c>
      <c r="H733" t="n">
        <v>0</v>
      </c>
      <c r="I733" t="n">
        <v>0</v>
      </c>
      <c r="J733" t="n">
        <v>0</v>
      </c>
      <c r="K733" t="n">
        <v>0</v>
      </c>
      <c r="L733" t="n">
        <v>0</v>
      </c>
      <c r="M733" t="n">
        <v>0</v>
      </c>
      <c r="N733" t="n">
        <v>0</v>
      </c>
      <c r="O733" t="n">
        <v>0</v>
      </c>
      <c r="P733" t="n">
        <v>0</v>
      </c>
      <c r="Q733" t="n">
        <v>0</v>
      </c>
      <c r="R733" s="2" t="inlineStr"/>
    </row>
    <row r="734" ht="15" customHeight="1">
      <c r="A734" t="inlineStr">
        <is>
          <t>A 32561-2023</t>
        </is>
      </c>
      <c r="B734" s="1" t="n">
        <v>45121.45128472222</v>
      </c>
      <c r="C734" s="1" t="n">
        <v>46181</v>
      </c>
      <c r="D734" t="inlineStr">
        <is>
          <t>VÄSTERBOTTENS LÄN</t>
        </is>
      </c>
      <c r="E734" t="inlineStr">
        <is>
          <t>ÅSELE</t>
        </is>
      </c>
      <c r="F734" t="inlineStr">
        <is>
          <t>Naturvårdsverket</t>
        </is>
      </c>
      <c r="G734" t="n">
        <v>2.5</v>
      </c>
      <c r="H734" t="n">
        <v>0</v>
      </c>
      <c r="I734" t="n">
        <v>0</v>
      </c>
      <c r="J734" t="n">
        <v>0</v>
      </c>
      <c r="K734" t="n">
        <v>0</v>
      </c>
      <c r="L734" t="n">
        <v>0</v>
      </c>
      <c r="M734" t="n">
        <v>0</v>
      </c>
      <c r="N734" t="n">
        <v>0</v>
      </c>
      <c r="O734" t="n">
        <v>0</v>
      </c>
      <c r="P734" t="n">
        <v>0</v>
      </c>
      <c r="Q734" t="n">
        <v>0</v>
      </c>
      <c r="R734" s="2" t="inlineStr"/>
    </row>
    <row r="735" ht="15" customHeight="1">
      <c r="A735" t="inlineStr">
        <is>
          <t>A 42301-2024</t>
        </is>
      </c>
      <c r="B735" s="1" t="n">
        <v>45562.62887731481</v>
      </c>
      <c r="C735" s="1" t="n">
        <v>46181</v>
      </c>
      <c r="D735" t="inlineStr">
        <is>
          <t>VÄSTERBOTTENS LÄN</t>
        </is>
      </c>
      <c r="E735" t="inlineStr">
        <is>
          <t>ÅSELE</t>
        </is>
      </c>
      <c r="F735" t="inlineStr">
        <is>
          <t>Holmen skog AB</t>
        </is>
      </c>
      <c r="G735" t="n">
        <v>6.2</v>
      </c>
      <c r="H735" t="n">
        <v>0</v>
      </c>
      <c r="I735" t="n">
        <v>0</v>
      </c>
      <c r="J735" t="n">
        <v>0</v>
      </c>
      <c r="K735" t="n">
        <v>0</v>
      </c>
      <c r="L735" t="n">
        <v>0</v>
      </c>
      <c r="M735" t="n">
        <v>0</v>
      </c>
      <c r="N735" t="n">
        <v>0</v>
      </c>
      <c r="O735" t="n">
        <v>0</v>
      </c>
      <c r="P735" t="n">
        <v>0</v>
      </c>
      <c r="Q735" t="n">
        <v>0</v>
      </c>
      <c r="R735" s="2" t="inlineStr"/>
    </row>
    <row r="736" ht="15" customHeight="1">
      <c r="A736" t="inlineStr">
        <is>
          <t>A 8247-2023</t>
        </is>
      </c>
      <c r="B736" s="1" t="n">
        <v>44971</v>
      </c>
      <c r="C736" s="1" t="n">
        <v>46181</v>
      </c>
      <c r="D736" t="inlineStr">
        <is>
          <t>VÄSTERBOTTENS LÄN</t>
        </is>
      </c>
      <c r="E736" t="inlineStr">
        <is>
          <t>ÅSELE</t>
        </is>
      </c>
      <c r="G736" t="n">
        <v>4.9</v>
      </c>
      <c r="H736" t="n">
        <v>0</v>
      </c>
      <c r="I736" t="n">
        <v>0</v>
      </c>
      <c r="J736" t="n">
        <v>0</v>
      </c>
      <c r="K736" t="n">
        <v>0</v>
      </c>
      <c r="L736" t="n">
        <v>0</v>
      </c>
      <c r="M736" t="n">
        <v>0</v>
      </c>
      <c r="N736" t="n">
        <v>0</v>
      </c>
      <c r="O736" t="n">
        <v>0</v>
      </c>
      <c r="P736" t="n">
        <v>0</v>
      </c>
      <c r="Q736" t="n">
        <v>0</v>
      </c>
      <c r="R736" s="2" t="inlineStr"/>
    </row>
    <row r="737" ht="15" customHeight="1">
      <c r="A737" t="inlineStr">
        <is>
          <t>A 42268-2024</t>
        </is>
      </c>
      <c r="B737" s="1" t="n">
        <v>45562.5971412037</v>
      </c>
      <c r="C737" s="1" t="n">
        <v>46181</v>
      </c>
      <c r="D737" t="inlineStr">
        <is>
          <t>VÄSTERBOTTENS LÄN</t>
        </is>
      </c>
      <c r="E737" t="inlineStr">
        <is>
          <t>ÅSELE</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17148-2025</t>
        </is>
      </c>
      <c r="B738" s="1" t="n">
        <v>45756.30644675926</v>
      </c>
      <c r="C738" s="1" t="n">
        <v>46181</v>
      </c>
      <c r="D738" t="inlineStr">
        <is>
          <t>VÄSTERBOTTENS LÄN</t>
        </is>
      </c>
      <c r="E738" t="inlineStr">
        <is>
          <t>ÅSELE</t>
        </is>
      </c>
      <c r="G738" t="n">
        <v>5.3</v>
      </c>
      <c r="H738" t="n">
        <v>0</v>
      </c>
      <c r="I738" t="n">
        <v>0</v>
      </c>
      <c r="J738" t="n">
        <v>0</v>
      </c>
      <c r="K738" t="n">
        <v>0</v>
      </c>
      <c r="L738" t="n">
        <v>0</v>
      </c>
      <c r="M738" t="n">
        <v>0</v>
      </c>
      <c r="N738" t="n">
        <v>0</v>
      </c>
      <c r="O738" t="n">
        <v>0</v>
      </c>
      <c r="P738" t="n">
        <v>0</v>
      </c>
      <c r="Q738" t="n">
        <v>0</v>
      </c>
      <c r="R738" s="2" t="inlineStr"/>
    </row>
    <row r="739" ht="15" customHeight="1">
      <c r="A739" t="inlineStr">
        <is>
          <t>A 48530-2024</t>
        </is>
      </c>
      <c r="B739" s="1" t="n">
        <v>45593.34453703704</v>
      </c>
      <c r="C739" s="1" t="n">
        <v>46181</v>
      </c>
      <c r="D739" t="inlineStr">
        <is>
          <t>VÄSTERBOTTENS LÄN</t>
        </is>
      </c>
      <c r="E739" t="inlineStr">
        <is>
          <t>ÅSELE</t>
        </is>
      </c>
      <c r="F739" t="inlineStr">
        <is>
          <t>SCA</t>
        </is>
      </c>
      <c r="G739" t="n">
        <v>8.9</v>
      </c>
      <c r="H739" t="n">
        <v>0</v>
      </c>
      <c r="I739" t="n">
        <v>0</v>
      </c>
      <c r="J739" t="n">
        <v>0</v>
      </c>
      <c r="K739" t="n">
        <v>0</v>
      </c>
      <c r="L739" t="n">
        <v>0</v>
      </c>
      <c r="M739" t="n">
        <v>0</v>
      </c>
      <c r="N739" t="n">
        <v>0</v>
      </c>
      <c r="O739" t="n">
        <v>0</v>
      </c>
      <c r="P739" t="n">
        <v>0</v>
      </c>
      <c r="Q739" t="n">
        <v>0</v>
      </c>
      <c r="R739" s="2" t="inlineStr"/>
    </row>
    <row r="740" ht="15" customHeight="1">
      <c r="A740" t="inlineStr">
        <is>
          <t>A 48531-2024</t>
        </is>
      </c>
      <c r="B740" s="1" t="n">
        <v>45593</v>
      </c>
      <c r="C740" s="1" t="n">
        <v>46181</v>
      </c>
      <c r="D740" t="inlineStr">
        <is>
          <t>VÄSTERBOTTENS LÄN</t>
        </is>
      </c>
      <c r="E740" t="inlineStr">
        <is>
          <t>ÅSELE</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16785-2025</t>
        </is>
      </c>
      <c r="B741" s="1" t="n">
        <v>45754</v>
      </c>
      <c r="C741" s="1" t="n">
        <v>46181</v>
      </c>
      <c r="D741" t="inlineStr">
        <is>
          <t>VÄSTERBOTTENS LÄN</t>
        </is>
      </c>
      <c r="E741" t="inlineStr">
        <is>
          <t>ÅSELE</t>
        </is>
      </c>
      <c r="G741" t="n">
        <v>1.8</v>
      </c>
      <c r="H741" t="n">
        <v>0</v>
      </c>
      <c r="I741" t="n">
        <v>0</v>
      </c>
      <c r="J741" t="n">
        <v>0</v>
      </c>
      <c r="K741" t="n">
        <v>0</v>
      </c>
      <c r="L741" t="n">
        <v>0</v>
      </c>
      <c r="M741" t="n">
        <v>0</v>
      </c>
      <c r="N741" t="n">
        <v>0</v>
      </c>
      <c r="O741" t="n">
        <v>0</v>
      </c>
      <c r="P741" t="n">
        <v>0</v>
      </c>
      <c r="Q741" t="n">
        <v>0</v>
      </c>
      <c r="R741" s="2" t="inlineStr"/>
    </row>
    <row r="742" ht="15" customHeight="1">
      <c r="A742" t="inlineStr">
        <is>
          <t>A 41408-2023</t>
        </is>
      </c>
      <c r="B742" s="1" t="n">
        <v>45174</v>
      </c>
      <c r="C742" s="1" t="n">
        <v>46181</v>
      </c>
      <c r="D742" t="inlineStr">
        <is>
          <t>VÄSTERBOTTENS LÄN</t>
        </is>
      </c>
      <c r="E742" t="inlineStr">
        <is>
          <t>ÅSELE</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22129-2026</t>
        </is>
      </c>
      <c r="B743" s="1" t="n">
        <v>46153.59461805555</v>
      </c>
      <c r="C743" s="1" t="n">
        <v>46181</v>
      </c>
      <c r="D743" t="inlineStr">
        <is>
          <t>VÄSTERBOTTENS LÄN</t>
        </is>
      </c>
      <c r="E743" t="inlineStr">
        <is>
          <t>ÅSELE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22130-2026</t>
        </is>
      </c>
      <c r="B744" s="1" t="n">
        <v>46153.59479166667</v>
      </c>
      <c r="C744" s="1" t="n">
        <v>46181</v>
      </c>
      <c r="D744" t="inlineStr">
        <is>
          <t>VÄSTERBOTTENS LÄN</t>
        </is>
      </c>
      <c r="E744" t="inlineStr">
        <is>
          <t>ÅSELE</t>
        </is>
      </c>
      <c r="F744" t="inlineStr">
        <is>
          <t>SCA</t>
        </is>
      </c>
      <c r="G744" t="n">
        <v>8.6</v>
      </c>
      <c r="H744" t="n">
        <v>0</v>
      </c>
      <c r="I744" t="n">
        <v>0</v>
      </c>
      <c r="J744" t="n">
        <v>0</v>
      </c>
      <c r="K744" t="n">
        <v>0</v>
      </c>
      <c r="L744" t="n">
        <v>0</v>
      </c>
      <c r="M744" t="n">
        <v>0</v>
      </c>
      <c r="N744" t="n">
        <v>0</v>
      </c>
      <c r="O744" t="n">
        <v>0</v>
      </c>
      <c r="P744" t="n">
        <v>0</v>
      </c>
      <c r="Q744" t="n">
        <v>0</v>
      </c>
      <c r="R744" s="2" t="inlineStr"/>
    </row>
    <row r="745" ht="15" customHeight="1">
      <c r="A745" t="inlineStr">
        <is>
          <t>A 8724-2025</t>
        </is>
      </c>
      <c r="B745" s="1" t="n">
        <v>45712.51121527778</v>
      </c>
      <c r="C745" s="1" t="n">
        <v>46181</v>
      </c>
      <c r="D745" t="inlineStr">
        <is>
          <t>VÄSTERBOTTENS LÄN</t>
        </is>
      </c>
      <c r="E745" t="inlineStr">
        <is>
          <t>ÅSELE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48073-2023</t>
        </is>
      </c>
      <c r="B746" s="1" t="n">
        <v>45204</v>
      </c>
      <c r="C746" s="1" t="n">
        <v>46181</v>
      </c>
      <c r="D746" t="inlineStr">
        <is>
          <t>VÄSTERBOTTENS LÄN</t>
        </is>
      </c>
      <c r="E746" t="inlineStr">
        <is>
          <t>ÅSELE</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18605-2023</t>
        </is>
      </c>
      <c r="B747" s="1" t="n">
        <v>45041</v>
      </c>
      <c r="C747" s="1" t="n">
        <v>46181</v>
      </c>
      <c r="D747" t="inlineStr">
        <is>
          <t>VÄSTERBOTTENS LÄN</t>
        </is>
      </c>
      <c r="E747" t="inlineStr">
        <is>
          <t>ÅSELE</t>
        </is>
      </c>
      <c r="G747" t="n">
        <v>4.2</v>
      </c>
      <c r="H747" t="n">
        <v>0</v>
      </c>
      <c r="I747" t="n">
        <v>0</v>
      </c>
      <c r="J747" t="n">
        <v>0</v>
      </c>
      <c r="K747" t="n">
        <v>0</v>
      </c>
      <c r="L747" t="n">
        <v>0</v>
      </c>
      <c r="M747" t="n">
        <v>0</v>
      </c>
      <c r="N747" t="n">
        <v>0</v>
      </c>
      <c r="O747" t="n">
        <v>0</v>
      </c>
      <c r="P747" t="n">
        <v>0</v>
      </c>
      <c r="Q747" t="n">
        <v>0</v>
      </c>
      <c r="R747" s="2" t="inlineStr"/>
    </row>
    <row r="748" ht="15" customHeight="1">
      <c r="A748" t="inlineStr">
        <is>
          <t>A 31193-2023</t>
        </is>
      </c>
      <c r="B748" s="1" t="n">
        <v>45113.94976851852</v>
      </c>
      <c r="C748" s="1" t="n">
        <v>46181</v>
      </c>
      <c r="D748" t="inlineStr">
        <is>
          <t>VÄSTERBOTTENS LÄN</t>
        </is>
      </c>
      <c r="E748" t="inlineStr">
        <is>
          <t>ÅSELE</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15082-2023</t>
        </is>
      </c>
      <c r="B749" s="1" t="n">
        <v>45016</v>
      </c>
      <c r="C749" s="1" t="n">
        <v>46181</v>
      </c>
      <c r="D749" t="inlineStr">
        <is>
          <t>VÄSTERBOTTENS LÄN</t>
        </is>
      </c>
      <c r="E749" t="inlineStr">
        <is>
          <t>ÅSELE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16893-2026</t>
        </is>
      </c>
      <c r="B750" s="1" t="n">
        <v>46113.61608796296</v>
      </c>
      <c r="C750" s="1" t="n">
        <v>46181</v>
      </c>
      <c r="D750" t="inlineStr">
        <is>
          <t>VÄSTERBOTTENS LÄN</t>
        </is>
      </c>
      <c r="E750" t="inlineStr">
        <is>
          <t>ÅSELE</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22250-2026</t>
        </is>
      </c>
      <c r="B751" s="1" t="n">
        <v>46154.34447916667</v>
      </c>
      <c r="C751" s="1" t="n">
        <v>46181</v>
      </c>
      <c r="D751" t="inlineStr">
        <is>
          <t>VÄSTERBOTTENS LÄN</t>
        </is>
      </c>
      <c r="E751" t="inlineStr">
        <is>
          <t>ÅSELE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55657-2024</t>
        </is>
      </c>
      <c r="B752" s="1" t="n">
        <v>45622.63604166666</v>
      </c>
      <c r="C752" s="1" t="n">
        <v>46181</v>
      </c>
      <c r="D752" t="inlineStr">
        <is>
          <t>VÄSTERBOTTENS LÄN</t>
        </is>
      </c>
      <c r="E752" t="inlineStr">
        <is>
          <t>ÅSELE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22114-2024</t>
        </is>
      </c>
      <c r="B753" s="1" t="n">
        <v>45443</v>
      </c>
      <c r="C753" s="1" t="n">
        <v>46181</v>
      </c>
      <c r="D753" t="inlineStr">
        <is>
          <t>VÄSTERBOTTENS LÄN</t>
        </is>
      </c>
      <c r="E753" t="inlineStr">
        <is>
          <t>ÅSELE</t>
        </is>
      </c>
      <c r="F753" t="inlineStr">
        <is>
          <t>SCA</t>
        </is>
      </c>
      <c r="G753" t="n">
        <v>30.2</v>
      </c>
      <c r="H753" t="n">
        <v>0</v>
      </c>
      <c r="I753" t="n">
        <v>0</v>
      </c>
      <c r="J753" t="n">
        <v>0</v>
      </c>
      <c r="K753" t="n">
        <v>0</v>
      </c>
      <c r="L753" t="n">
        <v>0</v>
      </c>
      <c r="M753" t="n">
        <v>0</v>
      </c>
      <c r="N753" t="n">
        <v>0</v>
      </c>
      <c r="O753" t="n">
        <v>0</v>
      </c>
      <c r="P753" t="n">
        <v>0</v>
      </c>
      <c r="Q753" t="n">
        <v>0</v>
      </c>
      <c r="R753" s="2" t="inlineStr"/>
    </row>
    <row r="754" ht="15" customHeight="1">
      <c r="A754" t="inlineStr">
        <is>
          <t>A 22519-2026</t>
        </is>
      </c>
      <c r="B754" s="1" t="n">
        <v>46155.46287037037</v>
      </c>
      <c r="C754" s="1" t="n">
        <v>46181</v>
      </c>
      <c r="D754" t="inlineStr">
        <is>
          <t>VÄSTERBOTTENS LÄN</t>
        </is>
      </c>
      <c r="E754" t="inlineStr">
        <is>
          <t>ÅSELE</t>
        </is>
      </c>
      <c r="F754" t="inlineStr">
        <is>
          <t>Kommuner</t>
        </is>
      </c>
      <c r="G754" t="n">
        <v>4</v>
      </c>
      <c r="H754" t="n">
        <v>0</v>
      </c>
      <c r="I754" t="n">
        <v>0</v>
      </c>
      <c r="J754" t="n">
        <v>0</v>
      </c>
      <c r="K754" t="n">
        <v>0</v>
      </c>
      <c r="L754" t="n">
        <v>0</v>
      </c>
      <c r="M754" t="n">
        <v>0</v>
      </c>
      <c r="N754" t="n">
        <v>0</v>
      </c>
      <c r="O754" t="n">
        <v>0</v>
      </c>
      <c r="P754" t="n">
        <v>0</v>
      </c>
      <c r="Q754" t="n">
        <v>0</v>
      </c>
      <c r="R754" s="2" t="inlineStr"/>
    </row>
    <row r="755" ht="15" customHeight="1">
      <c r="A755" t="inlineStr">
        <is>
          <t>A 22521-2026</t>
        </is>
      </c>
      <c r="B755" s="1" t="n">
        <v>46155.46601851852</v>
      </c>
      <c r="C755" s="1" t="n">
        <v>46181</v>
      </c>
      <c r="D755" t="inlineStr">
        <is>
          <t>VÄSTERBOTTENS LÄN</t>
        </is>
      </c>
      <c r="E755" t="inlineStr">
        <is>
          <t>ÅSELE</t>
        </is>
      </c>
      <c r="F755" t="inlineStr">
        <is>
          <t>Kommuner</t>
        </is>
      </c>
      <c r="G755" t="n">
        <v>5</v>
      </c>
      <c r="H755" t="n">
        <v>0</v>
      </c>
      <c r="I755" t="n">
        <v>0</v>
      </c>
      <c r="J755" t="n">
        <v>0</v>
      </c>
      <c r="K755" t="n">
        <v>0</v>
      </c>
      <c r="L755" t="n">
        <v>0</v>
      </c>
      <c r="M755" t="n">
        <v>0</v>
      </c>
      <c r="N755" t="n">
        <v>0</v>
      </c>
      <c r="O755" t="n">
        <v>0</v>
      </c>
      <c r="P755" t="n">
        <v>0</v>
      </c>
      <c r="Q755" t="n">
        <v>0</v>
      </c>
      <c r="R755" s="2" t="inlineStr"/>
    </row>
    <row r="756" ht="15" customHeight="1">
      <c r="A756" t="inlineStr">
        <is>
          <t>A 28962-2024</t>
        </is>
      </c>
      <c r="B756" s="1" t="n">
        <v>45481.41788194444</v>
      </c>
      <c r="C756" s="1" t="n">
        <v>46181</v>
      </c>
      <c r="D756" t="inlineStr">
        <is>
          <t>VÄSTERBOTTENS LÄN</t>
        </is>
      </c>
      <c r="E756" t="inlineStr">
        <is>
          <t>ÅSELE</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29511-2024</t>
        </is>
      </c>
      <c r="B757" s="1" t="n">
        <v>45484</v>
      </c>
      <c r="C757" s="1" t="n">
        <v>46181</v>
      </c>
      <c r="D757" t="inlineStr">
        <is>
          <t>VÄSTERBOTTENS LÄN</t>
        </is>
      </c>
      <c r="E757" t="inlineStr">
        <is>
          <t>ÅSELE</t>
        </is>
      </c>
      <c r="G757" t="n">
        <v>0.2</v>
      </c>
      <c r="H757" t="n">
        <v>0</v>
      </c>
      <c r="I757" t="n">
        <v>0</v>
      </c>
      <c r="J757" t="n">
        <v>0</v>
      </c>
      <c r="K757" t="n">
        <v>0</v>
      </c>
      <c r="L757" t="n">
        <v>0</v>
      </c>
      <c r="M757" t="n">
        <v>0</v>
      </c>
      <c r="N757" t="n">
        <v>0</v>
      </c>
      <c r="O757" t="n">
        <v>0</v>
      </c>
      <c r="P757" t="n">
        <v>0</v>
      </c>
      <c r="Q757" t="n">
        <v>0</v>
      </c>
      <c r="R757" s="2" t="inlineStr"/>
    </row>
    <row r="758" ht="15" customHeight="1">
      <c r="A758" t="inlineStr">
        <is>
          <t>A 29517-2024</t>
        </is>
      </c>
      <c r="B758" s="1" t="n">
        <v>45484</v>
      </c>
      <c r="C758" s="1" t="n">
        <v>46181</v>
      </c>
      <c r="D758" t="inlineStr">
        <is>
          <t>VÄSTERBOTTENS LÄN</t>
        </is>
      </c>
      <c r="E758" t="inlineStr">
        <is>
          <t>ÅSELE</t>
        </is>
      </c>
      <c r="G758" t="n">
        <v>0.7</v>
      </c>
      <c r="H758" t="n">
        <v>0</v>
      </c>
      <c r="I758" t="n">
        <v>0</v>
      </c>
      <c r="J758" t="n">
        <v>0</v>
      </c>
      <c r="K758" t="n">
        <v>0</v>
      </c>
      <c r="L758" t="n">
        <v>0</v>
      </c>
      <c r="M758" t="n">
        <v>0</v>
      </c>
      <c r="N758" t="n">
        <v>0</v>
      </c>
      <c r="O758" t="n">
        <v>0</v>
      </c>
      <c r="P758" t="n">
        <v>0</v>
      </c>
      <c r="Q758" t="n">
        <v>0</v>
      </c>
      <c r="R758" s="2" t="inlineStr"/>
    </row>
    <row r="759" ht="15" customHeight="1">
      <c r="A759" t="inlineStr">
        <is>
          <t>A 6283-2025</t>
        </is>
      </c>
      <c r="B759" s="1" t="n">
        <v>45698.63582175926</v>
      </c>
      <c r="C759" s="1" t="n">
        <v>46181</v>
      </c>
      <c r="D759" t="inlineStr">
        <is>
          <t>VÄSTERBOTTENS LÄN</t>
        </is>
      </c>
      <c r="E759" t="inlineStr">
        <is>
          <t>ÅSELE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20397-2025</t>
        </is>
      </c>
      <c r="B760" s="1" t="n">
        <v>45775.45503472222</v>
      </c>
      <c r="C760" s="1" t="n">
        <v>46181</v>
      </c>
      <c r="D760" t="inlineStr">
        <is>
          <t>VÄSTERBOTTENS LÄN</t>
        </is>
      </c>
      <c r="E760" t="inlineStr">
        <is>
          <t>ÅSELE</t>
        </is>
      </c>
      <c r="G760" t="n">
        <v>11.9</v>
      </c>
      <c r="H760" t="n">
        <v>0</v>
      </c>
      <c r="I760" t="n">
        <v>0</v>
      </c>
      <c r="J760" t="n">
        <v>0</v>
      </c>
      <c r="K760" t="n">
        <v>0</v>
      </c>
      <c r="L760" t="n">
        <v>0</v>
      </c>
      <c r="M760" t="n">
        <v>0</v>
      </c>
      <c r="N760" t="n">
        <v>0</v>
      </c>
      <c r="O760" t="n">
        <v>0</v>
      </c>
      <c r="P760" t="n">
        <v>0</v>
      </c>
      <c r="Q760" t="n">
        <v>0</v>
      </c>
      <c r="R760" s="2" t="inlineStr"/>
    </row>
    <row r="761" ht="15" customHeight="1">
      <c r="A761" t="inlineStr">
        <is>
          <t>A 32308-2023</t>
        </is>
      </c>
      <c r="B761" s="1" t="n">
        <v>45120.43883101852</v>
      </c>
      <c r="C761" s="1" t="n">
        <v>46181</v>
      </c>
      <c r="D761" t="inlineStr">
        <is>
          <t>VÄSTERBOTTENS LÄN</t>
        </is>
      </c>
      <c r="E761" t="inlineStr">
        <is>
          <t>ÅSELE</t>
        </is>
      </c>
      <c r="F761" t="inlineStr">
        <is>
          <t>Sveaskog</t>
        </is>
      </c>
      <c r="G761" t="n">
        <v>22.9</v>
      </c>
      <c r="H761" t="n">
        <v>0</v>
      </c>
      <c r="I761" t="n">
        <v>0</v>
      </c>
      <c r="J761" t="n">
        <v>0</v>
      </c>
      <c r="K761" t="n">
        <v>0</v>
      </c>
      <c r="L761" t="n">
        <v>0</v>
      </c>
      <c r="M761" t="n">
        <v>0</v>
      </c>
      <c r="N761" t="n">
        <v>0</v>
      </c>
      <c r="O761" t="n">
        <v>0</v>
      </c>
      <c r="P761" t="n">
        <v>0</v>
      </c>
      <c r="Q761" t="n">
        <v>0</v>
      </c>
      <c r="R761" s="2" t="inlineStr"/>
    </row>
    <row r="762" ht="15" customHeight="1">
      <c r="A762" t="inlineStr">
        <is>
          <t>A 50151-2024</t>
        </is>
      </c>
      <c r="B762" s="1" t="n">
        <v>45600.45456018519</v>
      </c>
      <c r="C762" s="1" t="n">
        <v>46181</v>
      </c>
      <c r="D762" t="inlineStr">
        <is>
          <t>VÄSTERBOTTENS LÄN</t>
        </is>
      </c>
      <c r="E762" t="inlineStr">
        <is>
          <t>ÅSELE</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41402-2024</t>
        </is>
      </c>
      <c r="B763" s="1" t="n">
        <v>45560.33498842592</v>
      </c>
      <c r="C763" s="1" t="n">
        <v>46181</v>
      </c>
      <c r="D763" t="inlineStr">
        <is>
          <t>VÄSTERBOTTENS LÄN</t>
        </is>
      </c>
      <c r="E763" t="inlineStr">
        <is>
          <t>ÅSELE</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5249-2024</t>
        </is>
      </c>
      <c r="B764" s="1" t="n">
        <v>45330.93196759259</v>
      </c>
      <c r="C764" s="1" t="n">
        <v>46181</v>
      </c>
      <c r="D764" t="inlineStr">
        <is>
          <t>VÄSTERBOTTENS LÄN</t>
        </is>
      </c>
      <c r="E764" t="inlineStr">
        <is>
          <t>ÅSELE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4921-2024</t>
        </is>
      </c>
      <c r="B765" s="1" t="n">
        <v>45329</v>
      </c>
      <c r="C765" s="1" t="n">
        <v>46181</v>
      </c>
      <c r="D765" t="inlineStr">
        <is>
          <t>VÄSTERBOTTENS LÄN</t>
        </is>
      </c>
      <c r="E765" t="inlineStr">
        <is>
          <t>ÅSELE</t>
        </is>
      </c>
      <c r="F765" t="inlineStr">
        <is>
          <t>Övriga Aktiebolag</t>
        </is>
      </c>
      <c r="G765" t="n">
        <v>7.9</v>
      </c>
      <c r="H765" t="n">
        <v>0</v>
      </c>
      <c r="I765" t="n">
        <v>0</v>
      </c>
      <c r="J765" t="n">
        <v>0</v>
      </c>
      <c r="K765" t="n">
        <v>0</v>
      </c>
      <c r="L765" t="n">
        <v>0</v>
      </c>
      <c r="M765" t="n">
        <v>0</v>
      </c>
      <c r="N765" t="n">
        <v>0</v>
      </c>
      <c r="O765" t="n">
        <v>0</v>
      </c>
      <c r="P765" t="n">
        <v>0</v>
      </c>
      <c r="Q765" t="n">
        <v>0</v>
      </c>
      <c r="R765" s="2" t="inlineStr"/>
    </row>
    <row r="766" ht="15" customHeight="1">
      <c r="A766" t="inlineStr">
        <is>
          <t>A 8722-2025</t>
        </is>
      </c>
      <c r="B766" s="1" t="n">
        <v>45712.51097222222</v>
      </c>
      <c r="C766" s="1" t="n">
        <v>46181</v>
      </c>
      <c r="D766" t="inlineStr">
        <is>
          <t>VÄSTERBOTTENS LÄN</t>
        </is>
      </c>
      <c r="E766" t="inlineStr">
        <is>
          <t>ÅSELE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27939-2024</t>
        </is>
      </c>
      <c r="B767" s="1" t="n">
        <v>45476</v>
      </c>
      <c r="C767" s="1" t="n">
        <v>46181</v>
      </c>
      <c r="D767" t="inlineStr">
        <is>
          <t>VÄSTERBOTTENS LÄN</t>
        </is>
      </c>
      <c r="E767" t="inlineStr">
        <is>
          <t>ÅSELE</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17672-2023</t>
        </is>
      </c>
      <c r="B768" s="1" t="n">
        <v>45036</v>
      </c>
      <c r="C768" s="1" t="n">
        <v>46181</v>
      </c>
      <c r="D768" t="inlineStr">
        <is>
          <t>VÄSTERBOTTENS LÄN</t>
        </is>
      </c>
      <c r="E768" t="inlineStr">
        <is>
          <t>ÅSELE</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17698-2023</t>
        </is>
      </c>
      <c r="B769" s="1" t="n">
        <v>45035</v>
      </c>
      <c r="C769" s="1" t="n">
        <v>46181</v>
      </c>
      <c r="D769" t="inlineStr">
        <is>
          <t>VÄSTERBOTTENS LÄN</t>
        </is>
      </c>
      <c r="E769" t="inlineStr">
        <is>
          <t>ÅSELE</t>
        </is>
      </c>
      <c r="G769" t="n">
        <v>7</v>
      </c>
      <c r="H769" t="n">
        <v>0</v>
      </c>
      <c r="I769" t="n">
        <v>0</v>
      </c>
      <c r="J769" t="n">
        <v>0</v>
      </c>
      <c r="K769" t="n">
        <v>0</v>
      </c>
      <c r="L769" t="n">
        <v>0</v>
      </c>
      <c r="M769" t="n">
        <v>0</v>
      </c>
      <c r="N769" t="n">
        <v>0</v>
      </c>
      <c r="O769" t="n">
        <v>0</v>
      </c>
      <c r="P769" t="n">
        <v>0</v>
      </c>
      <c r="Q769" t="n">
        <v>0</v>
      </c>
      <c r="R769" s="2" t="inlineStr"/>
    </row>
    <row r="770" ht="15" customHeight="1">
      <c r="A770" t="inlineStr">
        <is>
          <t>A 73419-2021</t>
        </is>
      </c>
      <c r="B770" s="1" t="n">
        <v>44551</v>
      </c>
      <c r="C770" s="1" t="n">
        <v>46181</v>
      </c>
      <c r="D770" t="inlineStr">
        <is>
          <t>VÄSTERBOTTENS LÄN</t>
        </is>
      </c>
      <c r="E770" t="inlineStr">
        <is>
          <t>ÅSELE</t>
        </is>
      </c>
      <c r="G770" t="n">
        <v>14</v>
      </c>
      <c r="H770" t="n">
        <v>0</v>
      </c>
      <c r="I770" t="n">
        <v>0</v>
      </c>
      <c r="J770" t="n">
        <v>0</v>
      </c>
      <c r="K770" t="n">
        <v>0</v>
      </c>
      <c r="L770" t="n">
        <v>0</v>
      </c>
      <c r="M770" t="n">
        <v>0</v>
      </c>
      <c r="N770" t="n">
        <v>0</v>
      </c>
      <c r="O770" t="n">
        <v>0</v>
      </c>
      <c r="P770" t="n">
        <v>0</v>
      </c>
      <c r="Q770" t="n">
        <v>0</v>
      </c>
      <c r="R770" s="2" t="inlineStr"/>
    </row>
    <row r="771" ht="15" customHeight="1">
      <c r="A771" t="inlineStr">
        <is>
          <t>A 18792-2024</t>
        </is>
      </c>
      <c r="B771" s="1" t="n">
        <v>45426</v>
      </c>
      <c r="C771" s="1" t="n">
        <v>46181</v>
      </c>
      <c r="D771" t="inlineStr">
        <is>
          <t>VÄSTERBOTTENS LÄN</t>
        </is>
      </c>
      <c r="E771" t="inlineStr">
        <is>
          <t>ÅSELE</t>
        </is>
      </c>
      <c r="G771" t="n">
        <v>7.2</v>
      </c>
      <c r="H771" t="n">
        <v>0</v>
      </c>
      <c r="I771" t="n">
        <v>0</v>
      </c>
      <c r="J771" t="n">
        <v>0</v>
      </c>
      <c r="K771" t="n">
        <v>0</v>
      </c>
      <c r="L771" t="n">
        <v>0</v>
      </c>
      <c r="M771" t="n">
        <v>0</v>
      </c>
      <c r="N771" t="n">
        <v>0</v>
      </c>
      <c r="O771" t="n">
        <v>0</v>
      </c>
      <c r="P771" t="n">
        <v>0</v>
      </c>
      <c r="Q771" t="n">
        <v>0</v>
      </c>
      <c r="R771" s="2" t="inlineStr"/>
    </row>
    <row r="772" ht="15" customHeight="1">
      <c r="A772" t="inlineStr">
        <is>
          <t>A 39731-2023</t>
        </is>
      </c>
      <c r="B772" s="1" t="n">
        <v>45167</v>
      </c>
      <c r="C772" s="1" t="n">
        <v>46181</v>
      </c>
      <c r="D772" t="inlineStr">
        <is>
          <t>VÄSTERBOTTENS LÄN</t>
        </is>
      </c>
      <c r="E772" t="inlineStr">
        <is>
          <t>ÅSELE</t>
        </is>
      </c>
      <c r="F772" t="inlineStr">
        <is>
          <t>Sveaskog</t>
        </is>
      </c>
      <c r="G772" t="n">
        <v>17.6</v>
      </c>
      <c r="H772" t="n">
        <v>0</v>
      </c>
      <c r="I772" t="n">
        <v>0</v>
      </c>
      <c r="J772" t="n">
        <v>0</v>
      </c>
      <c r="K772" t="n">
        <v>0</v>
      </c>
      <c r="L772" t="n">
        <v>0</v>
      </c>
      <c r="M772" t="n">
        <v>0</v>
      </c>
      <c r="N772" t="n">
        <v>0</v>
      </c>
      <c r="O772" t="n">
        <v>0</v>
      </c>
      <c r="P772" t="n">
        <v>0</v>
      </c>
      <c r="Q772" t="n">
        <v>0</v>
      </c>
      <c r="R772" s="2" t="inlineStr"/>
    </row>
    <row r="773" ht="15" customHeight="1">
      <c r="A773" t="inlineStr">
        <is>
          <t>A 743-2025</t>
        </is>
      </c>
      <c r="B773" s="1" t="n">
        <v>45665.4312037037</v>
      </c>
      <c r="C773" s="1" t="n">
        <v>46181</v>
      </c>
      <c r="D773" t="inlineStr">
        <is>
          <t>VÄSTERBOTTENS LÄN</t>
        </is>
      </c>
      <c r="E773" t="inlineStr">
        <is>
          <t>ÅSELE</t>
        </is>
      </c>
      <c r="F773" t="inlineStr">
        <is>
          <t>Naturvårdsverket</t>
        </is>
      </c>
      <c r="G773" t="n">
        <v>2</v>
      </c>
      <c r="H773" t="n">
        <v>0</v>
      </c>
      <c r="I773" t="n">
        <v>0</v>
      </c>
      <c r="J773" t="n">
        <v>0</v>
      </c>
      <c r="K773" t="n">
        <v>0</v>
      </c>
      <c r="L773" t="n">
        <v>0</v>
      </c>
      <c r="M773" t="n">
        <v>0</v>
      </c>
      <c r="N773" t="n">
        <v>0</v>
      </c>
      <c r="O773" t="n">
        <v>0</v>
      </c>
      <c r="P773" t="n">
        <v>0</v>
      </c>
      <c r="Q773" t="n">
        <v>0</v>
      </c>
      <c r="R773" s="2" t="inlineStr"/>
    </row>
    <row r="774" ht="15" customHeight="1">
      <c r="A774" t="inlineStr">
        <is>
          <t>A 44801-2023</t>
        </is>
      </c>
      <c r="B774" s="1" t="n">
        <v>45190.47796296296</v>
      </c>
      <c r="C774" s="1" t="n">
        <v>46181</v>
      </c>
      <c r="D774" t="inlineStr">
        <is>
          <t>VÄSTERBOTTENS LÄN</t>
        </is>
      </c>
      <c r="E774" t="inlineStr">
        <is>
          <t>ÅSELE</t>
        </is>
      </c>
      <c r="F774" t="inlineStr">
        <is>
          <t>Naturvårdsverket</t>
        </is>
      </c>
      <c r="G774" t="n">
        <v>2.4</v>
      </c>
      <c r="H774" t="n">
        <v>0</v>
      </c>
      <c r="I774" t="n">
        <v>0</v>
      </c>
      <c r="J774" t="n">
        <v>0</v>
      </c>
      <c r="K774" t="n">
        <v>0</v>
      </c>
      <c r="L774" t="n">
        <v>0</v>
      </c>
      <c r="M774" t="n">
        <v>0</v>
      </c>
      <c r="N774" t="n">
        <v>0</v>
      </c>
      <c r="O774" t="n">
        <v>0</v>
      </c>
      <c r="P774" t="n">
        <v>0</v>
      </c>
      <c r="Q774" t="n">
        <v>0</v>
      </c>
      <c r="R774" s="2" t="inlineStr"/>
    </row>
    <row r="775" ht="15" customHeight="1">
      <c r="A775" t="inlineStr">
        <is>
          <t>A 58596-2024</t>
        </is>
      </c>
      <c r="B775" s="1" t="n">
        <v>45635</v>
      </c>
      <c r="C775" s="1" t="n">
        <v>46181</v>
      </c>
      <c r="D775" t="inlineStr">
        <is>
          <t>VÄSTERBOTTENS LÄN</t>
        </is>
      </c>
      <c r="E775" t="inlineStr">
        <is>
          <t>ÅSELE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61330-2024</t>
        </is>
      </c>
      <c r="B776" s="1" t="n">
        <v>45645</v>
      </c>
      <c r="C776" s="1" t="n">
        <v>46181</v>
      </c>
      <c r="D776" t="inlineStr">
        <is>
          <t>VÄSTERBOTTENS LÄN</t>
        </is>
      </c>
      <c r="E776" t="inlineStr">
        <is>
          <t>ÅSELE</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31119-2023</t>
        </is>
      </c>
      <c r="B777" s="1" t="n">
        <v>45099</v>
      </c>
      <c r="C777" s="1" t="n">
        <v>46181</v>
      </c>
      <c r="D777" t="inlineStr">
        <is>
          <t>VÄSTERBOTTENS LÄN</t>
        </is>
      </c>
      <c r="E777" t="inlineStr">
        <is>
          <t>ÅSELE</t>
        </is>
      </c>
      <c r="G777" t="n">
        <v>5</v>
      </c>
      <c r="H777" t="n">
        <v>0</v>
      </c>
      <c r="I777" t="n">
        <v>0</v>
      </c>
      <c r="J777" t="n">
        <v>0</v>
      </c>
      <c r="K777" t="n">
        <v>0</v>
      </c>
      <c r="L777" t="n">
        <v>0</v>
      </c>
      <c r="M777" t="n">
        <v>0</v>
      </c>
      <c r="N777" t="n">
        <v>0</v>
      </c>
      <c r="O777" t="n">
        <v>0</v>
      </c>
      <c r="P777" t="n">
        <v>0</v>
      </c>
      <c r="Q777" t="n">
        <v>0</v>
      </c>
      <c r="R777" s="2" t="inlineStr"/>
    </row>
    <row r="778" ht="15" customHeight="1">
      <c r="A778" t="inlineStr">
        <is>
          <t>A 31659-2024</t>
        </is>
      </c>
      <c r="B778" s="1" t="n">
        <v>45506</v>
      </c>
      <c r="C778" s="1" t="n">
        <v>46181</v>
      </c>
      <c r="D778" t="inlineStr">
        <is>
          <t>VÄSTERBOTTENS LÄN</t>
        </is>
      </c>
      <c r="E778" t="inlineStr">
        <is>
          <t>ÅSELE</t>
        </is>
      </c>
      <c r="G778" t="n">
        <v>41.1</v>
      </c>
      <c r="H778" t="n">
        <v>0</v>
      </c>
      <c r="I778" t="n">
        <v>0</v>
      </c>
      <c r="J778" t="n">
        <v>0</v>
      </c>
      <c r="K778" t="n">
        <v>0</v>
      </c>
      <c r="L778" t="n">
        <v>0</v>
      </c>
      <c r="M778" t="n">
        <v>0</v>
      </c>
      <c r="N778" t="n">
        <v>0</v>
      </c>
      <c r="O778" t="n">
        <v>0</v>
      </c>
      <c r="P778" t="n">
        <v>0</v>
      </c>
      <c r="Q778" t="n">
        <v>0</v>
      </c>
      <c r="R778" s="2" t="inlineStr"/>
    </row>
    <row r="779" ht="15" customHeight="1">
      <c r="A779" t="inlineStr">
        <is>
          <t>A 29736-2024</t>
        </is>
      </c>
      <c r="B779" s="1" t="n">
        <v>45485.38484953704</v>
      </c>
      <c r="C779" s="1" t="n">
        <v>46181</v>
      </c>
      <c r="D779" t="inlineStr">
        <is>
          <t>VÄSTERBOTTENS LÄN</t>
        </is>
      </c>
      <c r="E779" t="inlineStr">
        <is>
          <t>ÅSELE</t>
        </is>
      </c>
      <c r="G779" t="n">
        <v>0.2</v>
      </c>
      <c r="H779" t="n">
        <v>0</v>
      </c>
      <c r="I779" t="n">
        <v>0</v>
      </c>
      <c r="J779" t="n">
        <v>0</v>
      </c>
      <c r="K779" t="n">
        <v>0</v>
      </c>
      <c r="L779" t="n">
        <v>0</v>
      </c>
      <c r="M779" t="n">
        <v>0</v>
      </c>
      <c r="N779" t="n">
        <v>0</v>
      </c>
      <c r="O779" t="n">
        <v>0</v>
      </c>
      <c r="P779" t="n">
        <v>0</v>
      </c>
      <c r="Q779" t="n">
        <v>0</v>
      </c>
      <c r="R779" s="2" t="inlineStr"/>
    </row>
    <row r="780" ht="15" customHeight="1">
      <c r="A780" t="inlineStr">
        <is>
          <t>A 55615-2024</t>
        </is>
      </c>
      <c r="B780" s="1" t="n">
        <v>45622.58969907407</v>
      </c>
      <c r="C780" s="1" t="n">
        <v>46181</v>
      </c>
      <c r="D780" t="inlineStr">
        <is>
          <t>VÄSTERBOTTENS LÄN</t>
        </is>
      </c>
      <c r="E780" t="inlineStr">
        <is>
          <t>ÅSELE</t>
        </is>
      </c>
      <c r="G780" t="n">
        <v>1.2</v>
      </c>
      <c r="H780" t="n">
        <v>0</v>
      </c>
      <c r="I780" t="n">
        <v>0</v>
      </c>
      <c r="J780" t="n">
        <v>0</v>
      </c>
      <c r="K780" t="n">
        <v>0</v>
      </c>
      <c r="L780" t="n">
        <v>0</v>
      </c>
      <c r="M780" t="n">
        <v>0</v>
      </c>
      <c r="N780" t="n">
        <v>0</v>
      </c>
      <c r="O780" t="n">
        <v>0</v>
      </c>
      <c r="P780" t="n">
        <v>0</v>
      </c>
      <c r="Q780" t="n">
        <v>0</v>
      </c>
      <c r="R780" s="2" t="inlineStr"/>
    </row>
    <row r="781" ht="15" customHeight="1">
      <c r="A781" t="inlineStr">
        <is>
          <t>A 3059-2024</t>
        </is>
      </c>
      <c r="B781" s="1" t="n">
        <v>45316</v>
      </c>
      <c r="C781" s="1" t="n">
        <v>46181</v>
      </c>
      <c r="D781" t="inlineStr">
        <is>
          <t>VÄSTERBOTTENS LÄN</t>
        </is>
      </c>
      <c r="E781" t="inlineStr">
        <is>
          <t>ÅSELE</t>
        </is>
      </c>
      <c r="G781" t="n">
        <v>0.7</v>
      </c>
      <c r="H781" t="n">
        <v>0</v>
      </c>
      <c r="I781" t="n">
        <v>0</v>
      </c>
      <c r="J781" t="n">
        <v>0</v>
      </c>
      <c r="K781" t="n">
        <v>0</v>
      </c>
      <c r="L781" t="n">
        <v>0</v>
      </c>
      <c r="M781" t="n">
        <v>0</v>
      </c>
      <c r="N781" t="n">
        <v>0</v>
      </c>
      <c r="O781" t="n">
        <v>0</v>
      </c>
      <c r="P781" t="n">
        <v>0</v>
      </c>
      <c r="Q781" t="n">
        <v>0</v>
      </c>
      <c r="R781" s="2" t="inlineStr"/>
    </row>
    <row r="782" ht="15" customHeight="1">
      <c r="A782" t="inlineStr">
        <is>
          <t>A 42304-2024</t>
        </is>
      </c>
      <c r="B782" s="1" t="n">
        <v>45562</v>
      </c>
      <c r="C782" s="1" t="n">
        <v>46181</v>
      </c>
      <c r="D782" t="inlineStr">
        <is>
          <t>VÄSTERBOTTENS LÄN</t>
        </is>
      </c>
      <c r="E782" t="inlineStr">
        <is>
          <t>ÅSELE</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22951-2026</t>
        </is>
      </c>
      <c r="B783" s="1" t="n">
        <v>46160.58774305556</v>
      </c>
      <c r="C783" s="1" t="n">
        <v>46181</v>
      </c>
      <c r="D783" t="inlineStr">
        <is>
          <t>VÄSTERBOTTENS LÄN</t>
        </is>
      </c>
      <c r="E783" t="inlineStr">
        <is>
          <t>ÅSELE</t>
        </is>
      </c>
      <c r="F783" t="inlineStr">
        <is>
          <t>Holmen skog AB</t>
        </is>
      </c>
      <c r="G783" t="n">
        <v>2.3</v>
      </c>
      <c r="H783" t="n">
        <v>0</v>
      </c>
      <c r="I783" t="n">
        <v>0</v>
      </c>
      <c r="J783" t="n">
        <v>0</v>
      </c>
      <c r="K783" t="n">
        <v>0</v>
      </c>
      <c r="L783" t="n">
        <v>0</v>
      </c>
      <c r="M783" t="n">
        <v>0</v>
      </c>
      <c r="N783" t="n">
        <v>0</v>
      </c>
      <c r="O783" t="n">
        <v>0</v>
      </c>
      <c r="P783" t="n">
        <v>0</v>
      </c>
      <c r="Q783" t="n">
        <v>0</v>
      </c>
      <c r="R783" s="2" t="inlineStr"/>
    </row>
    <row r="784" ht="15" customHeight="1">
      <c r="A784" t="inlineStr">
        <is>
          <t>A 44894-2024</t>
        </is>
      </c>
      <c r="B784" s="1" t="n">
        <v>45575.36512731481</v>
      </c>
      <c r="C784" s="1" t="n">
        <v>46181</v>
      </c>
      <c r="D784" t="inlineStr">
        <is>
          <t>VÄSTERBOTTENS LÄN</t>
        </is>
      </c>
      <c r="E784" t="inlineStr">
        <is>
          <t>ÅSELE</t>
        </is>
      </c>
      <c r="F784" t="inlineStr">
        <is>
          <t>SCA</t>
        </is>
      </c>
      <c r="G784" t="n">
        <v>4.3</v>
      </c>
      <c r="H784" t="n">
        <v>0</v>
      </c>
      <c r="I784" t="n">
        <v>0</v>
      </c>
      <c r="J784" t="n">
        <v>0</v>
      </c>
      <c r="K784" t="n">
        <v>0</v>
      </c>
      <c r="L784" t="n">
        <v>0</v>
      </c>
      <c r="M784" t="n">
        <v>0</v>
      </c>
      <c r="N784" t="n">
        <v>0</v>
      </c>
      <c r="O784" t="n">
        <v>0</v>
      </c>
      <c r="P784" t="n">
        <v>0</v>
      </c>
      <c r="Q784" t="n">
        <v>0</v>
      </c>
      <c r="R784" s="2" t="inlineStr"/>
    </row>
    <row r="785" ht="15" customHeight="1">
      <c r="A785" t="inlineStr">
        <is>
          <t>A 49879-2024</t>
        </is>
      </c>
      <c r="B785" s="1" t="n">
        <v>45597.49931712963</v>
      </c>
      <c r="C785" s="1" t="n">
        <v>46181</v>
      </c>
      <c r="D785" t="inlineStr">
        <is>
          <t>VÄSTERBOTTENS LÄN</t>
        </is>
      </c>
      <c r="E785" t="inlineStr">
        <is>
          <t>ÅSELE</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32942-2024</t>
        </is>
      </c>
      <c r="B786" s="1" t="n">
        <v>45517</v>
      </c>
      <c r="C786" s="1" t="n">
        <v>46181</v>
      </c>
      <c r="D786" t="inlineStr">
        <is>
          <t>VÄSTERBOTTENS LÄN</t>
        </is>
      </c>
      <c r="E786" t="inlineStr">
        <is>
          <t>ÅSELE</t>
        </is>
      </c>
      <c r="G786" t="n">
        <v>1.1</v>
      </c>
      <c r="H786" t="n">
        <v>0</v>
      </c>
      <c r="I786" t="n">
        <v>0</v>
      </c>
      <c r="J786" t="n">
        <v>0</v>
      </c>
      <c r="K786" t="n">
        <v>0</v>
      </c>
      <c r="L786" t="n">
        <v>0</v>
      </c>
      <c r="M786" t="n">
        <v>0</v>
      </c>
      <c r="N786" t="n">
        <v>0</v>
      </c>
      <c r="O786" t="n">
        <v>0</v>
      </c>
      <c r="P786" t="n">
        <v>0</v>
      </c>
      <c r="Q786" t="n">
        <v>0</v>
      </c>
      <c r="R786" s="2" t="inlineStr"/>
    </row>
    <row r="787" ht="15" customHeight="1">
      <c r="A787" t="inlineStr">
        <is>
          <t>A 22834-2026</t>
        </is>
      </c>
      <c r="B787" s="1" t="n">
        <v>46160.37055555556</v>
      </c>
      <c r="C787" s="1" t="n">
        <v>46181</v>
      </c>
      <c r="D787" t="inlineStr">
        <is>
          <t>VÄSTERBOTTENS LÄN</t>
        </is>
      </c>
      <c r="E787" t="inlineStr">
        <is>
          <t>ÅSELE</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61530-2024</t>
        </is>
      </c>
      <c r="B788" s="1" t="n">
        <v>45645</v>
      </c>
      <c r="C788" s="1" t="n">
        <v>46181</v>
      </c>
      <c r="D788" t="inlineStr">
        <is>
          <t>VÄSTERBOTTENS LÄN</t>
        </is>
      </c>
      <c r="E788" t="inlineStr">
        <is>
          <t>ÅSELE</t>
        </is>
      </c>
      <c r="G788" t="n">
        <v>1.2</v>
      </c>
      <c r="H788" t="n">
        <v>0</v>
      </c>
      <c r="I788" t="n">
        <v>0</v>
      </c>
      <c r="J788" t="n">
        <v>0</v>
      </c>
      <c r="K788" t="n">
        <v>0</v>
      </c>
      <c r="L788" t="n">
        <v>0</v>
      </c>
      <c r="M788" t="n">
        <v>0</v>
      </c>
      <c r="N788" t="n">
        <v>0</v>
      </c>
      <c r="O788" t="n">
        <v>0</v>
      </c>
      <c r="P788" t="n">
        <v>0</v>
      </c>
      <c r="Q788" t="n">
        <v>0</v>
      </c>
      <c r="R788" s="2" t="inlineStr"/>
    </row>
    <row r="789" ht="15" customHeight="1">
      <c r="A789" t="inlineStr">
        <is>
          <t>A 60493-2024</t>
        </is>
      </c>
      <c r="B789" s="1" t="n">
        <v>45643.65672453704</v>
      </c>
      <c r="C789" s="1" t="n">
        <v>46181</v>
      </c>
      <c r="D789" t="inlineStr">
        <is>
          <t>VÄSTERBOTTENS LÄN</t>
        </is>
      </c>
      <c r="E789" t="inlineStr">
        <is>
          <t>ÅSELE</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61534-2024</t>
        </is>
      </c>
      <c r="B790" s="1" t="n">
        <v>45645</v>
      </c>
      <c r="C790" s="1" t="n">
        <v>46181</v>
      </c>
      <c r="D790" t="inlineStr">
        <is>
          <t>VÄSTERBOTTENS LÄN</t>
        </is>
      </c>
      <c r="E790" t="inlineStr">
        <is>
          <t>ÅSELE</t>
        </is>
      </c>
      <c r="G790" t="n">
        <v>0.9</v>
      </c>
      <c r="H790" t="n">
        <v>0</v>
      </c>
      <c r="I790" t="n">
        <v>0</v>
      </c>
      <c r="J790" t="n">
        <v>0</v>
      </c>
      <c r="K790" t="n">
        <v>0</v>
      </c>
      <c r="L790" t="n">
        <v>0</v>
      </c>
      <c r="M790" t="n">
        <v>0</v>
      </c>
      <c r="N790" t="n">
        <v>0</v>
      </c>
      <c r="O790" t="n">
        <v>0</v>
      </c>
      <c r="P790" t="n">
        <v>0</v>
      </c>
      <c r="Q790" t="n">
        <v>0</v>
      </c>
      <c r="R790" s="2" t="inlineStr"/>
    </row>
    <row r="791" ht="15" customHeight="1">
      <c r="A791" t="inlineStr">
        <is>
          <t>A 42037-2023</t>
        </is>
      </c>
      <c r="B791" s="1" t="n">
        <v>45177.50853009259</v>
      </c>
      <c r="C791" s="1" t="n">
        <v>46181</v>
      </c>
      <c r="D791" t="inlineStr">
        <is>
          <t>VÄSTERBOTTENS LÄN</t>
        </is>
      </c>
      <c r="E791" t="inlineStr">
        <is>
          <t>ÅSELE</t>
        </is>
      </c>
      <c r="F791" t="inlineStr">
        <is>
          <t>Holmen skog AB</t>
        </is>
      </c>
      <c r="G791" t="n">
        <v>4.7</v>
      </c>
      <c r="H791" t="n">
        <v>0</v>
      </c>
      <c r="I791" t="n">
        <v>0</v>
      </c>
      <c r="J791" t="n">
        <v>0</v>
      </c>
      <c r="K791" t="n">
        <v>0</v>
      </c>
      <c r="L791" t="n">
        <v>0</v>
      </c>
      <c r="M791" t="n">
        <v>0</v>
      </c>
      <c r="N791" t="n">
        <v>0</v>
      </c>
      <c r="O791" t="n">
        <v>0</v>
      </c>
      <c r="P791" t="n">
        <v>0</v>
      </c>
      <c r="Q791" t="n">
        <v>0</v>
      </c>
      <c r="R791" s="2" t="inlineStr"/>
    </row>
    <row r="792" ht="15" customHeight="1">
      <c r="A792" t="inlineStr">
        <is>
          <t>A 29617-2023</t>
        </is>
      </c>
      <c r="B792" s="1" t="n">
        <v>45106.94461805555</v>
      </c>
      <c r="C792" s="1" t="n">
        <v>46181</v>
      </c>
      <c r="D792" t="inlineStr">
        <is>
          <t>VÄSTERBOTTENS LÄN</t>
        </is>
      </c>
      <c r="E792" t="inlineStr">
        <is>
          <t>ÅSELE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33571-2021</t>
        </is>
      </c>
      <c r="B793" s="1" t="n">
        <v>44377</v>
      </c>
      <c r="C793" s="1" t="n">
        <v>46181</v>
      </c>
      <c r="D793" t="inlineStr">
        <is>
          <t>VÄSTERBOTTENS LÄN</t>
        </is>
      </c>
      <c r="E793" t="inlineStr">
        <is>
          <t>ÅSELE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19614-2025</t>
        </is>
      </c>
      <c r="B794" s="1" t="n">
        <v>45770.61505787037</v>
      </c>
      <c r="C794" s="1" t="n">
        <v>46181</v>
      </c>
      <c r="D794" t="inlineStr">
        <is>
          <t>VÄSTERBOTTENS LÄN</t>
        </is>
      </c>
      <c r="E794" t="inlineStr">
        <is>
          <t>ÅSELE</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49926-2023</t>
        </is>
      </c>
      <c r="B795" s="1" t="n">
        <v>45214.87300925926</v>
      </c>
      <c r="C795" s="1" t="n">
        <v>46181</v>
      </c>
      <c r="D795" t="inlineStr">
        <is>
          <t>VÄSTERBOTTENS LÄN</t>
        </is>
      </c>
      <c r="E795" t="inlineStr">
        <is>
          <t>ÅSELE</t>
        </is>
      </c>
      <c r="F795" t="inlineStr">
        <is>
          <t>Holmen skog AB</t>
        </is>
      </c>
      <c r="G795" t="n">
        <v>3.5</v>
      </c>
      <c r="H795" t="n">
        <v>0</v>
      </c>
      <c r="I795" t="n">
        <v>0</v>
      </c>
      <c r="J795" t="n">
        <v>0</v>
      </c>
      <c r="K795" t="n">
        <v>0</v>
      </c>
      <c r="L795" t="n">
        <v>0</v>
      </c>
      <c r="M795" t="n">
        <v>0</v>
      </c>
      <c r="N795" t="n">
        <v>0</v>
      </c>
      <c r="O795" t="n">
        <v>0</v>
      </c>
      <c r="P795" t="n">
        <v>0</v>
      </c>
      <c r="Q795" t="n">
        <v>0</v>
      </c>
      <c r="R795" s="2" t="inlineStr"/>
    </row>
    <row r="796" ht="15" customHeight="1">
      <c r="A796" t="inlineStr">
        <is>
          <t>A 49928-2023</t>
        </is>
      </c>
      <c r="B796" s="1" t="n">
        <v>45214.93665509259</v>
      </c>
      <c r="C796" s="1" t="n">
        <v>46181</v>
      </c>
      <c r="D796" t="inlineStr">
        <is>
          <t>VÄSTERBOTTENS LÄN</t>
        </is>
      </c>
      <c r="E796" t="inlineStr">
        <is>
          <t>ÅSELE</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27868-2023</t>
        </is>
      </c>
      <c r="B797" s="1" t="n">
        <v>45098</v>
      </c>
      <c r="C797" s="1" t="n">
        <v>46181</v>
      </c>
      <c r="D797" t="inlineStr">
        <is>
          <t>VÄSTERBOTTENS LÄN</t>
        </is>
      </c>
      <c r="E797" t="inlineStr">
        <is>
          <t>ÅSELE</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2893-2025</t>
        </is>
      </c>
      <c r="B798" s="1" t="n">
        <v>45677</v>
      </c>
      <c r="C798" s="1" t="n">
        <v>46181</v>
      </c>
      <c r="D798" t="inlineStr">
        <is>
          <t>VÄSTERBOTTENS LÄN</t>
        </is>
      </c>
      <c r="E798" t="inlineStr">
        <is>
          <t>ÅSELE</t>
        </is>
      </c>
      <c r="G798" t="n">
        <v>2.9</v>
      </c>
      <c r="H798" t="n">
        <v>0</v>
      </c>
      <c r="I798" t="n">
        <v>0</v>
      </c>
      <c r="J798" t="n">
        <v>0</v>
      </c>
      <c r="K798" t="n">
        <v>0</v>
      </c>
      <c r="L798" t="n">
        <v>0</v>
      </c>
      <c r="M798" t="n">
        <v>0</v>
      </c>
      <c r="N798" t="n">
        <v>0</v>
      </c>
      <c r="O798" t="n">
        <v>0</v>
      </c>
      <c r="P798" t="n">
        <v>0</v>
      </c>
      <c r="Q798" t="n">
        <v>0</v>
      </c>
      <c r="R798" s="2" t="inlineStr"/>
    </row>
    <row r="799" ht="15" customHeight="1">
      <c r="A799" t="inlineStr">
        <is>
          <t>A 54957-2024</t>
        </is>
      </c>
      <c r="B799" s="1" t="n">
        <v>45619</v>
      </c>
      <c r="C799" s="1" t="n">
        <v>46181</v>
      </c>
      <c r="D799" t="inlineStr">
        <is>
          <t>VÄSTERBOTTENS LÄN</t>
        </is>
      </c>
      <c r="E799" t="inlineStr">
        <is>
          <t>ÅSELE</t>
        </is>
      </c>
      <c r="F799" t="inlineStr">
        <is>
          <t>SCA</t>
        </is>
      </c>
      <c r="G799" t="n">
        <v>17.4</v>
      </c>
      <c r="H799" t="n">
        <v>0</v>
      </c>
      <c r="I799" t="n">
        <v>0</v>
      </c>
      <c r="J799" t="n">
        <v>0</v>
      </c>
      <c r="K799" t="n">
        <v>0</v>
      </c>
      <c r="L799" t="n">
        <v>0</v>
      </c>
      <c r="M799" t="n">
        <v>0</v>
      </c>
      <c r="N799" t="n">
        <v>0</v>
      </c>
      <c r="O799" t="n">
        <v>0</v>
      </c>
      <c r="P799" t="n">
        <v>0</v>
      </c>
      <c r="Q799" t="n">
        <v>0</v>
      </c>
      <c r="R799" s="2" t="inlineStr"/>
    </row>
    <row r="800" ht="15" customHeight="1">
      <c r="A800" t="inlineStr">
        <is>
          <t>A 56258-2023</t>
        </is>
      </c>
      <c r="B800" s="1" t="n">
        <v>45240.94754629629</v>
      </c>
      <c r="C800" s="1" t="n">
        <v>46181</v>
      </c>
      <c r="D800" t="inlineStr">
        <is>
          <t>VÄSTERBOTTENS LÄN</t>
        </is>
      </c>
      <c r="E800" t="inlineStr">
        <is>
          <t>ÅSELE</t>
        </is>
      </c>
      <c r="F800" t="inlineStr">
        <is>
          <t>SCA</t>
        </is>
      </c>
      <c r="G800" t="n">
        <v>4.6</v>
      </c>
      <c r="H800" t="n">
        <v>0</v>
      </c>
      <c r="I800" t="n">
        <v>0</v>
      </c>
      <c r="J800" t="n">
        <v>0</v>
      </c>
      <c r="K800" t="n">
        <v>0</v>
      </c>
      <c r="L800" t="n">
        <v>0</v>
      </c>
      <c r="M800" t="n">
        <v>0</v>
      </c>
      <c r="N800" t="n">
        <v>0</v>
      </c>
      <c r="O800" t="n">
        <v>0</v>
      </c>
      <c r="P800" t="n">
        <v>0</v>
      </c>
      <c r="Q800" t="n">
        <v>0</v>
      </c>
      <c r="R800" s="2" t="inlineStr"/>
    </row>
    <row r="801" ht="15" customHeight="1">
      <c r="A801" t="inlineStr">
        <is>
          <t>A 36042-2023</t>
        </is>
      </c>
      <c r="B801" s="1" t="n">
        <v>45149</v>
      </c>
      <c r="C801" s="1" t="n">
        <v>46181</v>
      </c>
      <c r="D801" t="inlineStr">
        <is>
          <t>VÄSTERBOTTENS LÄN</t>
        </is>
      </c>
      <c r="E801" t="inlineStr">
        <is>
          <t>ÅSELE</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17458-2026</t>
        </is>
      </c>
      <c r="B802" s="1" t="n">
        <v>46119</v>
      </c>
      <c r="C802" s="1" t="n">
        <v>46181</v>
      </c>
      <c r="D802" t="inlineStr">
        <is>
          <t>VÄSTERBOTTENS LÄN</t>
        </is>
      </c>
      <c r="E802" t="inlineStr">
        <is>
          <t>ÅSELE</t>
        </is>
      </c>
      <c r="F802" t="inlineStr">
        <is>
          <t>Allmännings- och besparingsskogar</t>
        </is>
      </c>
      <c r="G802" t="n">
        <v>5.7</v>
      </c>
      <c r="H802" t="n">
        <v>0</v>
      </c>
      <c r="I802" t="n">
        <v>0</v>
      </c>
      <c r="J802" t="n">
        <v>0</v>
      </c>
      <c r="K802" t="n">
        <v>0</v>
      </c>
      <c r="L802" t="n">
        <v>0</v>
      </c>
      <c r="M802" t="n">
        <v>0</v>
      </c>
      <c r="N802" t="n">
        <v>0</v>
      </c>
      <c r="O802" t="n">
        <v>0</v>
      </c>
      <c r="P802" t="n">
        <v>0</v>
      </c>
      <c r="Q802" t="n">
        <v>0</v>
      </c>
      <c r="R802" s="2" t="inlineStr"/>
    </row>
    <row r="803" ht="15" customHeight="1">
      <c r="A803" t="inlineStr">
        <is>
          <t>A 35861-2023</t>
        </is>
      </c>
      <c r="B803" s="1" t="n">
        <v>45147</v>
      </c>
      <c r="C803" s="1" t="n">
        <v>46181</v>
      </c>
      <c r="D803" t="inlineStr">
        <is>
          <t>VÄSTERBOTTENS LÄN</t>
        </is>
      </c>
      <c r="E803" t="inlineStr">
        <is>
          <t>ÅSELE</t>
        </is>
      </c>
      <c r="G803" t="n">
        <v>0.6</v>
      </c>
      <c r="H803" t="n">
        <v>0</v>
      </c>
      <c r="I803" t="n">
        <v>0</v>
      </c>
      <c r="J803" t="n">
        <v>0</v>
      </c>
      <c r="K803" t="n">
        <v>0</v>
      </c>
      <c r="L803" t="n">
        <v>0</v>
      </c>
      <c r="M803" t="n">
        <v>0</v>
      </c>
      <c r="N803" t="n">
        <v>0</v>
      </c>
      <c r="O803" t="n">
        <v>0</v>
      </c>
      <c r="P803" t="n">
        <v>0</v>
      </c>
      <c r="Q803" t="n">
        <v>0</v>
      </c>
      <c r="R803" s="2" t="inlineStr"/>
    </row>
    <row r="804" ht="15" customHeight="1">
      <c r="A804" t="inlineStr">
        <is>
          <t>A 20140-2022</t>
        </is>
      </c>
      <c r="B804" s="1" t="n">
        <v>44698</v>
      </c>
      <c r="C804" s="1" t="n">
        <v>46181</v>
      </c>
      <c r="D804" t="inlineStr">
        <is>
          <t>VÄSTERBOTTENS LÄN</t>
        </is>
      </c>
      <c r="E804" t="inlineStr">
        <is>
          <t>ÅSELE</t>
        </is>
      </c>
      <c r="F804" t="inlineStr">
        <is>
          <t>Holmen skog AB</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20455-2025</t>
        </is>
      </c>
      <c r="B805" s="1" t="n">
        <v>45775</v>
      </c>
      <c r="C805" s="1" t="n">
        <v>46181</v>
      </c>
      <c r="D805" t="inlineStr">
        <is>
          <t>VÄSTERBOTTENS LÄN</t>
        </is>
      </c>
      <c r="E805" t="inlineStr">
        <is>
          <t>ÅSELE</t>
        </is>
      </c>
      <c r="F805" t="inlineStr">
        <is>
          <t>SCA</t>
        </is>
      </c>
      <c r="G805" t="n">
        <v>18.4</v>
      </c>
      <c r="H805" t="n">
        <v>0</v>
      </c>
      <c r="I805" t="n">
        <v>0</v>
      </c>
      <c r="J805" t="n">
        <v>0</v>
      </c>
      <c r="K805" t="n">
        <v>0</v>
      </c>
      <c r="L805" t="n">
        <v>0</v>
      </c>
      <c r="M805" t="n">
        <v>0</v>
      </c>
      <c r="N805" t="n">
        <v>0</v>
      </c>
      <c r="O805" t="n">
        <v>0</v>
      </c>
      <c r="P805" t="n">
        <v>0</v>
      </c>
      <c r="Q805" t="n">
        <v>0</v>
      </c>
      <c r="R805" s="2" t="inlineStr"/>
    </row>
    <row r="806" ht="15" customHeight="1">
      <c r="A806" t="inlineStr">
        <is>
          <t>A 20302-2025</t>
        </is>
      </c>
      <c r="B806" s="1" t="n">
        <v>45774.7928587963</v>
      </c>
      <c r="C806" s="1" t="n">
        <v>46181</v>
      </c>
      <c r="D806" t="inlineStr">
        <is>
          <t>VÄSTERBOTTENS LÄN</t>
        </is>
      </c>
      <c r="E806" t="inlineStr">
        <is>
          <t>ÅSELE</t>
        </is>
      </c>
      <c r="G806" t="n">
        <v>12.7</v>
      </c>
      <c r="H806" t="n">
        <v>0</v>
      </c>
      <c r="I806" t="n">
        <v>0</v>
      </c>
      <c r="J806" t="n">
        <v>0</v>
      </c>
      <c r="K806" t="n">
        <v>0</v>
      </c>
      <c r="L806" t="n">
        <v>0</v>
      </c>
      <c r="M806" t="n">
        <v>0</v>
      </c>
      <c r="N806" t="n">
        <v>0</v>
      </c>
      <c r="O806" t="n">
        <v>0</v>
      </c>
      <c r="P806" t="n">
        <v>0</v>
      </c>
      <c r="Q806" t="n">
        <v>0</v>
      </c>
      <c r="R806" s="2" t="inlineStr"/>
    </row>
    <row r="807" ht="15" customHeight="1">
      <c r="A807" t="inlineStr">
        <is>
          <t>A 20303-2025</t>
        </is>
      </c>
      <c r="B807" s="1" t="n">
        <v>45774.80667824074</v>
      </c>
      <c r="C807" s="1" t="n">
        <v>46181</v>
      </c>
      <c r="D807" t="inlineStr">
        <is>
          <t>VÄSTERBOTTENS LÄN</t>
        </is>
      </c>
      <c r="E807" t="inlineStr">
        <is>
          <t>ÅSELE</t>
        </is>
      </c>
      <c r="G807" t="n">
        <v>4.1</v>
      </c>
      <c r="H807" t="n">
        <v>0</v>
      </c>
      <c r="I807" t="n">
        <v>0</v>
      </c>
      <c r="J807" t="n">
        <v>0</v>
      </c>
      <c r="K807" t="n">
        <v>0</v>
      </c>
      <c r="L807" t="n">
        <v>0</v>
      </c>
      <c r="M807" t="n">
        <v>0</v>
      </c>
      <c r="N807" t="n">
        <v>0</v>
      </c>
      <c r="O807" t="n">
        <v>0</v>
      </c>
      <c r="P807" t="n">
        <v>0</v>
      </c>
      <c r="Q807" t="n">
        <v>0</v>
      </c>
      <c r="R807" s="2" t="inlineStr"/>
    </row>
    <row r="808" ht="15" customHeight="1">
      <c r="A808" t="inlineStr">
        <is>
          <t>A 41861-2024</t>
        </is>
      </c>
      <c r="B808" s="1" t="n">
        <v>45561</v>
      </c>
      <c r="C808" s="1" t="n">
        <v>46181</v>
      </c>
      <c r="D808" t="inlineStr">
        <is>
          <t>VÄSTERBOTTENS LÄN</t>
        </is>
      </c>
      <c r="E808" t="inlineStr">
        <is>
          <t>ÅSELE</t>
        </is>
      </c>
      <c r="G808" t="n">
        <v>0.3</v>
      </c>
      <c r="H808" t="n">
        <v>0</v>
      </c>
      <c r="I808" t="n">
        <v>0</v>
      </c>
      <c r="J808" t="n">
        <v>0</v>
      </c>
      <c r="K808" t="n">
        <v>0</v>
      </c>
      <c r="L808" t="n">
        <v>0</v>
      </c>
      <c r="M808" t="n">
        <v>0</v>
      </c>
      <c r="N808" t="n">
        <v>0</v>
      </c>
      <c r="O808" t="n">
        <v>0</v>
      </c>
      <c r="P808" t="n">
        <v>0</v>
      </c>
      <c r="Q808" t="n">
        <v>0</v>
      </c>
      <c r="R808" s="2" t="inlineStr"/>
    </row>
    <row r="809" ht="15" customHeight="1">
      <c r="A809" t="inlineStr">
        <is>
          <t>A 28728-2023</t>
        </is>
      </c>
      <c r="B809" s="1" t="n">
        <v>45103</v>
      </c>
      <c r="C809" s="1" t="n">
        <v>46181</v>
      </c>
      <c r="D809" t="inlineStr">
        <is>
          <t>VÄSTERBOTTENS LÄN</t>
        </is>
      </c>
      <c r="E809" t="inlineStr">
        <is>
          <t>ÅSELE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28731-2023</t>
        </is>
      </c>
      <c r="B810" s="1" t="n">
        <v>45103</v>
      </c>
      <c r="C810" s="1" t="n">
        <v>46181</v>
      </c>
      <c r="D810" t="inlineStr">
        <is>
          <t>VÄSTERBOTTENS LÄN</t>
        </is>
      </c>
      <c r="E810" t="inlineStr">
        <is>
          <t>ÅSELE</t>
        </is>
      </c>
      <c r="F810" t="inlineStr">
        <is>
          <t>Sveaskog</t>
        </is>
      </c>
      <c r="G810" t="n">
        <v>4.9</v>
      </c>
      <c r="H810" t="n">
        <v>0</v>
      </c>
      <c r="I810" t="n">
        <v>0</v>
      </c>
      <c r="J810" t="n">
        <v>0</v>
      </c>
      <c r="K810" t="n">
        <v>0</v>
      </c>
      <c r="L810" t="n">
        <v>0</v>
      </c>
      <c r="M810" t="n">
        <v>0</v>
      </c>
      <c r="N810" t="n">
        <v>0</v>
      </c>
      <c r="O810" t="n">
        <v>0</v>
      </c>
      <c r="P810" t="n">
        <v>0</v>
      </c>
      <c r="Q810" t="n">
        <v>0</v>
      </c>
      <c r="R810" s="2" t="inlineStr"/>
    </row>
    <row r="811" ht="15" customHeight="1">
      <c r="A811" t="inlineStr">
        <is>
          <t>A 45800-2023</t>
        </is>
      </c>
      <c r="B811" s="1" t="n">
        <v>45189</v>
      </c>
      <c r="C811" s="1" t="n">
        <v>46181</v>
      </c>
      <c r="D811" t="inlineStr">
        <is>
          <t>VÄSTERBOTTENS LÄN</t>
        </is>
      </c>
      <c r="E811" t="inlineStr">
        <is>
          <t>ÅSELE</t>
        </is>
      </c>
      <c r="G811" t="n">
        <v>42.1</v>
      </c>
      <c r="H811" t="n">
        <v>0</v>
      </c>
      <c r="I811" t="n">
        <v>0</v>
      </c>
      <c r="J811" t="n">
        <v>0</v>
      </c>
      <c r="K811" t="n">
        <v>0</v>
      </c>
      <c r="L811" t="n">
        <v>0</v>
      </c>
      <c r="M811" t="n">
        <v>0</v>
      </c>
      <c r="N811" t="n">
        <v>0</v>
      </c>
      <c r="O811" t="n">
        <v>0</v>
      </c>
      <c r="P811" t="n">
        <v>0</v>
      </c>
      <c r="Q811" t="n">
        <v>0</v>
      </c>
      <c r="R811" s="2" t="inlineStr"/>
    </row>
    <row r="812" ht="15" customHeight="1">
      <c r="A812" t="inlineStr">
        <is>
          <t>A 55920-2023</t>
        </is>
      </c>
      <c r="B812" s="1" t="n">
        <v>45239.96893518518</v>
      </c>
      <c r="C812" s="1" t="n">
        <v>46181</v>
      </c>
      <c r="D812" t="inlineStr">
        <is>
          <t>VÄSTERBOTTENS LÄN</t>
        </is>
      </c>
      <c r="E812" t="inlineStr">
        <is>
          <t>ÅSELE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38076-2023</t>
        </is>
      </c>
      <c r="B813" s="1" t="n">
        <v>45160</v>
      </c>
      <c r="C813" s="1" t="n">
        <v>46181</v>
      </c>
      <c r="D813" t="inlineStr">
        <is>
          <t>VÄSTERBOTTENS LÄN</t>
        </is>
      </c>
      <c r="E813" t="inlineStr">
        <is>
          <t>ÅSELE</t>
        </is>
      </c>
      <c r="G813" t="n">
        <v>3.1</v>
      </c>
      <c r="H813" t="n">
        <v>0</v>
      </c>
      <c r="I813" t="n">
        <v>0</v>
      </c>
      <c r="J813" t="n">
        <v>0</v>
      </c>
      <c r="K813" t="n">
        <v>0</v>
      </c>
      <c r="L813" t="n">
        <v>0</v>
      </c>
      <c r="M813" t="n">
        <v>0</v>
      </c>
      <c r="N813" t="n">
        <v>0</v>
      </c>
      <c r="O813" t="n">
        <v>0</v>
      </c>
      <c r="P813" t="n">
        <v>0</v>
      </c>
      <c r="Q813" t="n">
        <v>0</v>
      </c>
      <c r="R813" s="2" t="inlineStr"/>
    </row>
    <row r="814" ht="15" customHeight="1">
      <c r="A814" t="inlineStr">
        <is>
          <t>A 54746-2023</t>
        </is>
      </c>
      <c r="B814" s="1" t="n">
        <v>45236.4175</v>
      </c>
      <c r="C814" s="1" t="n">
        <v>46181</v>
      </c>
      <c r="D814" t="inlineStr">
        <is>
          <t>VÄSTERBOTTENS LÄN</t>
        </is>
      </c>
      <c r="E814" t="inlineStr">
        <is>
          <t>ÅSELE</t>
        </is>
      </c>
      <c r="F814" t="inlineStr">
        <is>
          <t>Sveaskog</t>
        </is>
      </c>
      <c r="G814" t="n">
        <v>4.1</v>
      </c>
      <c r="H814" t="n">
        <v>0</v>
      </c>
      <c r="I814" t="n">
        <v>0</v>
      </c>
      <c r="J814" t="n">
        <v>0</v>
      </c>
      <c r="K814" t="n">
        <v>0</v>
      </c>
      <c r="L814" t="n">
        <v>0</v>
      </c>
      <c r="M814" t="n">
        <v>0</v>
      </c>
      <c r="N814" t="n">
        <v>0</v>
      </c>
      <c r="O814" t="n">
        <v>0</v>
      </c>
      <c r="P814" t="n">
        <v>0</v>
      </c>
      <c r="Q814" t="n">
        <v>0</v>
      </c>
      <c r="R814" s="2" t="inlineStr"/>
    </row>
    <row r="815" ht="15" customHeight="1">
      <c r="A815" t="inlineStr">
        <is>
          <t>A 54765-2023</t>
        </is>
      </c>
      <c r="B815" s="1" t="n">
        <v>45236.45083333334</v>
      </c>
      <c r="C815" s="1" t="n">
        <v>46181</v>
      </c>
      <c r="D815" t="inlineStr">
        <is>
          <t>VÄSTERBOTTENS LÄN</t>
        </is>
      </c>
      <c r="E815" t="inlineStr">
        <is>
          <t>ÅSELE</t>
        </is>
      </c>
      <c r="F815" t="inlineStr">
        <is>
          <t>Sveaskog</t>
        </is>
      </c>
      <c r="G815" t="n">
        <v>18.9</v>
      </c>
      <c r="H815" t="n">
        <v>0</v>
      </c>
      <c r="I815" t="n">
        <v>0</v>
      </c>
      <c r="J815" t="n">
        <v>0</v>
      </c>
      <c r="K815" t="n">
        <v>0</v>
      </c>
      <c r="L815" t="n">
        <v>0</v>
      </c>
      <c r="M815" t="n">
        <v>0</v>
      </c>
      <c r="N815" t="n">
        <v>0</v>
      </c>
      <c r="O815" t="n">
        <v>0</v>
      </c>
      <c r="P815" t="n">
        <v>0</v>
      </c>
      <c r="Q815" t="n">
        <v>0</v>
      </c>
      <c r="R815" s="2" t="inlineStr"/>
    </row>
    <row r="816" ht="15" customHeight="1">
      <c r="A816" t="inlineStr">
        <is>
          <t>A 43768-2023</t>
        </is>
      </c>
      <c r="B816" s="1" t="n">
        <v>45187.50721064815</v>
      </c>
      <c r="C816" s="1" t="n">
        <v>46181</v>
      </c>
      <c r="D816" t="inlineStr">
        <is>
          <t>VÄSTERBOTTENS LÄN</t>
        </is>
      </c>
      <c r="E816" t="inlineStr">
        <is>
          <t>ÅSELE</t>
        </is>
      </c>
      <c r="G816" t="n">
        <v>1.7</v>
      </c>
      <c r="H816" t="n">
        <v>0</v>
      </c>
      <c r="I816" t="n">
        <v>0</v>
      </c>
      <c r="J816" t="n">
        <v>0</v>
      </c>
      <c r="K816" t="n">
        <v>0</v>
      </c>
      <c r="L816" t="n">
        <v>0</v>
      </c>
      <c r="M816" t="n">
        <v>0</v>
      </c>
      <c r="N816" t="n">
        <v>0</v>
      </c>
      <c r="O816" t="n">
        <v>0</v>
      </c>
      <c r="P816" t="n">
        <v>0</v>
      </c>
      <c r="Q816" t="n">
        <v>0</v>
      </c>
      <c r="R816" s="2" t="inlineStr"/>
    </row>
    <row r="817" ht="15" customHeight="1">
      <c r="A817" t="inlineStr">
        <is>
          <t>A 41411-2023</t>
        </is>
      </c>
      <c r="B817" s="1" t="n">
        <v>45174.93942129629</v>
      </c>
      <c r="C817" s="1" t="n">
        <v>46181</v>
      </c>
      <c r="D817" t="inlineStr">
        <is>
          <t>VÄSTERBOTTENS LÄN</t>
        </is>
      </c>
      <c r="E817" t="inlineStr">
        <is>
          <t>ÅSELE</t>
        </is>
      </c>
      <c r="F817" t="inlineStr">
        <is>
          <t>SCA</t>
        </is>
      </c>
      <c r="G817" t="n">
        <v>12.7</v>
      </c>
      <c r="H817" t="n">
        <v>0</v>
      </c>
      <c r="I817" t="n">
        <v>0</v>
      </c>
      <c r="J817" t="n">
        <v>0</v>
      </c>
      <c r="K817" t="n">
        <v>0</v>
      </c>
      <c r="L817" t="n">
        <v>0</v>
      </c>
      <c r="M817" t="n">
        <v>0</v>
      </c>
      <c r="N817" t="n">
        <v>0</v>
      </c>
      <c r="O817" t="n">
        <v>0</v>
      </c>
      <c r="P817" t="n">
        <v>0</v>
      </c>
      <c r="Q817" t="n">
        <v>0</v>
      </c>
      <c r="R817" s="2" t="inlineStr"/>
    </row>
    <row r="818" ht="15" customHeight="1">
      <c r="A818" t="inlineStr">
        <is>
          <t>A 31402-2022</t>
        </is>
      </c>
      <c r="B818" s="1" t="n">
        <v>44774</v>
      </c>
      <c r="C818" s="1" t="n">
        <v>46181</v>
      </c>
      <c r="D818" t="inlineStr">
        <is>
          <t>VÄSTERBOTTENS LÄN</t>
        </is>
      </c>
      <c r="E818" t="inlineStr">
        <is>
          <t>ÅSELE</t>
        </is>
      </c>
      <c r="G818" t="n">
        <v>7.7</v>
      </c>
      <c r="H818" t="n">
        <v>0</v>
      </c>
      <c r="I818" t="n">
        <v>0</v>
      </c>
      <c r="J818" t="n">
        <v>0</v>
      </c>
      <c r="K818" t="n">
        <v>0</v>
      </c>
      <c r="L818" t="n">
        <v>0</v>
      </c>
      <c r="M818" t="n">
        <v>0</v>
      </c>
      <c r="N818" t="n">
        <v>0</v>
      </c>
      <c r="O818" t="n">
        <v>0</v>
      </c>
      <c r="P818" t="n">
        <v>0</v>
      </c>
      <c r="Q818" t="n">
        <v>0</v>
      </c>
      <c r="R818" s="2" t="inlineStr"/>
    </row>
    <row r="819" ht="15" customHeight="1">
      <c r="A819" t="inlineStr">
        <is>
          <t>A 30491-2022</t>
        </is>
      </c>
      <c r="B819" s="1" t="n">
        <v>44761</v>
      </c>
      <c r="C819" s="1" t="n">
        <v>46181</v>
      </c>
      <c r="D819" t="inlineStr">
        <is>
          <t>VÄSTERBOTTENS LÄN</t>
        </is>
      </c>
      <c r="E819" t="inlineStr">
        <is>
          <t>ÅSELE</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18578-2022</t>
        </is>
      </c>
      <c r="B820" s="1" t="n">
        <v>44687.30193287037</v>
      </c>
      <c r="C820" s="1" t="n">
        <v>46181</v>
      </c>
      <c r="D820" t="inlineStr">
        <is>
          <t>VÄSTERBOTTENS LÄN</t>
        </is>
      </c>
      <c r="E820" t="inlineStr">
        <is>
          <t>ÅSELE</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59282-2024</t>
        </is>
      </c>
      <c r="B821" s="1" t="n">
        <v>45637</v>
      </c>
      <c r="C821" s="1" t="n">
        <v>46181</v>
      </c>
      <c r="D821" t="inlineStr">
        <is>
          <t>VÄSTERBOTTENS LÄN</t>
        </is>
      </c>
      <c r="E821" t="inlineStr">
        <is>
          <t>ÅSELE</t>
        </is>
      </c>
      <c r="G821" t="n">
        <v>6.9</v>
      </c>
      <c r="H821" t="n">
        <v>0</v>
      </c>
      <c r="I821" t="n">
        <v>0</v>
      </c>
      <c r="J821" t="n">
        <v>0</v>
      </c>
      <c r="K821" t="n">
        <v>0</v>
      </c>
      <c r="L821" t="n">
        <v>0</v>
      </c>
      <c r="M821" t="n">
        <v>0</v>
      </c>
      <c r="N821" t="n">
        <v>0</v>
      </c>
      <c r="O821" t="n">
        <v>0</v>
      </c>
      <c r="P821" t="n">
        <v>0</v>
      </c>
      <c r="Q821" t="n">
        <v>0</v>
      </c>
      <c r="R821" s="2" t="inlineStr"/>
    </row>
    <row r="822" ht="15" customHeight="1">
      <c r="A822" t="inlineStr">
        <is>
          <t>A 46693-2023</t>
        </is>
      </c>
      <c r="B822" s="1" t="n">
        <v>45198</v>
      </c>
      <c r="C822" s="1" t="n">
        <v>46181</v>
      </c>
      <c r="D822" t="inlineStr">
        <is>
          <t>VÄSTERBOTTENS LÄN</t>
        </is>
      </c>
      <c r="E822" t="inlineStr">
        <is>
          <t>ÅSELE</t>
        </is>
      </c>
      <c r="F822" t="inlineStr">
        <is>
          <t>Sveaskog</t>
        </is>
      </c>
      <c r="G822" t="n">
        <v>14.8</v>
      </c>
      <c r="H822" t="n">
        <v>0</v>
      </c>
      <c r="I822" t="n">
        <v>0</v>
      </c>
      <c r="J822" t="n">
        <v>0</v>
      </c>
      <c r="K822" t="n">
        <v>0</v>
      </c>
      <c r="L822" t="n">
        <v>0</v>
      </c>
      <c r="M822" t="n">
        <v>0</v>
      </c>
      <c r="N822" t="n">
        <v>0</v>
      </c>
      <c r="O822" t="n">
        <v>0</v>
      </c>
      <c r="P822" t="n">
        <v>0</v>
      </c>
      <c r="Q822" t="n">
        <v>0</v>
      </c>
      <c r="R822" s="2" t="inlineStr"/>
    </row>
    <row r="823" ht="15" customHeight="1">
      <c r="A823" t="inlineStr">
        <is>
          <t>A 16527-2022</t>
        </is>
      </c>
      <c r="B823" s="1" t="n">
        <v>44671.94822916666</v>
      </c>
      <c r="C823" s="1" t="n">
        <v>46181</v>
      </c>
      <c r="D823" t="inlineStr">
        <is>
          <t>VÄSTERBOTTENS LÄN</t>
        </is>
      </c>
      <c r="E823" t="inlineStr">
        <is>
          <t>ÅSELE</t>
        </is>
      </c>
      <c r="G823" t="n">
        <v>6.6</v>
      </c>
      <c r="H823" t="n">
        <v>0</v>
      </c>
      <c r="I823" t="n">
        <v>0</v>
      </c>
      <c r="J823" t="n">
        <v>0</v>
      </c>
      <c r="K823" t="n">
        <v>0</v>
      </c>
      <c r="L823" t="n">
        <v>0</v>
      </c>
      <c r="M823" t="n">
        <v>0</v>
      </c>
      <c r="N823" t="n">
        <v>0</v>
      </c>
      <c r="O823" t="n">
        <v>0</v>
      </c>
      <c r="P823" t="n">
        <v>0</v>
      </c>
      <c r="Q823" t="n">
        <v>0</v>
      </c>
      <c r="R823" s="2" t="inlineStr"/>
    </row>
    <row r="824" ht="15" customHeight="1">
      <c r="A824" t="inlineStr">
        <is>
          <t>A 41468-2022</t>
        </is>
      </c>
      <c r="B824" s="1" t="n">
        <v>44826</v>
      </c>
      <c r="C824" s="1" t="n">
        <v>46181</v>
      </c>
      <c r="D824" t="inlineStr">
        <is>
          <t>VÄSTERBOTTENS LÄN</t>
        </is>
      </c>
      <c r="E824" t="inlineStr">
        <is>
          <t>ÅSELE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22987-2026</t>
        </is>
      </c>
      <c r="B825" s="1" t="n">
        <v>46160.65668981482</v>
      </c>
      <c r="C825" s="1" t="n">
        <v>46181</v>
      </c>
      <c r="D825" t="inlineStr">
        <is>
          <t>VÄSTERBOTTENS LÄN</t>
        </is>
      </c>
      <c r="E825" t="inlineStr">
        <is>
          <t>ÅSELE</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18034-2025</t>
        </is>
      </c>
      <c r="B826" s="1" t="n">
        <v>45761</v>
      </c>
      <c r="C826" s="1" t="n">
        <v>46181</v>
      </c>
      <c r="D826" t="inlineStr">
        <is>
          <t>VÄSTERBOTTENS LÄN</t>
        </is>
      </c>
      <c r="E826" t="inlineStr">
        <is>
          <t>ÅSELE</t>
        </is>
      </c>
      <c r="G826" t="n">
        <v>6.7</v>
      </c>
      <c r="H826" t="n">
        <v>0</v>
      </c>
      <c r="I826" t="n">
        <v>0</v>
      </c>
      <c r="J826" t="n">
        <v>0</v>
      </c>
      <c r="K826" t="n">
        <v>0</v>
      </c>
      <c r="L826" t="n">
        <v>0</v>
      </c>
      <c r="M826" t="n">
        <v>0</v>
      </c>
      <c r="N826" t="n">
        <v>0</v>
      </c>
      <c r="O826" t="n">
        <v>0</v>
      </c>
      <c r="P826" t="n">
        <v>0</v>
      </c>
      <c r="Q826" t="n">
        <v>0</v>
      </c>
      <c r="R826" s="2" t="inlineStr"/>
    </row>
    <row r="827" ht="15" customHeight="1">
      <c r="A827" t="inlineStr">
        <is>
          <t>A 61801-2023</t>
        </is>
      </c>
      <c r="B827" s="1" t="n">
        <v>45265.95881944444</v>
      </c>
      <c r="C827" s="1" t="n">
        <v>46181</v>
      </c>
      <c r="D827" t="inlineStr">
        <is>
          <t>VÄSTERBOTTENS LÄN</t>
        </is>
      </c>
      <c r="E827" t="inlineStr">
        <is>
          <t>ÅSELE</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15059-2025</t>
        </is>
      </c>
      <c r="B828" s="1" t="n">
        <v>45743</v>
      </c>
      <c r="C828" s="1" t="n">
        <v>46181</v>
      </c>
      <c r="D828" t="inlineStr">
        <is>
          <t>VÄSTERBOTTENS LÄN</t>
        </is>
      </c>
      <c r="E828" t="inlineStr">
        <is>
          <t>ÅSELE</t>
        </is>
      </c>
      <c r="F828" t="inlineStr">
        <is>
          <t>Holmen skog AB</t>
        </is>
      </c>
      <c r="G828" t="n">
        <v>13.7</v>
      </c>
      <c r="H828" t="n">
        <v>0</v>
      </c>
      <c r="I828" t="n">
        <v>0</v>
      </c>
      <c r="J828" t="n">
        <v>0</v>
      </c>
      <c r="K828" t="n">
        <v>0</v>
      </c>
      <c r="L828" t="n">
        <v>0</v>
      </c>
      <c r="M828" t="n">
        <v>0</v>
      </c>
      <c r="N828" t="n">
        <v>0</v>
      </c>
      <c r="O828" t="n">
        <v>0</v>
      </c>
      <c r="P828" t="n">
        <v>0</v>
      </c>
      <c r="Q828" t="n">
        <v>0</v>
      </c>
      <c r="R828" s="2" t="inlineStr"/>
    </row>
    <row r="829" ht="15" customHeight="1">
      <c r="A829" t="inlineStr">
        <is>
          <t>A 10109-2025</t>
        </is>
      </c>
      <c r="B829" s="1" t="n">
        <v>45719</v>
      </c>
      <c r="C829" s="1" t="n">
        <v>46181</v>
      </c>
      <c r="D829" t="inlineStr">
        <is>
          <t>VÄSTERBOTTENS LÄN</t>
        </is>
      </c>
      <c r="E829" t="inlineStr">
        <is>
          <t>ÅSELE</t>
        </is>
      </c>
      <c r="G829" t="n">
        <v>3.6</v>
      </c>
      <c r="H829" t="n">
        <v>0</v>
      </c>
      <c r="I829" t="n">
        <v>0</v>
      </c>
      <c r="J829" t="n">
        <v>0</v>
      </c>
      <c r="K829" t="n">
        <v>0</v>
      </c>
      <c r="L829" t="n">
        <v>0</v>
      </c>
      <c r="M829" t="n">
        <v>0</v>
      </c>
      <c r="N829" t="n">
        <v>0</v>
      </c>
      <c r="O829" t="n">
        <v>0</v>
      </c>
      <c r="P829" t="n">
        <v>0</v>
      </c>
      <c r="Q829" t="n">
        <v>0</v>
      </c>
      <c r="R829" s="2" t="inlineStr"/>
    </row>
    <row r="830" ht="15" customHeight="1">
      <c r="A830" t="inlineStr">
        <is>
          <t>A 2608-2024</t>
        </is>
      </c>
      <c r="B830" s="1" t="n">
        <v>45313.76722222222</v>
      </c>
      <c r="C830" s="1" t="n">
        <v>46181</v>
      </c>
      <c r="D830" t="inlineStr">
        <is>
          <t>VÄSTERBOTTENS LÄN</t>
        </is>
      </c>
      <c r="E830" t="inlineStr">
        <is>
          <t>ÅSELE</t>
        </is>
      </c>
      <c r="F830" t="inlineStr">
        <is>
          <t>Övriga Aktiebolag</t>
        </is>
      </c>
      <c r="G830" t="n">
        <v>20.6</v>
      </c>
      <c r="H830" t="n">
        <v>0</v>
      </c>
      <c r="I830" t="n">
        <v>0</v>
      </c>
      <c r="J830" t="n">
        <v>0</v>
      </c>
      <c r="K830" t="n">
        <v>0</v>
      </c>
      <c r="L830" t="n">
        <v>0</v>
      </c>
      <c r="M830" t="n">
        <v>0</v>
      </c>
      <c r="N830" t="n">
        <v>0</v>
      </c>
      <c r="O830" t="n">
        <v>0</v>
      </c>
      <c r="P830" t="n">
        <v>0</v>
      </c>
      <c r="Q830" t="n">
        <v>0</v>
      </c>
      <c r="R830" s="2" t="inlineStr"/>
    </row>
    <row r="831" ht="15" customHeight="1">
      <c r="A831" t="inlineStr">
        <is>
          <t>A 61874-2023</t>
        </is>
      </c>
      <c r="B831" s="1" t="n">
        <v>45266</v>
      </c>
      <c r="C831" s="1" t="n">
        <v>46181</v>
      </c>
      <c r="D831" t="inlineStr">
        <is>
          <t>VÄSTERBOTTENS LÄN</t>
        </is>
      </c>
      <c r="E831" t="inlineStr">
        <is>
          <t>ÅSELE</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61876-2023</t>
        </is>
      </c>
      <c r="B832" s="1" t="n">
        <v>45266</v>
      </c>
      <c r="C832" s="1" t="n">
        <v>46181</v>
      </c>
      <c r="D832" t="inlineStr">
        <is>
          <t>VÄSTERBOTTENS LÄN</t>
        </is>
      </c>
      <c r="E832" t="inlineStr">
        <is>
          <t>ÅSELE</t>
        </is>
      </c>
      <c r="F832" t="inlineStr">
        <is>
          <t>Sveaskog</t>
        </is>
      </c>
      <c r="G832" t="n">
        <v>6.3</v>
      </c>
      <c r="H832" t="n">
        <v>0</v>
      </c>
      <c r="I832" t="n">
        <v>0</v>
      </c>
      <c r="J832" t="n">
        <v>0</v>
      </c>
      <c r="K832" t="n">
        <v>0</v>
      </c>
      <c r="L832" t="n">
        <v>0</v>
      </c>
      <c r="M832" t="n">
        <v>0</v>
      </c>
      <c r="N832" t="n">
        <v>0</v>
      </c>
      <c r="O832" t="n">
        <v>0</v>
      </c>
      <c r="P832" t="n">
        <v>0</v>
      </c>
      <c r="Q832" t="n">
        <v>0</v>
      </c>
      <c r="R832" s="2" t="inlineStr"/>
    </row>
    <row r="833" ht="15" customHeight="1">
      <c r="A833" t="inlineStr">
        <is>
          <t>A 8878-2024</t>
        </is>
      </c>
      <c r="B833" s="1" t="n">
        <v>45357</v>
      </c>
      <c r="C833" s="1" t="n">
        <v>46181</v>
      </c>
      <c r="D833" t="inlineStr">
        <is>
          <t>VÄSTERBOTTENS LÄN</t>
        </is>
      </c>
      <c r="E833" t="inlineStr">
        <is>
          <t>ÅSELE</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29619-2024</t>
        </is>
      </c>
      <c r="B834" s="1" t="n">
        <v>45484.6541087963</v>
      </c>
      <c r="C834" s="1" t="n">
        <v>46181</v>
      </c>
      <c r="D834" t="inlineStr">
        <is>
          <t>VÄSTERBOTTENS LÄN</t>
        </is>
      </c>
      <c r="E834" t="inlineStr">
        <is>
          <t>ÅSELE</t>
        </is>
      </c>
      <c r="F834" t="inlineStr">
        <is>
          <t>Sveaskog</t>
        </is>
      </c>
      <c r="G834" t="n">
        <v>9.5</v>
      </c>
      <c r="H834" t="n">
        <v>0</v>
      </c>
      <c r="I834" t="n">
        <v>0</v>
      </c>
      <c r="J834" t="n">
        <v>0</v>
      </c>
      <c r="K834" t="n">
        <v>0</v>
      </c>
      <c r="L834" t="n">
        <v>0</v>
      </c>
      <c r="M834" t="n">
        <v>0</v>
      </c>
      <c r="N834" t="n">
        <v>0</v>
      </c>
      <c r="O834" t="n">
        <v>0</v>
      </c>
      <c r="P834" t="n">
        <v>0</v>
      </c>
      <c r="Q834" t="n">
        <v>0</v>
      </c>
      <c r="R834" s="2" t="inlineStr"/>
    </row>
    <row r="835" ht="15" customHeight="1">
      <c r="A835" t="inlineStr">
        <is>
          <t>A 10176-2024</t>
        </is>
      </c>
      <c r="B835" s="1" t="n">
        <v>45364</v>
      </c>
      <c r="C835" s="1" t="n">
        <v>46181</v>
      </c>
      <c r="D835" t="inlineStr">
        <is>
          <t>VÄSTERBOTTENS LÄN</t>
        </is>
      </c>
      <c r="E835" t="inlineStr">
        <is>
          <t>ÅSELE</t>
        </is>
      </c>
      <c r="G835" t="n">
        <v>4.2</v>
      </c>
      <c r="H835" t="n">
        <v>0</v>
      </c>
      <c r="I835" t="n">
        <v>0</v>
      </c>
      <c r="J835" t="n">
        <v>0</v>
      </c>
      <c r="K835" t="n">
        <v>0</v>
      </c>
      <c r="L835" t="n">
        <v>0</v>
      </c>
      <c r="M835" t="n">
        <v>0</v>
      </c>
      <c r="N835" t="n">
        <v>0</v>
      </c>
      <c r="O835" t="n">
        <v>0</v>
      </c>
      <c r="P835" t="n">
        <v>0</v>
      </c>
      <c r="Q835" t="n">
        <v>0</v>
      </c>
      <c r="R835" s="2" t="inlineStr"/>
    </row>
    <row r="836" ht="15" customHeight="1">
      <c r="A836" t="inlineStr">
        <is>
          <t>A 65040-2023</t>
        </is>
      </c>
      <c r="B836" s="1" t="n">
        <v>45282</v>
      </c>
      <c r="C836" s="1" t="n">
        <v>46181</v>
      </c>
      <c r="D836" t="inlineStr">
        <is>
          <t>VÄSTERBOTTENS LÄN</t>
        </is>
      </c>
      <c r="E836" t="inlineStr">
        <is>
          <t>ÅSELE</t>
        </is>
      </c>
      <c r="G836" t="n">
        <v>6.6</v>
      </c>
      <c r="H836" t="n">
        <v>0</v>
      </c>
      <c r="I836" t="n">
        <v>0</v>
      </c>
      <c r="J836" t="n">
        <v>0</v>
      </c>
      <c r="K836" t="n">
        <v>0</v>
      </c>
      <c r="L836" t="n">
        <v>0</v>
      </c>
      <c r="M836" t="n">
        <v>0</v>
      </c>
      <c r="N836" t="n">
        <v>0</v>
      </c>
      <c r="O836" t="n">
        <v>0</v>
      </c>
      <c r="P836" t="n">
        <v>0</v>
      </c>
      <c r="Q836" t="n">
        <v>0</v>
      </c>
      <c r="R836" s="2" t="inlineStr"/>
    </row>
    <row r="837" ht="15" customHeight="1">
      <c r="A837" t="inlineStr">
        <is>
          <t>A 32214-2022</t>
        </is>
      </c>
      <c r="B837" s="1" t="n">
        <v>44781</v>
      </c>
      <c r="C837" s="1" t="n">
        <v>46181</v>
      </c>
      <c r="D837" t="inlineStr">
        <is>
          <t>VÄSTERBOTTENS LÄN</t>
        </is>
      </c>
      <c r="E837" t="inlineStr">
        <is>
          <t>ÅSELE</t>
        </is>
      </c>
      <c r="G837" t="n">
        <v>1.3</v>
      </c>
      <c r="H837" t="n">
        <v>0</v>
      </c>
      <c r="I837" t="n">
        <v>0</v>
      </c>
      <c r="J837" t="n">
        <v>0</v>
      </c>
      <c r="K837" t="n">
        <v>0</v>
      </c>
      <c r="L837" t="n">
        <v>0</v>
      </c>
      <c r="M837" t="n">
        <v>0</v>
      </c>
      <c r="N837" t="n">
        <v>0</v>
      </c>
      <c r="O837" t="n">
        <v>0</v>
      </c>
      <c r="P837" t="n">
        <v>0</v>
      </c>
      <c r="Q837" t="n">
        <v>0</v>
      </c>
      <c r="R837" s="2" t="inlineStr"/>
    </row>
    <row r="838" ht="15" customHeight="1">
      <c r="A838" t="inlineStr">
        <is>
          <t>A 62259-2022</t>
        </is>
      </c>
      <c r="B838" s="1" t="n">
        <v>44922.94351851852</v>
      </c>
      <c r="C838" s="1" t="n">
        <v>46181</v>
      </c>
      <c r="D838" t="inlineStr">
        <is>
          <t>VÄSTERBOTTENS LÄN</t>
        </is>
      </c>
      <c r="E838" t="inlineStr">
        <is>
          <t>ÅSELE</t>
        </is>
      </c>
      <c r="F838" t="inlineStr">
        <is>
          <t>SCA</t>
        </is>
      </c>
      <c r="G838" t="n">
        <v>5.4</v>
      </c>
      <c r="H838" t="n">
        <v>0</v>
      </c>
      <c r="I838" t="n">
        <v>0</v>
      </c>
      <c r="J838" t="n">
        <v>0</v>
      </c>
      <c r="K838" t="n">
        <v>0</v>
      </c>
      <c r="L838" t="n">
        <v>0</v>
      </c>
      <c r="M838" t="n">
        <v>0</v>
      </c>
      <c r="N838" t="n">
        <v>0</v>
      </c>
      <c r="O838" t="n">
        <v>0</v>
      </c>
      <c r="P838" t="n">
        <v>0</v>
      </c>
      <c r="Q838" t="n">
        <v>0</v>
      </c>
      <c r="R838" s="2" t="inlineStr"/>
    </row>
    <row r="839" ht="15" customHeight="1">
      <c r="A839" t="inlineStr">
        <is>
          <t>A 18693-2025</t>
        </is>
      </c>
      <c r="B839" s="1" t="n">
        <v>45763</v>
      </c>
      <c r="C839" s="1" t="n">
        <v>46181</v>
      </c>
      <c r="D839" t="inlineStr">
        <is>
          <t>VÄSTERBOTTENS LÄN</t>
        </is>
      </c>
      <c r="E839" t="inlineStr">
        <is>
          <t>ÅSELE</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17885-2023</t>
        </is>
      </c>
      <c r="B840" s="1" t="n">
        <v>45037</v>
      </c>
      <c r="C840" s="1" t="n">
        <v>46181</v>
      </c>
      <c r="D840" t="inlineStr">
        <is>
          <t>VÄSTERBOTTENS LÄN</t>
        </is>
      </c>
      <c r="E840" t="inlineStr">
        <is>
          <t>ÅSELE</t>
        </is>
      </c>
      <c r="G840" t="n">
        <v>7.6</v>
      </c>
      <c r="H840" t="n">
        <v>0</v>
      </c>
      <c r="I840" t="n">
        <v>0</v>
      </c>
      <c r="J840" t="n">
        <v>0</v>
      </c>
      <c r="K840" t="n">
        <v>0</v>
      </c>
      <c r="L840" t="n">
        <v>0</v>
      </c>
      <c r="M840" t="n">
        <v>0</v>
      </c>
      <c r="N840" t="n">
        <v>0</v>
      </c>
      <c r="O840" t="n">
        <v>0</v>
      </c>
      <c r="P840" t="n">
        <v>0</v>
      </c>
      <c r="Q840" t="n">
        <v>0</v>
      </c>
      <c r="R840" s="2" t="inlineStr"/>
    </row>
    <row r="841" ht="15" customHeight="1">
      <c r="A841" t="inlineStr">
        <is>
          <t>A 25636-2024</t>
        </is>
      </c>
      <c r="B841" s="1" t="n">
        <v>45463</v>
      </c>
      <c r="C841" s="1" t="n">
        <v>46181</v>
      </c>
      <c r="D841" t="inlineStr">
        <is>
          <t>VÄSTERBOTTENS LÄN</t>
        </is>
      </c>
      <c r="E841" t="inlineStr">
        <is>
          <t>ÅSELE</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25557-2024</t>
        </is>
      </c>
      <c r="B842" s="1" t="n">
        <v>45463.58333333334</v>
      </c>
      <c r="C842" s="1" t="n">
        <v>46181</v>
      </c>
      <c r="D842" t="inlineStr">
        <is>
          <t>VÄSTERBOTTENS LÄN</t>
        </is>
      </c>
      <c r="E842" t="inlineStr">
        <is>
          <t>ÅSELE</t>
        </is>
      </c>
      <c r="F842" t="inlineStr">
        <is>
          <t>Sveaskog</t>
        </is>
      </c>
      <c r="G842" t="n">
        <v>11.2</v>
      </c>
      <c r="H842" t="n">
        <v>0</v>
      </c>
      <c r="I842" t="n">
        <v>0</v>
      </c>
      <c r="J842" t="n">
        <v>0</v>
      </c>
      <c r="K842" t="n">
        <v>0</v>
      </c>
      <c r="L842" t="n">
        <v>0</v>
      </c>
      <c r="M842" t="n">
        <v>0</v>
      </c>
      <c r="N842" t="n">
        <v>0</v>
      </c>
      <c r="O842" t="n">
        <v>0</v>
      </c>
      <c r="P842" t="n">
        <v>0</v>
      </c>
      <c r="Q842" t="n">
        <v>0</v>
      </c>
      <c r="R842" s="2" t="inlineStr"/>
    </row>
    <row r="843" ht="15" customHeight="1">
      <c r="A843" t="inlineStr">
        <is>
          <t>A 54729-2024</t>
        </is>
      </c>
      <c r="B843" s="1" t="n">
        <v>45618.43826388889</v>
      </c>
      <c r="C843" s="1" t="n">
        <v>46181</v>
      </c>
      <c r="D843" t="inlineStr">
        <is>
          <t>VÄSTERBOTTENS LÄN</t>
        </is>
      </c>
      <c r="E843" t="inlineStr">
        <is>
          <t>ÅSELE</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57788-2023</t>
        </is>
      </c>
      <c r="B844" s="1" t="n">
        <v>45246</v>
      </c>
      <c r="C844" s="1" t="n">
        <v>46181</v>
      </c>
      <c r="D844" t="inlineStr">
        <is>
          <t>VÄSTERBOTTENS LÄN</t>
        </is>
      </c>
      <c r="E844" t="inlineStr">
        <is>
          <t>ÅSELE</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64949-2023</t>
        </is>
      </c>
      <c r="B845" s="1" t="n">
        <v>45282.94709490741</v>
      </c>
      <c r="C845" s="1" t="n">
        <v>46181</v>
      </c>
      <c r="D845" t="inlineStr">
        <is>
          <t>VÄSTERBOTTENS LÄN</t>
        </is>
      </c>
      <c r="E845" t="inlineStr">
        <is>
          <t>ÅSELE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50200-2023</t>
        </is>
      </c>
      <c r="B846" s="1" t="n">
        <v>45215.87696759259</v>
      </c>
      <c r="C846" s="1" t="n">
        <v>46181</v>
      </c>
      <c r="D846" t="inlineStr">
        <is>
          <t>VÄSTERBOTTENS LÄN</t>
        </is>
      </c>
      <c r="E846" t="inlineStr">
        <is>
          <t>ÅSELE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10080-2023</t>
        </is>
      </c>
      <c r="B847" s="1" t="n">
        <v>44985.94431712963</v>
      </c>
      <c r="C847" s="1" t="n">
        <v>46181</v>
      </c>
      <c r="D847" t="inlineStr">
        <is>
          <t>VÄSTERBOTTENS LÄN</t>
        </is>
      </c>
      <c r="E847" t="inlineStr">
        <is>
          <t>ÅSELE</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2892-2025</t>
        </is>
      </c>
      <c r="B848" s="1" t="n">
        <v>45677</v>
      </c>
      <c r="C848" s="1" t="n">
        <v>46181</v>
      </c>
      <c r="D848" t="inlineStr">
        <is>
          <t>VÄSTERBOTTENS LÄN</t>
        </is>
      </c>
      <c r="E848" t="inlineStr">
        <is>
          <t>ÅSELE</t>
        </is>
      </c>
      <c r="G848" t="n">
        <v>3.1</v>
      </c>
      <c r="H848" t="n">
        <v>0</v>
      </c>
      <c r="I848" t="n">
        <v>0</v>
      </c>
      <c r="J848" t="n">
        <v>0</v>
      </c>
      <c r="K848" t="n">
        <v>0</v>
      </c>
      <c r="L848" t="n">
        <v>0</v>
      </c>
      <c r="M848" t="n">
        <v>0</v>
      </c>
      <c r="N848" t="n">
        <v>0</v>
      </c>
      <c r="O848" t="n">
        <v>0</v>
      </c>
      <c r="P848" t="n">
        <v>0</v>
      </c>
      <c r="Q848" t="n">
        <v>0</v>
      </c>
      <c r="R848" s="2" t="inlineStr"/>
    </row>
    <row r="849" ht="15" customHeight="1">
      <c r="A849" t="inlineStr">
        <is>
          <t>A 53638-2022</t>
        </is>
      </c>
      <c r="B849" s="1" t="n">
        <v>44879</v>
      </c>
      <c r="C849" s="1" t="n">
        <v>46181</v>
      </c>
      <c r="D849" t="inlineStr">
        <is>
          <t>VÄSTERBOTTENS LÄN</t>
        </is>
      </c>
      <c r="E849" t="inlineStr">
        <is>
          <t>ÅSELE</t>
        </is>
      </c>
      <c r="G849" t="n">
        <v>4.7</v>
      </c>
      <c r="H849" t="n">
        <v>0</v>
      </c>
      <c r="I849" t="n">
        <v>0</v>
      </c>
      <c r="J849" t="n">
        <v>0</v>
      </c>
      <c r="K849" t="n">
        <v>0</v>
      </c>
      <c r="L849" t="n">
        <v>0</v>
      </c>
      <c r="M849" t="n">
        <v>0</v>
      </c>
      <c r="N849" t="n">
        <v>0</v>
      </c>
      <c r="O849" t="n">
        <v>0</v>
      </c>
      <c r="P849" t="n">
        <v>0</v>
      </c>
      <c r="Q849" t="n">
        <v>0</v>
      </c>
      <c r="R849" s="2" t="inlineStr"/>
    </row>
    <row r="850" ht="15" customHeight="1">
      <c r="A850" t="inlineStr">
        <is>
          <t>A 29738-2024</t>
        </is>
      </c>
      <c r="B850" s="1" t="n">
        <v>45485.39127314815</v>
      </c>
      <c r="C850" s="1" t="n">
        <v>46181</v>
      </c>
      <c r="D850" t="inlineStr">
        <is>
          <t>VÄSTERBOTTENS LÄN</t>
        </is>
      </c>
      <c r="E850" t="inlineStr">
        <is>
          <t>ÅSELE</t>
        </is>
      </c>
      <c r="G850" t="n">
        <v>0.2</v>
      </c>
      <c r="H850" t="n">
        <v>0</v>
      </c>
      <c r="I850" t="n">
        <v>0</v>
      </c>
      <c r="J850" t="n">
        <v>0</v>
      </c>
      <c r="K850" t="n">
        <v>0</v>
      </c>
      <c r="L850" t="n">
        <v>0</v>
      </c>
      <c r="M850" t="n">
        <v>0</v>
      </c>
      <c r="N850" t="n">
        <v>0</v>
      </c>
      <c r="O850" t="n">
        <v>0</v>
      </c>
      <c r="P850" t="n">
        <v>0</v>
      </c>
      <c r="Q850" t="n">
        <v>0</v>
      </c>
      <c r="R850" s="2" t="inlineStr"/>
    </row>
    <row r="851" ht="15" customHeight="1">
      <c r="A851" t="inlineStr">
        <is>
          <t>A 61542-2024</t>
        </is>
      </c>
      <c r="B851" s="1" t="n">
        <v>45645</v>
      </c>
      <c r="C851" s="1" t="n">
        <v>46181</v>
      </c>
      <c r="D851" t="inlineStr">
        <is>
          <t>VÄSTERBOTTENS LÄN</t>
        </is>
      </c>
      <c r="E851" t="inlineStr">
        <is>
          <t>ÅSELE</t>
        </is>
      </c>
      <c r="G851" t="n">
        <v>1.2</v>
      </c>
      <c r="H851" t="n">
        <v>0</v>
      </c>
      <c r="I851" t="n">
        <v>0</v>
      </c>
      <c r="J851" t="n">
        <v>0</v>
      </c>
      <c r="K851" t="n">
        <v>0</v>
      </c>
      <c r="L851" t="n">
        <v>0</v>
      </c>
      <c r="M851" t="n">
        <v>0</v>
      </c>
      <c r="N851" t="n">
        <v>0</v>
      </c>
      <c r="O851" t="n">
        <v>0</v>
      </c>
      <c r="P851" t="n">
        <v>0</v>
      </c>
      <c r="Q851" t="n">
        <v>0</v>
      </c>
      <c r="R851" s="2" t="inlineStr"/>
    </row>
    <row r="852" ht="15" customHeight="1">
      <c r="A852" t="inlineStr">
        <is>
          <t>A 5726-2024</t>
        </is>
      </c>
      <c r="B852" s="1" t="n">
        <v>45334.9250925926</v>
      </c>
      <c r="C852" s="1" t="n">
        <v>46181</v>
      </c>
      <c r="D852" t="inlineStr">
        <is>
          <t>VÄSTERBOTTENS LÄN</t>
        </is>
      </c>
      <c r="E852" t="inlineStr">
        <is>
          <t>ÅSELE</t>
        </is>
      </c>
      <c r="G852" t="n">
        <v>2.9</v>
      </c>
      <c r="H852" t="n">
        <v>0</v>
      </c>
      <c r="I852" t="n">
        <v>0</v>
      </c>
      <c r="J852" t="n">
        <v>0</v>
      </c>
      <c r="K852" t="n">
        <v>0</v>
      </c>
      <c r="L852" t="n">
        <v>0</v>
      </c>
      <c r="M852" t="n">
        <v>0</v>
      </c>
      <c r="N852" t="n">
        <v>0</v>
      </c>
      <c r="O852" t="n">
        <v>0</v>
      </c>
      <c r="P852" t="n">
        <v>0</v>
      </c>
      <c r="Q852" t="n">
        <v>0</v>
      </c>
      <c r="R852" s="2" t="inlineStr"/>
    </row>
    <row r="853" ht="15" customHeight="1">
      <c r="A853" t="inlineStr">
        <is>
          <t>A 3088-2024</t>
        </is>
      </c>
      <c r="B853" s="1" t="n">
        <v>45316</v>
      </c>
      <c r="C853" s="1" t="n">
        <v>46181</v>
      </c>
      <c r="D853" t="inlineStr">
        <is>
          <t>VÄSTERBOTTENS LÄN</t>
        </is>
      </c>
      <c r="E853" t="inlineStr">
        <is>
          <t>ÅSELE</t>
        </is>
      </c>
      <c r="G853" t="n">
        <v>2.2</v>
      </c>
      <c r="H853" t="n">
        <v>0</v>
      </c>
      <c r="I853" t="n">
        <v>0</v>
      </c>
      <c r="J853" t="n">
        <v>0</v>
      </c>
      <c r="K853" t="n">
        <v>0</v>
      </c>
      <c r="L853" t="n">
        <v>0</v>
      </c>
      <c r="M853" t="n">
        <v>0</v>
      </c>
      <c r="N853" t="n">
        <v>0</v>
      </c>
      <c r="O853" t="n">
        <v>0</v>
      </c>
      <c r="P853" t="n">
        <v>0</v>
      </c>
      <c r="Q853" t="n">
        <v>0</v>
      </c>
      <c r="R853" s="2" t="inlineStr"/>
    </row>
    <row r="854" ht="15" customHeight="1">
      <c r="A854" t="inlineStr">
        <is>
          <t>A 3111-2024</t>
        </is>
      </c>
      <c r="B854" s="1" t="n">
        <v>45316</v>
      </c>
      <c r="C854" s="1" t="n">
        <v>46181</v>
      </c>
      <c r="D854" t="inlineStr">
        <is>
          <t>VÄSTERBOTTENS LÄN</t>
        </is>
      </c>
      <c r="E854" t="inlineStr">
        <is>
          <t>ÅSELE</t>
        </is>
      </c>
      <c r="G854" t="n">
        <v>1.6</v>
      </c>
      <c r="H854" t="n">
        <v>0</v>
      </c>
      <c r="I854" t="n">
        <v>0</v>
      </c>
      <c r="J854" t="n">
        <v>0</v>
      </c>
      <c r="K854" t="n">
        <v>0</v>
      </c>
      <c r="L854" t="n">
        <v>0</v>
      </c>
      <c r="M854" t="n">
        <v>0</v>
      </c>
      <c r="N854" t="n">
        <v>0</v>
      </c>
      <c r="O854" t="n">
        <v>0</v>
      </c>
      <c r="P854" t="n">
        <v>0</v>
      </c>
      <c r="Q854" t="n">
        <v>0</v>
      </c>
      <c r="R854" s="2" t="inlineStr"/>
    </row>
    <row r="855" ht="15" customHeight="1">
      <c r="A855" t="inlineStr">
        <is>
          <t>A 44622-2024</t>
        </is>
      </c>
      <c r="B855" s="1" t="n">
        <v>45574.51344907407</v>
      </c>
      <c r="C855" s="1" t="n">
        <v>46181</v>
      </c>
      <c r="D855" t="inlineStr">
        <is>
          <t>VÄSTERBOTTENS LÄN</t>
        </is>
      </c>
      <c r="E855" t="inlineStr">
        <is>
          <t>ÅSELE</t>
        </is>
      </c>
      <c r="F855" t="inlineStr">
        <is>
          <t>SCA</t>
        </is>
      </c>
      <c r="G855" t="n">
        <v>14.9</v>
      </c>
      <c r="H855" t="n">
        <v>0</v>
      </c>
      <c r="I855" t="n">
        <v>0</v>
      </c>
      <c r="J855" t="n">
        <v>0</v>
      </c>
      <c r="K855" t="n">
        <v>0</v>
      </c>
      <c r="L855" t="n">
        <v>0</v>
      </c>
      <c r="M855" t="n">
        <v>0</v>
      </c>
      <c r="N855" t="n">
        <v>0</v>
      </c>
      <c r="O855" t="n">
        <v>0</v>
      </c>
      <c r="P855" t="n">
        <v>0</v>
      </c>
      <c r="Q855" t="n">
        <v>0</v>
      </c>
      <c r="R855" s="2" t="inlineStr"/>
    </row>
    <row r="856" ht="15" customHeight="1">
      <c r="A856" t="inlineStr">
        <is>
          <t>A 34779-2024</t>
        </is>
      </c>
      <c r="B856" s="1" t="n">
        <v>45526.63690972222</v>
      </c>
      <c r="C856" s="1" t="n">
        <v>46181</v>
      </c>
      <c r="D856" t="inlineStr">
        <is>
          <t>VÄSTERBOTTENS LÄN</t>
        </is>
      </c>
      <c r="E856" t="inlineStr">
        <is>
          <t>ÅSELE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28943-2024</t>
        </is>
      </c>
      <c r="B857" s="1" t="n">
        <v>45481</v>
      </c>
      <c r="C857" s="1" t="n">
        <v>46181</v>
      </c>
      <c r="D857" t="inlineStr">
        <is>
          <t>VÄSTERBOTTENS LÄN</t>
        </is>
      </c>
      <c r="E857" t="inlineStr">
        <is>
          <t>ÅSELE</t>
        </is>
      </c>
      <c r="F857" t="inlineStr">
        <is>
          <t>Sveaskog</t>
        </is>
      </c>
      <c r="G857" t="n">
        <v>24.2</v>
      </c>
      <c r="H857" t="n">
        <v>0</v>
      </c>
      <c r="I857" t="n">
        <v>0</v>
      </c>
      <c r="J857" t="n">
        <v>0</v>
      </c>
      <c r="K857" t="n">
        <v>0</v>
      </c>
      <c r="L857" t="n">
        <v>0</v>
      </c>
      <c r="M857" t="n">
        <v>0</v>
      </c>
      <c r="N857" t="n">
        <v>0</v>
      </c>
      <c r="O857" t="n">
        <v>0</v>
      </c>
      <c r="P857" t="n">
        <v>0</v>
      </c>
      <c r="Q857" t="n">
        <v>0</v>
      </c>
      <c r="R857" s="2" t="inlineStr"/>
    </row>
    <row r="858" ht="15" customHeight="1">
      <c r="A858" t="inlineStr">
        <is>
          <t>A 23179-2024</t>
        </is>
      </c>
      <c r="B858" s="1" t="n">
        <v>45450</v>
      </c>
      <c r="C858" s="1" t="n">
        <v>46181</v>
      </c>
      <c r="D858" t="inlineStr">
        <is>
          <t>VÄSTERBOTTENS LÄN</t>
        </is>
      </c>
      <c r="E858" t="inlineStr">
        <is>
          <t>ÅSELE</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4915-2024</t>
        </is>
      </c>
      <c r="B859" s="1" t="n">
        <v>45329</v>
      </c>
      <c r="C859" s="1" t="n">
        <v>46181</v>
      </c>
      <c r="D859" t="inlineStr">
        <is>
          <t>VÄSTERBOTTENS LÄN</t>
        </is>
      </c>
      <c r="E859" t="inlineStr">
        <is>
          <t>ÅSELE</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23323-2026</t>
        </is>
      </c>
      <c r="B860" s="1" t="n">
        <v>46162.53181712963</v>
      </c>
      <c r="C860" s="1" t="n">
        <v>46181</v>
      </c>
      <c r="D860" t="inlineStr">
        <is>
          <t>VÄSTERBOTTENS LÄN</t>
        </is>
      </c>
      <c r="E860" t="inlineStr">
        <is>
          <t>ÅSELE</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33204-2021</t>
        </is>
      </c>
      <c r="B861" s="1" t="n">
        <v>44376.93355324074</v>
      </c>
      <c r="C861" s="1" t="n">
        <v>46181</v>
      </c>
      <c r="D861" t="inlineStr">
        <is>
          <t>VÄSTERBOTTENS LÄN</t>
        </is>
      </c>
      <c r="E861" t="inlineStr">
        <is>
          <t>ÅSELE</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38405-2024</t>
        </is>
      </c>
      <c r="B862" s="1" t="n">
        <v>45546.34490740741</v>
      </c>
      <c r="C862" s="1" t="n">
        <v>46181</v>
      </c>
      <c r="D862" t="inlineStr">
        <is>
          <t>VÄSTERBOTTENS LÄN</t>
        </is>
      </c>
      <c r="E862" t="inlineStr">
        <is>
          <t>ÅSELE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37483-2021</t>
        </is>
      </c>
      <c r="B863" s="1" t="n">
        <v>44398.93342592593</v>
      </c>
      <c r="C863" s="1" t="n">
        <v>46181</v>
      </c>
      <c r="D863" t="inlineStr">
        <is>
          <t>VÄSTERBOTTENS LÄN</t>
        </is>
      </c>
      <c r="E863" t="inlineStr">
        <is>
          <t>ÅSELE</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62748-2022</t>
        </is>
      </c>
      <c r="B864" s="1" t="n">
        <v>44925.93875</v>
      </c>
      <c r="C864" s="1" t="n">
        <v>46181</v>
      </c>
      <c r="D864" t="inlineStr">
        <is>
          <t>VÄSTERBOTTENS LÄN</t>
        </is>
      </c>
      <c r="E864" t="inlineStr">
        <is>
          <t>ÅSELE</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4086-2023</t>
        </is>
      </c>
      <c r="B865" s="1" t="n">
        <v>44952</v>
      </c>
      <c r="C865" s="1" t="n">
        <v>46181</v>
      </c>
      <c r="D865" t="inlineStr">
        <is>
          <t>VÄSTERBOTTENS LÄN</t>
        </is>
      </c>
      <c r="E865" t="inlineStr">
        <is>
          <t>ÅSELE</t>
        </is>
      </c>
      <c r="G865" t="n">
        <v>5.3</v>
      </c>
      <c r="H865" t="n">
        <v>0</v>
      </c>
      <c r="I865" t="n">
        <v>0</v>
      </c>
      <c r="J865" t="n">
        <v>0</v>
      </c>
      <c r="K865" t="n">
        <v>0</v>
      </c>
      <c r="L865" t="n">
        <v>0</v>
      </c>
      <c r="M865" t="n">
        <v>0</v>
      </c>
      <c r="N865" t="n">
        <v>0</v>
      </c>
      <c r="O865" t="n">
        <v>0</v>
      </c>
      <c r="P865" t="n">
        <v>0</v>
      </c>
      <c r="Q865" t="n">
        <v>0</v>
      </c>
      <c r="R865" s="2" t="inlineStr"/>
    </row>
    <row r="866" ht="15" customHeight="1">
      <c r="A866" t="inlineStr">
        <is>
          <t>A 13552-2024</t>
        </is>
      </c>
      <c r="B866" s="1" t="n">
        <v>45387.95409722222</v>
      </c>
      <c r="C866" s="1" t="n">
        <v>46181</v>
      </c>
      <c r="D866" t="inlineStr">
        <is>
          <t>VÄSTERBOTTENS LÄN</t>
        </is>
      </c>
      <c r="E866" t="inlineStr">
        <is>
          <t>ÅSELE</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13553-2024</t>
        </is>
      </c>
      <c r="B867" s="1" t="n">
        <v>45387.95421296296</v>
      </c>
      <c r="C867" s="1" t="n">
        <v>46181</v>
      </c>
      <c r="D867" t="inlineStr">
        <is>
          <t>VÄSTERBOTTENS LÄN</t>
        </is>
      </c>
      <c r="E867" t="inlineStr">
        <is>
          <t>ÅSELE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13403-2025</t>
        </is>
      </c>
      <c r="B868" s="1" t="n">
        <v>45735</v>
      </c>
      <c r="C868" s="1" t="n">
        <v>46181</v>
      </c>
      <c r="D868" t="inlineStr">
        <is>
          <t>VÄSTERBOTTENS LÄN</t>
        </is>
      </c>
      <c r="E868" t="inlineStr">
        <is>
          <t>ÅSELE</t>
        </is>
      </c>
      <c r="G868" t="n">
        <v>1.6</v>
      </c>
      <c r="H868" t="n">
        <v>0</v>
      </c>
      <c r="I868" t="n">
        <v>0</v>
      </c>
      <c r="J868" t="n">
        <v>0</v>
      </c>
      <c r="K868" t="n">
        <v>0</v>
      </c>
      <c r="L868" t="n">
        <v>0</v>
      </c>
      <c r="M868" t="n">
        <v>0</v>
      </c>
      <c r="N868" t="n">
        <v>0</v>
      </c>
      <c r="O868" t="n">
        <v>0</v>
      </c>
      <c r="P868" t="n">
        <v>0</v>
      </c>
      <c r="Q868" t="n">
        <v>0</v>
      </c>
      <c r="R868" s="2" t="inlineStr"/>
    </row>
    <row r="869" ht="15" customHeight="1">
      <c r="A869" t="inlineStr">
        <is>
          <t>A 1228-2023</t>
        </is>
      </c>
      <c r="B869" s="1" t="n">
        <v>44935.97217592593</v>
      </c>
      <c r="C869" s="1" t="n">
        <v>46181</v>
      </c>
      <c r="D869" t="inlineStr">
        <is>
          <t>VÄSTERBOTTENS LÄN</t>
        </is>
      </c>
      <c r="E869" t="inlineStr">
        <is>
          <t>ÅSELE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23623-2026</t>
        </is>
      </c>
      <c r="B870" s="1" t="n">
        <v>46162</v>
      </c>
      <c r="C870" s="1" t="n">
        <v>46181</v>
      </c>
      <c r="D870" t="inlineStr">
        <is>
          <t>VÄSTERBOTTENS LÄN</t>
        </is>
      </c>
      <c r="E870" t="inlineStr">
        <is>
          <t>ÅSELE</t>
        </is>
      </c>
      <c r="G870" t="n">
        <v>3.2</v>
      </c>
      <c r="H870" t="n">
        <v>0</v>
      </c>
      <c r="I870" t="n">
        <v>0</v>
      </c>
      <c r="J870" t="n">
        <v>0</v>
      </c>
      <c r="K870" t="n">
        <v>0</v>
      </c>
      <c r="L870" t="n">
        <v>0</v>
      </c>
      <c r="M870" t="n">
        <v>0</v>
      </c>
      <c r="N870" t="n">
        <v>0</v>
      </c>
      <c r="O870" t="n">
        <v>0</v>
      </c>
      <c r="P870" t="n">
        <v>0</v>
      </c>
      <c r="Q870" t="n">
        <v>0</v>
      </c>
      <c r="R870" s="2" t="inlineStr"/>
    </row>
    <row r="871" ht="15" customHeight="1">
      <c r="A871" t="inlineStr">
        <is>
          <t>A 42897-2024</t>
        </is>
      </c>
      <c r="B871" s="1" t="n">
        <v>45566.85192129629</v>
      </c>
      <c r="C871" s="1" t="n">
        <v>46181</v>
      </c>
      <c r="D871" t="inlineStr">
        <is>
          <t>VÄSTERBOTTENS LÄN</t>
        </is>
      </c>
      <c r="E871" t="inlineStr">
        <is>
          <t>ÅSELE</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45297-2024</t>
        </is>
      </c>
      <c r="B872" s="1" t="n">
        <v>45576.40248842593</v>
      </c>
      <c r="C872" s="1" t="n">
        <v>46181</v>
      </c>
      <c r="D872" t="inlineStr">
        <is>
          <t>VÄSTERBOTTENS LÄN</t>
        </is>
      </c>
      <c r="E872" t="inlineStr">
        <is>
          <t>ÅSELE</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41815-2024</t>
        </is>
      </c>
      <c r="B873" s="1" t="n">
        <v>45561</v>
      </c>
      <c r="C873" s="1" t="n">
        <v>46181</v>
      </c>
      <c r="D873" t="inlineStr">
        <is>
          <t>VÄSTERBOTTENS LÄN</t>
        </is>
      </c>
      <c r="E873" t="inlineStr">
        <is>
          <t>ÅSELE</t>
        </is>
      </c>
      <c r="G873" t="n">
        <v>3.4</v>
      </c>
      <c r="H873" t="n">
        <v>0</v>
      </c>
      <c r="I873" t="n">
        <v>0</v>
      </c>
      <c r="J873" t="n">
        <v>0</v>
      </c>
      <c r="K873" t="n">
        <v>0</v>
      </c>
      <c r="L873" t="n">
        <v>0</v>
      </c>
      <c r="M873" t="n">
        <v>0</v>
      </c>
      <c r="N873" t="n">
        <v>0</v>
      </c>
      <c r="O873" t="n">
        <v>0</v>
      </c>
      <c r="P873" t="n">
        <v>0</v>
      </c>
      <c r="Q873" t="n">
        <v>0</v>
      </c>
      <c r="R873" s="2" t="inlineStr"/>
    </row>
    <row r="874" ht="15" customHeight="1">
      <c r="A874" t="inlineStr">
        <is>
          <t>A 62109-2023</t>
        </is>
      </c>
      <c r="B874" s="1" t="n">
        <v>45266.95105324074</v>
      </c>
      <c r="C874" s="1" t="n">
        <v>46181</v>
      </c>
      <c r="D874" t="inlineStr">
        <is>
          <t>VÄSTERBOTTENS LÄN</t>
        </is>
      </c>
      <c r="E874" t="inlineStr">
        <is>
          <t>ÅSELE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23742-2026</t>
        </is>
      </c>
      <c r="B875" s="1" t="n">
        <v>46164.5046875</v>
      </c>
      <c r="C875" s="1" t="n">
        <v>46181</v>
      </c>
      <c r="D875" t="inlineStr">
        <is>
          <t>VÄSTERBOTTENS LÄN</t>
        </is>
      </c>
      <c r="E875" t="inlineStr">
        <is>
          <t>ÅSELE</t>
        </is>
      </c>
      <c r="G875" t="n">
        <v>9</v>
      </c>
      <c r="H875" t="n">
        <v>0</v>
      </c>
      <c r="I875" t="n">
        <v>0</v>
      </c>
      <c r="J875" t="n">
        <v>0</v>
      </c>
      <c r="K875" t="n">
        <v>0</v>
      </c>
      <c r="L875" t="n">
        <v>0</v>
      </c>
      <c r="M875" t="n">
        <v>0</v>
      </c>
      <c r="N875" t="n">
        <v>0</v>
      </c>
      <c r="O875" t="n">
        <v>0</v>
      </c>
      <c r="P875" t="n">
        <v>0</v>
      </c>
      <c r="Q875" t="n">
        <v>0</v>
      </c>
      <c r="R875" s="2" t="inlineStr"/>
    </row>
    <row r="876" ht="15" customHeight="1">
      <c r="A876" t="inlineStr">
        <is>
          <t>A 11320-2023</t>
        </is>
      </c>
      <c r="B876" s="1" t="n">
        <v>44993.01296296297</v>
      </c>
      <c r="C876" s="1" t="n">
        <v>46181</v>
      </c>
      <c r="D876" t="inlineStr">
        <is>
          <t>VÄSTERBOTTENS LÄN</t>
        </is>
      </c>
      <c r="E876" t="inlineStr">
        <is>
          <t>ÅSELE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48082-2021</t>
        </is>
      </c>
      <c r="B877" s="1" t="n">
        <v>44449.42745370371</v>
      </c>
      <c r="C877" s="1" t="n">
        <v>46181</v>
      </c>
      <c r="D877" t="inlineStr">
        <is>
          <t>VÄSTERBOTTENS LÄN</t>
        </is>
      </c>
      <c r="E877" t="inlineStr">
        <is>
          <t>ÅSELE</t>
        </is>
      </c>
      <c r="F877" t="inlineStr">
        <is>
          <t>Holmen skog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22831-2023</t>
        </is>
      </c>
      <c r="B878" s="1" t="n">
        <v>45072.42990740741</v>
      </c>
      <c r="C878" s="1" t="n">
        <v>46181</v>
      </c>
      <c r="D878" t="inlineStr">
        <is>
          <t>VÄSTERBOTTENS LÄN</t>
        </is>
      </c>
      <c r="E878" t="inlineStr">
        <is>
          <t>ÅSELE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31118-2024</t>
        </is>
      </c>
      <c r="B879" s="1" t="n">
        <v>45502</v>
      </c>
      <c r="C879" s="1" t="n">
        <v>46181</v>
      </c>
      <c r="D879" t="inlineStr">
        <is>
          <t>VÄSTERBOTTENS LÄN</t>
        </is>
      </c>
      <c r="E879" t="inlineStr">
        <is>
          <t>ÅSELE</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24067-2023</t>
        </is>
      </c>
      <c r="B880" s="1" t="n">
        <v>45078.94167824074</v>
      </c>
      <c r="C880" s="1" t="n">
        <v>46181</v>
      </c>
      <c r="D880" t="inlineStr">
        <is>
          <t>VÄSTERBOTTENS LÄN</t>
        </is>
      </c>
      <c r="E880" t="inlineStr">
        <is>
          <t>ÅSELE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24413-2026</t>
        </is>
      </c>
      <c r="B881" s="1" t="n">
        <v>46169.69834490741</v>
      </c>
      <c r="C881" s="1" t="n">
        <v>46181</v>
      </c>
      <c r="D881" t="inlineStr">
        <is>
          <t>VÄSTERBOTTENS LÄN</t>
        </is>
      </c>
      <c r="E881" t="inlineStr">
        <is>
          <t>ÅSELE</t>
        </is>
      </c>
      <c r="F881" t="inlineStr">
        <is>
          <t>SCA</t>
        </is>
      </c>
      <c r="G881" t="n">
        <v>5.9</v>
      </c>
      <c r="H881" t="n">
        <v>0</v>
      </c>
      <c r="I881" t="n">
        <v>0</v>
      </c>
      <c r="J881" t="n">
        <v>0</v>
      </c>
      <c r="K881" t="n">
        <v>0</v>
      </c>
      <c r="L881" t="n">
        <v>0</v>
      </c>
      <c r="M881" t="n">
        <v>0</v>
      </c>
      <c r="N881" t="n">
        <v>0</v>
      </c>
      <c r="O881" t="n">
        <v>0</v>
      </c>
      <c r="P881" t="n">
        <v>0</v>
      </c>
      <c r="Q881" t="n">
        <v>0</v>
      </c>
      <c r="R881" s="2" t="inlineStr"/>
    </row>
    <row r="882" ht="15" customHeight="1">
      <c r="A882" t="inlineStr">
        <is>
          <t>A 16526-2026</t>
        </is>
      </c>
      <c r="B882" s="1" t="n">
        <v>46112</v>
      </c>
      <c r="C882" s="1" t="n">
        <v>46181</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ht="15" customHeight="1">
      <c r="A883" t="inlineStr">
        <is>
          <t>A 24119-2026</t>
        </is>
      </c>
      <c r="B883" s="1" t="n">
        <v>46168.43934027778</v>
      </c>
      <c r="C883" s="1" t="n">
        <v>46181</v>
      </c>
      <c r="D883" t="inlineStr">
        <is>
          <t>VÄSTERBOTTENS LÄN</t>
        </is>
      </c>
      <c r="E883" t="inlineStr">
        <is>
          <t>ÅSELE</t>
        </is>
      </c>
      <c r="F883" t="inlineStr">
        <is>
          <t>Holmen skog AB</t>
        </is>
      </c>
      <c r="G883" t="n">
        <v>6.9</v>
      </c>
      <c r="H883" t="n">
        <v>0</v>
      </c>
      <c r="I883" t="n">
        <v>0</v>
      </c>
      <c r="J883" t="n">
        <v>0</v>
      </c>
      <c r="K883" t="n">
        <v>0</v>
      </c>
      <c r="L883" t="n">
        <v>0</v>
      </c>
      <c r="M883" t="n">
        <v>0</v>
      </c>
      <c r="N883" t="n">
        <v>0</v>
      </c>
      <c r="O883" t="n">
        <v>0</v>
      </c>
      <c r="P883" t="n">
        <v>0</v>
      </c>
      <c r="Q883" t="n">
        <v>0</v>
      </c>
      <c r="R883" s="2" t="inlineStr"/>
    </row>
    <row r="884" ht="15" customHeight="1">
      <c r="A884" t="inlineStr">
        <is>
          <t>A 24213-2026</t>
        </is>
      </c>
      <c r="B884" s="1" t="n">
        <v>46168.63519675926</v>
      </c>
      <c r="C884" s="1" t="n">
        <v>46181</v>
      </c>
      <c r="D884" t="inlineStr">
        <is>
          <t>VÄSTERBOTTENS LÄN</t>
        </is>
      </c>
      <c r="E884" t="inlineStr">
        <is>
          <t>ÅSELE</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20955-2026</t>
        </is>
      </c>
      <c r="B885" s="1" t="n">
        <v>46142.53533564815</v>
      </c>
      <c r="C885" s="1" t="n">
        <v>46181</v>
      </c>
      <c r="D885" t="inlineStr">
        <is>
          <t>VÄSTERBOTTENS LÄN</t>
        </is>
      </c>
      <c r="E885" t="inlineStr">
        <is>
          <t>ÅSELE</t>
        </is>
      </c>
      <c r="F885" t="inlineStr">
        <is>
          <t>Sveaskog</t>
        </is>
      </c>
      <c r="G885" t="n">
        <v>63</v>
      </c>
      <c r="H885" t="n">
        <v>0</v>
      </c>
      <c r="I885" t="n">
        <v>0</v>
      </c>
      <c r="J885" t="n">
        <v>0</v>
      </c>
      <c r="K885" t="n">
        <v>0</v>
      </c>
      <c r="L885" t="n">
        <v>0</v>
      </c>
      <c r="M885" t="n">
        <v>0</v>
      </c>
      <c r="N885" t="n">
        <v>0</v>
      </c>
      <c r="O885" t="n">
        <v>0</v>
      </c>
      <c r="P885" t="n">
        <v>0</v>
      </c>
      <c r="Q885" t="n">
        <v>0</v>
      </c>
      <c r="R885" s="2" t="inlineStr"/>
    </row>
    <row r="886" ht="15" customHeight="1">
      <c r="A886" t="inlineStr">
        <is>
          <t>A 16536-2026</t>
        </is>
      </c>
      <c r="B886" s="1" t="n">
        <v>46112</v>
      </c>
      <c r="C886" s="1" t="n">
        <v>46181</v>
      </c>
      <c r="D886" t="inlineStr">
        <is>
          <t>VÄSTERBOTTENS LÄN</t>
        </is>
      </c>
      <c r="E886" t="inlineStr">
        <is>
          <t>ÅSELE</t>
        </is>
      </c>
      <c r="G886" t="n">
        <v>3.6</v>
      </c>
      <c r="H886" t="n">
        <v>0</v>
      </c>
      <c r="I886" t="n">
        <v>0</v>
      </c>
      <c r="J886" t="n">
        <v>0</v>
      </c>
      <c r="K886" t="n">
        <v>0</v>
      </c>
      <c r="L886" t="n">
        <v>0</v>
      </c>
      <c r="M886" t="n">
        <v>0</v>
      </c>
      <c r="N886" t="n">
        <v>0</v>
      </c>
      <c r="O886" t="n">
        <v>0</v>
      </c>
      <c r="P886" t="n">
        <v>0</v>
      </c>
      <c r="Q886" t="n">
        <v>0</v>
      </c>
      <c r="R886" s="2" t="inlineStr"/>
    </row>
    <row r="887" ht="15" customHeight="1">
      <c r="A887" t="inlineStr">
        <is>
          <t>A 44677-2023</t>
        </is>
      </c>
      <c r="B887" s="1" t="n">
        <v>45189</v>
      </c>
      <c r="C887" s="1" t="n">
        <v>46181</v>
      </c>
      <c r="D887" t="inlineStr">
        <is>
          <t>VÄSTERBOTTENS LÄN</t>
        </is>
      </c>
      <c r="E887" t="inlineStr">
        <is>
          <t>ÅSELE</t>
        </is>
      </c>
      <c r="G887" t="n">
        <v>7.9</v>
      </c>
      <c r="H887" t="n">
        <v>0</v>
      </c>
      <c r="I887" t="n">
        <v>0</v>
      </c>
      <c r="J887" t="n">
        <v>0</v>
      </c>
      <c r="K887" t="n">
        <v>0</v>
      </c>
      <c r="L887" t="n">
        <v>0</v>
      </c>
      <c r="M887" t="n">
        <v>0</v>
      </c>
      <c r="N887" t="n">
        <v>0</v>
      </c>
      <c r="O887" t="n">
        <v>0</v>
      </c>
      <c r="P887" t="n">
        <v>0</v>
      </c>
      <c r="Q887" t="n">
        <v>0</v>
      </c>
      <c r="R887" s="2" t="inlineStr"/>
    </row>
    <row r="888" ht="15" customHeight="1">
      <c r="A888" t="inlineStr">
        <is>
          <t>A 18730-2026</t>
        </is>
      </c>
      <c r="B888" s="1" t="n">
        <v>46128.49055555555</v>
      </c>
      <c r="C888" s="1" t="n">
        <v>46181</v>
      </c>
      <c r="D888" t="inlineStr">
        <is>
          <t>VÄSTERBOTTENS LÄN</t>
        </is>
      </c>
      <c r="E888" t="inlineStr">
        <is>
          <t>ÅSELE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18957-2026</t>
        </is>
      </c>
      <c r="B889" s="1" t="n">
        <v>46129</v>
      </c>
      <c r="C889" s="1" t="n">
        <v>46181</v>
      </c>
      <c r="D889" t="inlineStr">
        <is>
          <t>VÄSTERBOTTENS LÄN</t>
        </is>
      </c>
      <c r="E889" t="inlineStr">
        <is>
          <t>ÅSELE</t>
        </is>
      </c>
      <c r="F889" t="inlineStr">
        <is>
          <t>SCA</t>
        </is>
      </c>
      <c r="G889" t="n">
        <v>24.3</v>
      </c>
      <c r="H889" t="n">
        <v>0</v>
      </c>
      <c r="I889" t="n">
        <v>0</v>
      </c>
      <c r="J889" t="n">
        <v>0</v>
      </c>
      <c r="K889" t="n">
        <v>0</v>
      </c>
      <c r="L889" t="n">
        <v>0</v>
      </c>
      <c r="M889" t="n">
        <v>0</v>
      </c>
      <c r="N889" t="n">
        <v>0</v>
      </c>
      <c r="O889" t="n">
        <v>0</v>
      </c>
      <c r="P889" t="n">
        <v>0</v>
      </c>
      <c r="Q889" t="n">
        <v>0</v>
      </c>
      <c r="R889" s="2" t="inlineStr"/>
    </row>
    <row r="890" ht="15" customHeight="1">
      <c r="A890" t="inlineStr">
        <is>
          <t>A 18683-2026</t>
        </is>
      </c>
      <c r="B890" s="1" t="n">
        <v>46128.38637731481</v>
      </c>
      <c r="C890" s="1" t="n">
        <v>46181</v>
      </c>
      <c r="D890" t="inlineStr">
        <is>
          <t>VÄSTERBOTTENS LÄN</t>
        </is>
      </c>
      <c r="E890" t="inlineStr">
        <is>
          <t>ÅSELE</t>
        </is>
      </c>
      <c r="G890" t="n">
        <v>19.7</v>
      </c>
      <c r="H890" t="n">
        <v>0</v>
      </c>
      <c r="I890" t="n">
        <v>0</v>
      </c>
      <c r="J890" t="n">
        <v>0</v>
      </c>
      <c r="K890" t="n">
        <v>0</v>
      </c>
      <c r="L890" t="n">
        <v>0</v>
      </c>
      <c r="M890" t="n">
        <v>0</v>
      </c>
      <c r="N890" t="n">
        <v>0</v>
      </c>
      <c r="O890" t="n">
        <v>0</v>
      </c>
      <c r="P890" t="n">
        <v>0</v>
      </c>
      <c r="Q890" t="n">
        <v>0</v>
      </c>
      <c r="R890" s="2" t="inlineStr"/>
    </row>
    <row r="891" ht="15" customHeight="1">
      <c r="A891" t="inlineStr">
        <is>
          <t>A 20305-2025</t>
        </is>
      </c>
      <c r="B891" s="1" t="n">
        <v>45774.81648148148</v>
      </c>
      <c r="C891" s="1" t="n">
        <v>46181</v>
      </c>
      <c r="D891" t="inlineStr">
        <is>
          <t>VÄSTERBOTTENS LÄN</t>
        </is>
      </c>
      <c r="E891" t="inlineStr">
        <is>
          <t>ÅSELE</t>
        </is>
      </c>
      <c r="G891" t="n">
        <v>5.4</v>
      </c>
      <c r="H891" t="n">
        <v>0</v>
      </c>
      <c r="I891" t="n">
        <v>0</v>
      </c>
      <c r="J891" t="n">
        <v>0</v>
      </c>
      <c r="K891" t="n">
        <v>0</v>
      </c>
      <c r="L891" t="n">
        <v>0</v>
      </c>
      <c r="M891" t="n">
        <v>0</v>
      </c>
      <c r="N891" t="n">
        <v>0</v>
      </c>
      <c r="O891" t="n">
        <v>0</v>
      </c>
      <c r="P891" t="n">
        <v>0</v>
      </c>
      <c r="Q891" t="n">
        <v>0</v>
      </c>
      <c r="R891" s="2" t="inlineStr"/>
    </row>
    <row r="892" ht="15" customHeight="1">
      <c r="A892" t="inlineStr">
        <is>
          <t>A 44209-2024</t>
        </is>
      </c>
      <c r="B892" s="1" t="n">
        <v>45573</v>
      </c>
      <c r="C892" s="1" t="n">
        <v>46181</v>
      </c>
      <c r="D892" t="inlineStr">
        <is>
          <t>VÄSTERBOTTENS LÄN</t>
        </is>
      </c>
      <c r="E892" t="inlineStr">
        <is>
          <t>ÅSELE</t>
        </is>
      </c>
      <c r="F892" t="inlineStr">
        <is>
          <t>Sveaskog</t>
        </is>
      </c>
      <c r="G892" t="n">
        <v>12.5</v>
      </c>
      <c r="H892" t="n">
        <v>0</v>
      </c>
      <c r="I892" t="n">
        <v>0</v>
      </c>
      <c r="J892" t="n">
        <v>0</v>
      </c>
      <c r="K892" t="n">
        <v>0</v>
      </c>
      <c r="L892" t="n">
        <v>0</v>
      </c>
      <c r="M892" t="n">
        <v>0</v>
      </c>
      <c r="N892" t="n">
        <v>0</v>
      </c>
      <c r="O892" t="n">
        <v>0</v>
      </c>
      <c r="P892" t="n">
        <v>0</v>
      </c>
      <c r="Q892" t="n">
        <v>0</v>
      </c>
      <c r="R892" s="2" t="inlineStr"/>
    </row>
    <row r="893" ht="15" customHeight="1">
      <c r="A893" t="inlineStr">
        <is>
          <t>A 29300-2023</t>
        </is>
      </c>
      <c r="B893" s="1" t="n">
        <v>45105.86278935185</v>
      </c>
      <c r="C893" s="1" t="n">
        <v>46181</v>
      </c>
      <c r="D893" t="inlineStr">
        <is>
          <t>VÄSTERBOTTENS LÄN</t>
        </is>
      </c>
      <c r="E893" t="inlineStr">
        <is>
          <t>ÅSELE</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21107-2023</t>
        </is>
      </c>
      <c r="B894" s="1" t="n">
        <v>45061</v>
      </c>
      <c r="C894" s="1" t="n">
        <v>46181</v>
      </c>
      <c r="D894" t="inlineStr">
        <is>
          <t>VÄSTERBOTTENS LÄN</t>
        </is>
      </c>
      <c r="E894" t="inlineStr">
        <is>
          <t>ÅSELE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19462-2025</t>
        </is>
      </c>
      <c r="B895" s="1" t="n">
        <v>45770.36570601852</v>
      </c>
      <c r="C895" s="1" t="n">
        <v>46181</v>
      </c>
      <c r="D895" t="inlineStr">
        <is>
          <t>VÄSTERBOTTENS LÄN</t>
        </is>
      </c>
      <c r="E895" t="inlineStr">
        <is>
          <t>ÅSELE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19177-2026</t>
        </is>
      </c>
      <c r="B896" s="1" t="n">
        <v>46132.59511574074</v>
      </c>
      <c r="C896" s="1" t="n">
        <v>46181</v>
      </c>
      <c r="D896" t="inlineStr">
        <is>
          <t>VÄSTERBOTTENS LÄN</t>
        </is>
      </c>
      <c r="E896" t="inlineStr">
        <is>
          <t>ÅSELE</t>
        </is>
      </c>
      <c r="F896" t="inlineStr">
        <is>
          <t>SCA</t>
        </is>
      </c>
      <c r="G896" t="n">
        <v>31.9</v>
      </c>
      <c r="H896" t="n">
        <v>0</v>
      </c>
      <c r="I896" t="n">
        <v>0</v>
      </c>
      <c r="J896" t="n">
        <v>0</v>
      </c>
      <c r="K896" t="n">
        <v>0</v>
      </c>
      <c r="L896" t="n">
        <v>0</v>
      </c>
      <c r="M896" t="n">
        <v>0</v>
      </c>
      <c r="N896" t="n">
        <v>0</v>
      </c>
      <c r="O896" t="n">
        <v>0</v>
      </c>
      <c r="P896" t="n">
        <v>0</v>
      </c>
      <c r="Q896" t="n">
        <v>0</v>
      </c>
      <c r="R896" s="2" t="inlineStr"/>
    </row>
    <row r="897" ht="15" customHeight="1">
      <c r="A897" t="inlineStr">
        <is>
          <t>A 39989-2023</t>
        </is>
      </c>
      <c r="B897" s="1" t="n">
        <v>45167</v>
      </c>
      <c r="C897" s="1" t="n">
        <v>46181</v>
      </c>
      <c r="D897" t="inlineStr">
        <is>
          <t>VÄSTERBOTTENS LÄN</t>
        </is>
      </c>
      <c r="E897" t="inlineStr">
        <is>
          <t>ÅSELE</t>
        </is>
      </c>
      <c r="G897" t="n">
        <v>5.2</v>
      </c>
      <c r="H897" t="n">
        <v>0</v>
      </c>
      <c r="I897" t="n">
        <v>0</v>
      </c>
      <c r="J897" t="n">
        <v>0</v>
      </c>
      <c r="K897" t="n">
        <v>0</v>
      </c>
      <c r="L897" t="n">
        <v>0</v>
      </c>
      <c r="M897" t="n">
        <v>0</v>
      </c>
      <c r="N897" t="n">
        <v>0</v>
      </c>
      <c r="O897" t="n">
        <v>0</v>
      </c>
      <c r="P897" t="n">
        <v>0</v>
      </c>
      <c r="Q897" t="n">
        <v>0</v>
      </c>
      <c r="R897" s="2" t="inlineStr"/>
    </row>
    <row r="898" ht="15" customHeight="1">
      <c r="A898" t="inlineStr">
        <is>
          <t>A 58472-2024</t>
        </is>
      </c>
      <c r="B898" s="1" t="n">
        <v>45635</v>
      </c>
      <c r="C898" s="1" t="n">
        <v>46181</v>
      </c>
      <c r="D898" t="inlineStr">
        <is>
          <t>VÄSTERBOTTENS LÄN</t>
        </is>
      </c>
      <c r="E898" t="inlineStr">
        <is>
          <t>ÅSELE</t>
        </is>
      </c>
      <c r="G898" t="n">
        <v>6.3</v>
      </c>
      <c r="H898" t="n">
        <v>0</v>
      </c>
      <c r="I898" t="n">
        <v>0</v>
      </c>
      <c r="J898" t="n">
        <v>0</v>
      </c>
      <c r="K898" t="n">
        <v>0</v>
      </c>
      <c r="L898" t="n">
        <v>0</v>
      </c>
      <c r="M898" t="n">
        <v>0</v>
      </c>
      <c r="N898" t="n">
        <v>0</v>
      </c>
      <c r="O898" t="n">
        <v>0</v>
      </c>
      <c r="P898" t="n">
        <v>0</v>
      </c>
      <c r="Q898" t="n">
        <v>0</v>
      </c>
      <c r="R898" s="2" t="inlineStr"/>
    </row>
    <row r="899" ht="15" customHeight="1">
      <c r="A899" t="inlineStr">
        <is>
          <t>A 18959-2026</t>
        </is>
      </c>
      <c r="B899" s="1" t="n">
        <v>46129</v>
      </c>
      <c r="C899" s="1" t="n">
        <v>46181</v>
      </c>
      <c r="D899" t="inlineStr">
        <is>
          <t>VÄSTERBOTTENS LÄN</t>
        </is>
      </c>
      <c r="E899" t="inlineStr">
        <is>
          <t>ÅSELE</t>
        </is>
      </c>
      <c r="F899" t="inlineStr">
        <is>
          <t>SCA</t>
        </is>
      </c>
      <c r="G899" t="n">
        <v>21.1</v>
      </c>
      <c r="H899" t="n">
        <v>0</v>
      </c>
      <c r="I899" t="n">
        <v>0</v>
      </c>
      <c r="J899" t="n">
        <v>0</v>
      </c>
      <c r="K899" t="n">
        <v>0</v>
      </c>
      <c r="L899" t="n">
        <v>0</v>
      </c>
      <c r="M899" t="n">
        <v>0</v>
      </c>
      <c r="N899" t="n">
        <v>0</v>
      </c>
      <c r="O899" t="n">
        <v>0</v>
      </c>
      <c r="P899" t="n">
        <v>0</v>
      </c>
      <c r="Q899" t="n">
        <v>0</v>
      </c>
      <c r="R899" s="2" t="inlineStr"/>
    </row>
    <row r="900" ht="15" customHeight="1">
      <c r="A900" t="inlineStr">
        <is>
          <t>A 31190-2023</t>
        </is>
      </c>
      <c r="B900" s="1" t="n">
        <v>45113.94958333333</v>
      </c>
      <c r="C900" s="1" t="n">
        <v>46181</v>
      </c>
      <c r="D900" t="inlineStr">
        <is>
          <t>VÄSTERBOTTENS LÄN</t>
        </is>
      </c>
      <c r="E900" t="inlineStr">
        <is>
          <t>ÅSELE</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8851-2024</t>
        </is>
      </c>
      <c r="B901" s="1" t="n">
        <v>45356</v>
      </c>
      <c r="C901" s="1" t="n">
        <v>46181</v>
      </c>
      <c r="D901" t="inlineStr">
        <is>
          <t>VÄSTERBOTTENS LÄN</t>
        </is>
      </c>
      <c r="E901" t="inlineStr">
        <is>
          <t>ÅSELE</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65478-2021</t>
        </is>
      </c>
      <c r="B902" s="1" t="n">
        <v>44516.34648148148</v>
      </c>
      <c r="C902" s="1" t="n">
        <v>46181</v>
      </c>
      <c r="D902" t="inlineStr">
        <is>
          <t>VÄSTERBOTTENS LÄN</t>
        </is>
      </c>
      <c r="E902" t="inlineStr">
        <is>
          <t>ÅSELE</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59690-2024</t>
        </is>
      </c>
      <c r="B903" s="1" t="n">
        <v>45639.40667824074</v>
      </c>
      <c r="C903" s="1" t="n">
        <v>46181</v>
      </c>
      <c r="D903" t="inlineStr">
        <is>
          <t>VÄSTERBOTTENS LÄN</t>
        </is>
      </c>
      <c r="E903" t="inlineStr">
        <is>
          <t>ÅSELE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19458-2026</t>
        </is>
      </c>
      <c r="B904" s="1" t="n">
        <v>46129</v>
      </c>
      <c r="C904" s="1" t="n">
        <v>46181</v>
      </c>
      <c r="D904" t="inlineStr">
        <is>
          <t>VÄSTERBOTTENS LÄN</t>
        </is>
      </c>
      <c r="E904" t="inlineStr">
        <is>
          <t>ÅSELE</t>
        </is>
      </c>
      <c r="G904" t="n">
        <v>1.6</v>
      </c>
      <c r="H904" t="n">
        <v>0</v>
      </c>
      <c r="I904" t="n">
        <v>0</v>
      </c>
      <c r="J904" t="n">
        <v>0</v>
      </c>
      <c r="K904" t="n">
        <v>0</v>
      </c>
      <c r="L904" t="n">
        <v>0</v>
      </c>
      <c r="M904" t="n">
        <v>0</v>
      </c>
      <c r="N904" t="n">
        <v>0</v>
      </c>
      <c r="O904" t="n">
        <v>0</v>
      </c>
      <c r="P904" t="n">
        <v>0</v>
      </c>
      <c r="Q904" t="n">
        <v>0</v>
      </c>
      <c r="R904" s="2" t="inlineStr"/>
    </row>
    <row r="905" ht="15" customHeight="1">
      <c r="A905" t="inlineStr">
        <is>
          <t>A 61985-2023</t>
        </is>
      </c>
      <c r="B905" s="1" t="n">
        <v>45266.6125</v>
      </c>
      <c r="C905" s="1" t="n">
        <v>46181</v>
      </c>
      <c r="D905" t="inlineStr">
        <is>
          <t>VÄSTERBOTTENS LÄN</t>
        </is>
      </c>
      <c r="E905" t="inlineStr">
        <is>
          <t>ÅSELE</t>
        </is>
      </c>
      <c r="F905" t="inlineStr">
        <is>
          <t>Sveaskog</t>
        </is>
      </c>
      <c r="G905" t="n">
        <v>2.4</v>
      </c>
      <c r="H905" t="n">
        <v>0</v>
      </c>
      <c r="I905" t="n">
        <v>0</v>
      </c>
      <c r="J905" t="n">
        <v>0</v>
      </c>
      <c r="K905" t="n">
        <v>0</v>
      </c>
      <c r="L905" t="n">
        <v>0</v>
      </c>
      <c r="M905" t="n">
        <v>0</v>
      </c>
      <c r="N905" t="n">
        <v>0</v>
      </c>
      <c r="O905" t="n">
        <v>0</v>
      </c>
      <c r="P905" t="n">
        <v>0</v>
      </c>
      <c r="Q905" t="n">
        <v>0</v>
      </c>
      <c r="R905" s="2" t="inlineStr"/>
    </row>
    <row r="906" ht="15" customHeight="1">
      <c r="A906" t="inlineStr">
        <is>
          <t>A 31474-2024</t>
        </is>
      </c>
      <c r="B906" s="1" t="n">
        <v>45505.95200231481</v>
      </c>
      <c r="C906" s="1" t="n">
        <v>46181</v>
      </c>
      <c r="D906" t="inlineStr">
        <is>
          <t>VÄSTERBOTTENS LÄN</t>
        </is>
      </c>
      <c r="E906" t="inlineStr">
        <is>
          <t>ÅSELE</t>
        </is>
      </c>
      <c r="F906" t="inlineStr">
        <is>
          <t>SCA</t>
        </is>
      </c>
      <c r="G906" t="n">
        <v>6.3</v>
      </c>
      <c r="H906" t="n">
        <v>0</v>
      </c>
      <c r="I906" t="n">
        <v>0</v>
      </c>
      <c r="J906" t="n">
        <v>0</v>
      </c>
      <c r="K906" t="n">
        <v>0</v>
      </c>
      <c r="L906" t="n">
        <v>0</v>
      </c>
      <c r="M906" t="n">
        <v>0</v>
      </c>
      <c r="N906" t="n">
        <v>0</v>
      </c>
      <c r="O906" t="n">
        <v>0</v>
      </c>
      <c r="P906" t="n">
        <v>0</v>
      </c>
      <c r="Q906" t="n">
        <v>0</v>
      </c>
      <c r="R906" s="2" t="inlineStr"/>
    </row>
    <row r="907" ht="15" customHeight="1">
      <c r="A907" t="inlineStr">
        <is>
          <t>A 5006-2024</t>
        </is>
      </c>
      <c r="B907" s="1" t="n">
        <v>45329</v>
      </c>
      <c r="C907" s="1" t="n">
        <v>46181</v>
      </c>
      <c r="D907" t="inlineStr">
        <is>
          <t>VÄSTERBOTTENS LÄN</t>
        </is>
      </c>
      <c r="E907" t="inlineStr">
        <is>
          <t>ÅSELE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5013-2024</t>
        </is>
      </c>
      <c r="B908" s="1" t="n">
        <v>45329</v>
      </c>
      <c r="C908" s="1" t="n">
        <v>46181</v>
      </c>
      <c r="D908" t="inlineStr">
        <is>
          <t>VÄSTERBOTTENS LÄN</t>
        </is>
      </c>
      <c r="E908" t="inlineStr">
        <is>
          <t>ÅSELE</t>
        </is>
      </c>
      <c r="F908" t="inlineStr">
        <is>
          <t>Övriga Aktiebolag</t>
        </is>
      </c>
      <c r="G908" t="n">
        <v>5</v>
      </c>
      <c r="H908" t="n">
        <v>0</v>
      </c>
      <c r="I908" t="n">
        <v>0</v>
      </c>
      <c r="J908" t="n">
        <v>0</v>
      </c>
      <c r="K908" t="n">
        <v>0</v>
      </c>
      <c r="L908" t="n">
        <v>0</v>
      </c>
      <c r="M908" t="n">
        <v>0</v>
      </c>
      <c r="N908" t="n">
        <v>0</v>
      </c>
      <c r="O908" t="n">
        <v>0</v>
      </c>
      <c r="P908" t="n">
        <v>0</v>
      </c>
      <c r="Q908" t="n">
        <v>0</v>
      </c>
      <c r="R908" s="2" t="inlineStr"/>
    </row>
    <row r="909" ht="15" customHeight="1">
      <c r="A909" t="inlineStr">
        <is>
          <t>A 4462-2023</t>
        </is>
      </c>
      <c r="B909" s="1" t="n">
        <v>44952</v>
      </c>
      <c r="C909" s="1" t="n">
        <v>46181</v>
      </c>
      <c r="D909" t="inlineStr">
        <is>
          <t>VÄSTERBOTTENS LÄN</t>
        </is>
      </c>
      <c r="E909" t="inlineStr">
        <is>
          <t>ÅSELE</t>
        </is>
      </c>
      <c r="G909" t="n">
        <v>0.9</v>
      </c>
      <c r="H909" t="n">
        <v>0</v>
      </c>
      <c r="I909" t="n">
        <v>0</v>
      </c>
      <c r="J909" t="n">
        <v>0</v>
      </c>
      <c r="K909" t="n">
        <v>0</v>
      </c>
      <c r="L909" t="n">
        <v>0</v>
      </c>
      <c r="M909" t="n">
        <v>0</v>
      </c>
      <c r="N909" t="n">
        <v>0</v>
      </c>
      <c r="O909" t="n">
        <v>0</v>
      </c>
      <c r="P909" t="n">
        <v>0</v>
      </c>
      <c r="Q909" t="n">
        <v>0</v>
      </c>
      <c r="R909" s="2" t="inlineStr"/>
    </row>
    <row r="910" ht="15" customHeight="1">
      <c r="A910" t="inlineStr">
        <is>
          <t>A 35971-2023</t>
        </is>
      </c>
      <c r="B910" s="1" t="n">
        <v>45148</v>
      </c>
      <c r="C910" s="1" t="n">
        <v>46181</v>
      </c>
      <c r="D910" t="inlineStr">
        <is>
          <t>VÄSTERBOTTENS LÄN</t>
        </is>
      </c>
      <c r="E910" t="inlineStr">
        <is>
          <t>ÅSELE</t>
        </is>
      </c>
      <c r="G910" t="n">
        <v>0.6</v>
      </c>
      <c r="H910" t="n">
        <v>0</v>
      </c>
      <c r="I910" t="n">
        <v>0</v>
      </c>
      <c r="J910" t="n">
        <v>0</v>
      </c>
      <c r="K910" t="n">
        <v>0</v>
      </c>
      <c r="L910" t="n">
        <v>0</v>
      </c>
      <c r="M910" t="n">
        <v>0</v>
      </c>
      <c r="N910" t="n">
        <v>0</v>
      </c>
      <c r="O910" t="n">
        <v>0</v>
      </c>
      <c r="P910" t="n">
        <v>0</v>
      </c>
      <c r="Q910" t="n">
        <v>0</v>
      </c>
      <c r="R910" s="2" t="inlineStr"/>
    </row>
    <row r="911" ht="15" customHeight="1">
      <c r="A911" t="inlineStr">
        <is>
          <t>A 29962-2024</t>
        </is>
      </c>
      <c r="B911" s="1" t="n">
        <v>45488.46452546296</v>
      </c>
      <c r="C911" s="1" t="n">
        <v>46181</v>
      </c>
      <c r="D911" t="inlineStr">
        <is>
          <t>VÄSTERBOTTENS LÄN</t>
        </is>
      </c>
      <c r="E911" t="inlineStr">
        <is>
          <t>ÅSELE</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52772-2024</t>
        </is>
      </c>
      <c r="B912" s="1" t="n">
        <v>45610</v>
      </c>
      <c r="C912" s="1" t="n">
        <v>46181</v>
      </c>
      <c r="D912" t="inlineStr">
        <is>
          <t>VÄSTERBOTTENS LÄN</t>
        </is>
      </c>
      <c r="E912" t="inlineStr">
        <is>
          <t>ÅSELE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31541-2024</t>
        </is>
      </c>
      <c r="B913" s="1" t="n">
        <v>45505</v>
      </c>
      <c r="C913" s="1" t="n">
        <v>46181</v>
      </c>
      <c r="D913" t="inlineStr">
        <is>
          <t>VÄSTERBOTTENS LÄN</t>
        </is>
      </c>
      <c r="E913" t="inlineStr">
        <is>
          <t>ÅSELE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49428-2022</t>
        </is>
      </c>
      <c r="B914" s="1" t="n">
        <v>44859</v>
      </c>
      <c r="C914" s="1" t="n">
        <v>46181</v>
      </c>
      <c r="D914" t="inlineStr">
        <is>
          <t>VÄSTERBOTTENS LÄN</t>
        </is>
      </c>
      <c r="E914" t="inlineStr">
        <is>
          <t>ÅSELE</t>
        </is>
      </c>
      <c r="G914" t="n">
        <v>4.6</v>
      </c>
      <c r="H914" t="n">
        <v>0</v>
      </c>
      <c r="I914" t="n">
        <v>0</v>
      </c>
      <c r="J914" t="n">
        <v>0</v>
      </c>
      <c r="K914" t="n">
        <v>0</v>
      </c>
      <c r="L914" t="n">
        <v>0</v>
      </c>
      <c r="M914" t="n">
        <v>0</v>
      </c>
      <c r="N914" t="n">
        <v>0</v>
      </c>
      <c r="O914" t="n">
        <v>0</v>
      </c>
      <c r="P914" t="n">
        <v>0</v>
      </c>
      <c r="Q914" t="n">
        <v>0</v>
      </c>
      <c r="R914" s="2" t="inlineStr"/>
    </row>
    <row r="915" ht="15" customHeight="1">
      <c r="A915" t="inlineStr">
        <is>
          <t>A 20276-2025</t>
        </is>
      </c>
      <c r="B915" s="1" t="n">
        <v>45774.32366898148</v>
      </c>
      <c r="C915" s="1" t="n">
        <v>46181</v>
      </c>
      <c r="D915" t="inlineStr">
        <is>
          <t>VÄSTERBOTTENS LÄN</t>
        </is>
      </c>
      <c r="E915" t="inlineStr">
        <is>
          <t>ÅSELE</t>
        </is>
      </c>
      <c r="G915" t="n">
        <v>16.3</v>
      </c>
      <c r="H915" t="n">
        <v>0</v>
      </c>
      <c r="I915" t="n">
        <v>0</v>
      </c>
      <c r="J915" t="n">
        <v>0</v>
      </c>
      <c r="K915" t="n">
        <v>0</v>
      </c>
      <c r="L915" t="n">
        <v>0</v>
      </c>
      <c r="M915" t="n">
        <v>0</v>
      </c>
      <c r="N915" t="n">
        <v>0</v>
      </c>
      <c r="O915" t="n">
        <v>0</v>
      </c>
      <c r="P915" t="n">
        <v>0</v>
      </c>
      <c r="Q915" t="n">
        <v>0</v>
      </c>
      <c r="R915" s="2" t="inlineStr"/>
    </row>
    <row r="916" ht="15" customHeight="1">
      <c r="A916" t="inlineStr">
        <is>
          <t>A 26980-2024</t>
        </is>
      </c>
      <c r="B916" s="1" t="n">
        <v>45471</v>
      </c>
      <c r="C916" s="1" t="n">
        <v>46181</v>
      </c>
      <c r="D916" t="inlineStr">
        <is>
          <t>VÄSTERBOTTENS LÄN</t>
        </is>
      </c>
      <c r="E916" t="inlineStr">
        <is>
          <t>ÅSELE</t>
        </is>
      </c>
      <c r="G916" t="n">
        <v>7.7</v>
      </c>
      <c r="H916" t="n">
        <v>0</v>
      </c>
      <c r="I916" t="n">
        <v>0</v>
      </c>
      <c r="J916" t="n">
        <v>0</v>
      </c>
      <c r="K916" t="n">
        <v>0</v>
      </c>
      <c r="L916" t="n">
        <v>0</v>
      </c>
      <c r="M916" t="n">
        <v>0</v>
      </c>
      <c r="N916" t="n">
        <v>0</v>
      </c>
      <c r="O916" t="n">
        <v>0</v>
      </c>
      <c r="P916" t="n">
        <v>0</v>
      </c>
      <c r="Q916" t="n">
        <v>0</v>
      </c>
      <c r="R916" s="2" t="inlineStr"/>
    </row>
    <row r="917" ht="15" customHeight="1">
      <c r="A917" t="inlineStr">
        <is>
          <t>A 28954-2024</t>
        </is>
      </c>
      <c r="B917" s="1" t="n">
        <v>45481.40775462963</v>
      </c>
      <c r="C917" s="1" t="n">
        <v>46181</v>
      </c>
      <c r="D917" t="inlineStr">
        <is>
          <t>VÄSTERBOTTENS LÄN</t>
        </is>
      </c>
      <c r="E917" t="inlineStr">
        <is>
          <t>ÅSELE</t>
        </is>
      </c>
      <c r="F917" t="inlineStr">
        <is>
          <t>Sveaskog</t>
        </is>
      </c>
      <c r="G917" t="n">
        <v>7.1</v>
      </c>
      <c r="H917" t="n">
        <v>0</v>
      </c>
      <c r="I917" t="n">
        <v>0</v>
      </c>
      <c r="J917" t="n">
        <v>0</v>
      </c>
      <c r="K917" t="n">
        <v>0</v>
      </c>
      <c r="L917" t="n">
        <v>0</v>
      </c>
      <c r="M917" t="n">
        <v>0</v>
      </c>
      <c r="N917" t="n">
        <v>0</v>
      </c>
      <c r="O917" t="n">
        <v>0</v>
      </c>
      <c r="P917" t="n">
        <v>0</v>
      </c>
      <c r="Q917" t="n">
        <v>0</v>
      </c>
      <c r="R917" s="2" t="inlineStr"/>
    </row>
    <row r="918" ht="15" customHeight="1">
      <c r="A918" t="inlineStr">
        <is>
          <t>A 4078-2025</t>
        </is>
      </c>
      <c r="B918" s="1" t="n">
        <v>45684.65501157408</v>
      </c>
      <c r="C918" s="1" t="n">
        <v>46181</v>
      </c>
      <c r="D918" t="inlineStr">
        <is>
          <t>VÄSTERBOTTENS LÄN</t>
        </is>
      </c>
      <c r="E918" t="inlineStr">
        <is>
          <t>ÅSELE</t>
        </is>
      </c>
      <c r="G918" t="n">
        <v>2.4</v>
      </c>
      <c r="H918" t="n">
        <v>0</v>
      </c>
      <c r="I918" t="n">
        <v>0</v>
      </c>
      <c r="J918" t="n">
        <v>0</v>
      </c>
      <c r="K918" t="n">
        <v>0</v>
      </c>
      <c r="L918" t="n">
        <v>0</v>
      </c>
      <c r="M918" t="n">
        <v>0</v>
      </c>
      <c r="N918" t="n">
        <v>0</v>
      </c>
      <c r="O918" t="n">
        <v>0</v>
      </c>
      <c r="P918" t="n">
        <v>0</v>
      </c>
      <c r="Q918" t="n">
        <v>0</v>
      </c>
      <c r="R918" s="2" t="inlineStr"/>
    </row>
    <row r="919" ht="15" customHeight="1">
      <c r="A919" t="inlineStr">
        <is>
          <t>A 23648-2023</t>
        </is>
      </c>
      <c r="B919" s="1" t="n">
        <v>45077.54615740741</v>
      </c>
      <c r="C919" s="1" t="n">
        <v>46181</v>
      </c>
      <c r="D919" t="inlineStr">
        <is>
          <t>VÄSTERBOTTENS LÄN</t>
        </is>
      </c>
      <c r="E919" t="inlineStr">
        <is>
          <t>ÅSELE</t>
        </is>
      </c>
      <c r="F919" t="inlineStr">
        <is>
          <t>Naturvårdsverket</t>
        </is>
      </c>
      <c r="G919" t="n">
        <v>1.4</v>
      </c>
      <c r="H919" t="n">
        <v>0</v>
      </c>
      <c r="I919" t="n">
        <v>0</v>
      </c>
      <c r="J919" t="n">
        <v>0</v>
      </c>
      <c r="K919" t="n">
        <v>0</v>
      </c>
      <c r="L919" t="n">
        <v>0</v>
      </c>
      <c r="M919" t="n">
        <v>0</v>
      </c>
      <c r="N919" t="n">
        <v>0</v>
      </c>
      <c r="O919" t="n">
        <v>0</v>
      </c>
      <c r="P919" t="n">
        <v>0</v>
      </c>
      <c r="Q919" t="n">
        <v>0</v>
      </c>
      <c r="R919" s="2" t="inlineStr"/>
    </row>
    <row r="920" ht="15" customHeight="1">
      <c r="A920" t="inlineStr">
        <is>
          <t>A 1640-2025</t>
        </is>
      </c>
      <c r="B920" s="1" t="n">
        <v>45670</v>
      </c>
      <c r="C920" s="1" t="n">
        <v>46181</v>
      </c>
      <c r="D920" t="inlineStr">
        <is>
          <t>VÄSTERBOTTENS LÄN</t>
        </is>
      </c>
      <c r="E920" t="inlineStr">
        <is>
          <t>ÅSELE</t>
        </is>
      </c>
      <c r="G920" t="n">
        <v>2.9</v>
      </c>
      <c r="H920" t="n">
        <v>0</v>
      </c>
      <c r="I920" t="n">
        <v>0</v>
      </c>
      <c r="J920" t="n">
        <v>0</v>
      </c>
      <c r="K920" t="n">
        <v>0</v>
      </c>
      <c r="L920" t="n">
        <v>0</v>
      </c>
      <c r="M920" t="n">
        <v>0</v>
      </c>
      <c r="N920" t="n">
        <v>0</v>
      </c>
      <c r="O920" t="n">
        <v>0</v>
      </c>
      <c r="P920" t="n">
        <v>0</v>
      </c>
      <c r="Q920" t="n">
        <v>0</v>
      </c>
      <c r="R920" s="2" t="inlineStr"/>
    </row>
    <row r="921" ht="15" customHeight="1">
      <c r="A921" t="inlineStr">
        <is>
          <t>A 18317-2025</t>
        </is>
      </c>
      <c r="B921" s="1" t="n">
        <v>45762.45550925926</v>
      </c>
      <c r="C921" s="1" t="n">
        <v>46181</v>
      </c>
      <c r="D921" t="inlineStr">
        <is>
          <t>VÄSTERBOTTENS LÄN</t>
        </is>
      </c>
      <c r="E921" t="inlineStr">
        <is>
          <t>ÅSELE</t>
        </is>
      </c>
      <c r="G921" t="n">
        <v>1.1</v>
      </c>
      <c r="H921" t="n">
        <v>0</v>
      </c>
      <c r="I921" t="n">
        <v>0</v>
      </c>
      <c r="J921" t="n">
        <v>0</v>
      </c>
      <c r="K921" t="n">
        <v>0</v>
      </c>
      <c r="L921" t="n">
        <v>0</v>
      </c>
      <c r="M921" t="n">
        <v>0</v>
      </c>
      <c r="N921" t="n">
        <v>0</v>
      </c>
      <c r="O921" t="n">
        <v>0</v>
      </c>
      <c r="P921" t="n">
        <v>0</v>
      </c>
      <c r="Q921" t="n">
        <v>0</v>
      </c>
      <c r="R921" s="2" t="inlineStr"/>
    </row>
    <row r="922" ht="15" customHeight="1">
      <c r="A922" t="inlineStr">
        <is>
          <t>A 61398-2022</t>
        </is>
      </c>
      <c r="B922" s="1" t="n">
        <v>44915.94388888889</v>
      </c>
      <c r="C922" s="1" t="n">
        <v>46181</v>
      </c>
      <c r="D922" t="inlineStr">
        <is>
          <t>VÄSTERBOTTENS LÄN</t>
        </is>
      </c>
      <c r="E922" t="inlineStr">
        <is>
          <t>ÅSELE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5022-2024</t>
        </is>
      </c>
      <c r="B923" s="1" t="n">
        <v>45329</v>
      </c>
      <c r="C923" s="1" t="n">
        <v>46181</v>
      </c>
      <c r="D923" t="inlineStr">
        <is>
          <t>VÄSTERBOTTENS LÄN</t>
        </is>
      </c>
      <c r="E923" t="inlineStr">
        <is>
          <t>ÅSELE</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61800-2023</t>
        </is>
      </c>
      <c r="B924" s="1" t="n">
        <v>45265.95873842593</v>
      </c>
      <c r="C924" s="1" t="n">
        <v>46181</v>
      </c>
      <c r="D924" t="inlineStr">
        <is>
          <t>VÄSTERBOTTENS LÄN</t>
        </is>
      </c>
      <c r="E924" t="inlineStr">
        <is>
          <t>ÅSELE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57498-2024</t>
        </is>
      </c>
      <c r="B925" s="1" t="n">
        <v>45629</v>
      </c>
      <c r="C925" s="1" t="n">
        <v>46181</v>
      </c>
      <c r="D925" t="inlineStr">
        <is>
          <t>VÄSTERBOTTENS LÄN</t>
        </is>
      </c>
      <c r="E925" t="inlineStr">
        <is>
          <t>ÅSELE</t>
        </is>
      </c>
      <c r="G925" t="n">
        <v>3.5</v>
      </c>
      <c r="H925" t="n">
        <v>0</v>
      </c>
      <c r="I925" t="n">
        <v>0</v>
      </c>
      <c r="J925" t="n">
        <v>0</v>
      </c>
      <c r="K925" t="n">
        <v>0</v>
      </c>
      <c r="L925" t="n">
        <v>0</v>
      </c>
      <c r="M925" t="n">
        <v>0</v>
      </c>
      <c r="N925" t="n">
        <v>0</v>
      </c>
      <c r="O925" t="n">
        <v>0</v>
      </c>
      <c r="P925" t="n">
        <v>0</v>
      </c>
      <c r="Q925" t="n">
        <v>0</v>
      </c>
      <c r="R925" s="2" t="inlineStr"/>
    </row>
    <row r="926" ht="15" customHeight="1">
      <c r="A926" t="inlineStr">
        <is>
          <t>A 18684-2026</t>
        </is>
      </c>
      <c r="B926" s="1" t="n">
        <v>46128.38644675926</v>
      </c>
      <c r="C926" s="1" t="n">
        <v>46181</v>
      </c>
      <c r="D926" t="inlineStr">
        <is>
          <t>VÄSTERBOTTENS LÄN</t>
        </is>
      </c>
      <c r="E926" t="inlineStr">
        <is>
          <t>ÅSELE</t>
        </is>
      </c>
      <c r="G926" t="n">
        <v>11.1</v>
      </c>
      <c r="H926" t="n">
        <v>0</v>
      </c>
      <c r="I926" t="n">
        <v>0</v>
      </c>
      <c r="J926" t="n">
        <v>0</v>
      </c>
      <c r="K926" t="n">
        <v>0</v>
      </c>
      <c r="L926" t="n">
        <v>0</v>
      </c>
      <c r="M926" t="n">
        <v>0</v>
      </c>
      <c r="N926" t="n">
        <v>0</v>
      </c>
      <c r="O926" t="n">
        <v>0</v>
      </c>
      <c r="P926" t="n">
        <v>0</v>
      </c>
      <c r="Q926" t="n">
        <v>0</v>
      </c>
      <c r="R926" s="2" t="inlineStr"/>
    </row>
    <row r="927" ht="15" customHeight="1">
      <c r="A927" t="inlineStr">
        <is>
          <t>A 48299-2024</t>
        </is>
      </c>
      <c r="B927" s="1" t="n">
        <v>45590</v>
      </c>
      <c r="C927" s="1" t="n">
        <v>46181</v>
      </c>
      <c r="D927" t="inlineStr">
        <is>
          <t>VÄSTERBOTTENS LÄN</t>
        </is>
      </c>
      <c r="E927" t="inlineStr">
        <is>
          <t>ÅSELE</t>
        </is>
      </c>
      <c r="G927" t="n">
        <v>0.9</v>
      </c>
      <c r="H927" t="n">
        <v>0</v>
      </c>
      <c r="I927" t="n">
        <v>0</v>
      </c>
      <c r="J927" t="n">
        <v>0</v>
      </c>
      <c r="K927" t="n">
        <v>0</v>
      </c>
      <c r="L927" t="n">
        <v>0</v>
      </c>
      <c r="M927" t="n">
        <v>0</v>
      </c>
      <c r="N927" t="n">
        <v>0</v>
      </c>
      <c r="O927" t="n">
        <v>0</v>
      </c>
      <c r="P927" t="n">
        <v>0</v>
      </c>
      <c r="Q927" t="n">
        <v>0</v>
      </c>
      <c r="R927" s="2" t="inlineStr"/>
    </row>
    <row r="928" ht="15" customHeight="1">
      <c r="A928" t="inlineStr">
        <is>
          <t>A 57800-2023</t>
        </is>
      </c>
      <c r="B928" s="1" t="n">
        <v>45246.96921296296</v>
      </c>
      <c r="C928" s="1" t="n">
        <v>46181</v>
      </c>
      <c r="D928" t="inlineStr">
        <is>
          <t>VÄSTERBOTTENS LÄN</t>
        </is>
      </c>
      <c r="E928" t="inlineStr">
        <is>
          <t>ÅSELE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19598-2026</t>
        </is>
      </c>
      <c r="B929" s="1" t="n">
        <v>46132</v>
      </c>
      <c r="C929" s="1" t="n">
        <v>46181</v>
      </c>
      <c r="D929" t="inlineStr">
        <is>
          <t>VÄSTERBOTTENS LÄN</t>
        </is>
      </c>
      <c r="E929" t="inlineStr">
        <is>
          <t>ÅSELE</t>
        </is>
      </c>
      <c r="G929" t="n">
        <v>19.6</v>
      </c>
      <c r="H929" t="n">
        <v>0</v>
      </c>
      <c r="I929" t="n">
        <v>0</v>
      </c>
      <c r="J929" t="n">
        <v>0</v>
      </c>
      <c r="K929" t="n">
        <v>0</v>
      </c>
      <c r="L929" t="n">
        <v>0</v>
      </c>
      <c r="M929" t="n">
        <v>0</v>
      </c>
      <c r="N929" t="n">
        <v>0</v>
      </c>
      <c r="O929" t="n">
        <v>0</v>
      </c>
      <c r="P929" t="n">
        <v>0</v>
      </c>
      <c r="Q929" t="n">
        <v>0</v>
      </c>
      <c r="R929" s="2" t="inlineStr"/>
    </row>
    <row r="930" ht="15" customHeight="1">
      <c r="A930" t="inlineStr">
        <is>
          <t>A 18301-2025</t>
        </is>
      </c>
      <c r="B930" s="1" t="n">
        <v>45762.43146990741</v>
      </c>
      <c r="C930" s="1" t="n">
        <v>46181</v>
      </c>
      <c r="D930" t="inlineStr">
        <is>
          <t>VÄSTERBOTTENS LÄN</t>
        </is>
      </c>
      <c r="E930" t="inlineStr">
        <is>
          <t>ÅSELE</t>
        </is>
      </c>
      <c r="G930" t="n">
        <v>7.1</v>
      </c>
      <c r="H930" t="n">
        <v>0</v>
      </c>
      <c r="I930" t="n">
        <v>0</v>
      </c>
      <c r="J930" t="n">
        <v>0</v>
      </c>
      <c r="K930" t="n">
        <v>0</v>
      </c>
      <c r="L930" t="n">
        <v>0</v>
      </c>
      <c r="M930" t="n">
        <v>0</v>
      </c>
      <c r="N930" t="n">
        <v>0</v>
      </c>
      <c r="O930" t="n">
        <v>0</v>
      </c>
      <c r="P930" t="n">
        <v>0</v>
      </c>
      <c r="Q930" t="n">
        <v>0</v>
      </c>
      <c r="R930" s="2" t="inlineStr"/>
    </row>
    <row r="931" ht="15" customHeight="1">
      <c r="A931" t="inlineStr">
        <is>
          <t>A 26395-2023</t>
        </is>
      </c>
      <c r="B931" s="1" t="n">
        <v>45092.35770833334</v>
      </c>
      <c r="C931" s="1" t="n">
        <v>46181</v>
      </c>
      <c r="D931" t="inlineStr">
        <is>
          <t>VÄSTERBOTTENS LÄN</t>
        </is>
      </c>
      <c r="E931" t="inlineStr">
        <is>
          <t>ÅSELE</t>
        </is>
      </c>
      <c r="F931" t="inlineStr">
        <is>
          <t>Holmen skog AB</t>
        </is>
      </c>
      <c r="G931" t="n">
        <v>4.1</v>
      </c>
      <c r="H931" t="n">
        <v>0</v>
      </c>
      <c r="I931" t="n">
        <v>0</v>
      </c>
      <c r="J931" t="n">
        <v>0</v>
      </c>
      <c r="K931" t="n">
        <v>0</v>
      </c>
      <c r="L931" t="n">
        <v>0</v>
      </c>
      <c r="M931" t="n">
        <v>0</v>
      </c>
      <c r="N931" t="n">
        <v>0</v>
      </c>
      <c r="O931" t="n">
        <v>0</v>
      </c>
      <c r="P931" t="n">
        <v>0</v>
      </c>
      <c r="Q931" t="n">
        <v>0</v>
      </c>
      <c r="R931" s="2" t="inlineStr"/>
    </row>
    <row r="932" ht="15" customHeight="1">
      <c r="A932" t="inlineStr">
        <is>
          <t>A 24794-2026</t>
        </is>
      </c>
      <c r="B932" s="1" t="n">
        <v>46171.69866898148</v>
      </c>
      <c r="C932" s="1" t="n">
        <v>46181</v>
      </c>
      <c r="D932" t="inlineStr">
        <is>
          <t>VÄSTERBOTTENS LÄN</t>
        </is>
      </c>
      <c r="E932" t="inlineStr">
        <is>
          <t>ÅSELE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22739-2023</t>
        </is>
      </c>
      <c r="B933" s="1" t="n">
        <v>45071.92619212963</v>
      </c>
      <c r="C933" s="1" t="n">
        <v>46181</v>
      </c>
      <c r="D933" t="inlineStr">
        <is>
          <t>VÄSTERBOTTENS LÄN</t>
        </is>
      </c>
      <c r="E933" t="inlineStr">
        <is>
          <t>ÅSELE</t>
        </is>
      </c>
      <c r="G933" t="n">
        <v>4.1</v>
      </c>
      <c r="H933" t="n">
        <v>0</v>
      </c>
      <c r="I933" t="n">
        <v>0</v>
      </c>
      <c r="J933" t="n">
        <v>0</v>
      </c>
      <c r="K933" t="n">
        <v>0</v>
      </c>
      <c r="L933" t="n">
        <v>0</v>
      </c>
      <c r="M933" t="n">
        <v>0</v>
      </c>
      <c r="N933" t="n">
        <v>0</v>
      </c>
      <c r="O933" t="n">
        <v>0</v>
      </c>
      <c r="P933" t="n">
        <v>0</v>
      </c>
      <c r="Q933" t="n">
        <v>0</v>
      </c>
      <c r="R933" s="2" t="inlineStr"/>
    </row>
    <row r="934" ht="15" customHeight="1">
      <c r="A934" t="inlineStr">
        <is>
          <t>A 53018-2024</t>
        </is>
      </c>
      <c r="B934" s="1" t="n">
        <v>45611</v>
      </c>
      <c r="C934" s="1" t="n">
        <v>46181</v>
      </c>
      <c r="D934" t="inlineStr">
        <is>
          <t>VÄSTERBOTTENS LÄN</t>
        </is>
      </c>
      <c r="E934" t="inlineStr">
        <is>
          <t>ÅSELE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30588-2024</t>
        </is>
      </c>
      <c r="B935" s="1" t="n">
        <v>45492</v>
      </c>
      <c r="C935" s="1" t="n">
        <v>46181</v>
      </c>
      <c r="D935" t="inlineStr">
        <is>
          <t>VÄSTERBOTTENS LÄN</t>
        </is>
      </c>
      <c r="E935" t="inlineStr">
        <is>
          <t>ÅSELE</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35950-2023</t>
        </is>
      </c>
      <c r="B936" s="1" t="n">
        <v>45148</v>
      </c>
      <c r="C936" s="1" t="n">
        <v>46181</v>
      </c>
      <c r="D936" t="inlineStr">
        <is>
          <t>VÄSTERBOTTENS LÄN</t>
        </is>
      </c>
      <c r="E936" t="inlineStr">
        <is>
          <t>ÅSELE</t>
        </is>
      </c>
      <c r="G936" t="n">
        <v>1.9</v>
      </c>
      <c r="H936" t="n">
        <v>0</v>
      </c>
      <c r="I936" t="n">
        <v>0</v>
      </c>
      <c r="J936" t="n">
        <v>0</v>
      </c>
      <c r="K936" t="n">
        <v>0</v>
      </c>
      <c r="L936" t="n">
        <v>0</v>
      </c>
      <c r="M936" t="n">
        <v>0</v>
      </c>
      <c r="N936" t="n">
        <v>0</v>
      </c>
      <c r="O936" t="n">
        <v>0</v>
      </c>
      <c r="P936" t="n">
        <v>0</v>
      </c>
      <c r="Q936" t="n">
        <v>0</v>
      </c>
      <c r="R936" s="2" t="inlineStr"/>
    </row>
    <row r="937" ht="15" customHeight="1">
      <c r="A937" t="inlineStr">
        <is>
          <t>A 42206-2024</t>
        </is>
      </c>
      <c r="B937" s="1" t="n">
        <v>45562.52640046296</v>
      </c>
      <c r="C937" s="1" t="n">
        <v>46181</v>
      </c>
      <c r="D937" t="inlineStr">
        <is>
          <t>VÄSTERBOTTENS LÄN</t>
        </is>
      </c>
      <c r="E937" t="inlineStr">
        <is>
          <t>ÅSELE</t>
        </is>
      </c>
      <c r="F937" t="inlineStr">
        <is>
          <t>Holmen skog AB</t>
        </is>
      </c>
      <c r="G937" t="n">
        <v>6.7</v>
      </c>
      <c r="H937" t="n">
        <v>0</v>
      </c>
      <c r="I937" t="n">
        <v>0</v>
      </c>
      <c r="J937" t="n">
        <v>0</v>
      </c>
      <c r="K937" t="n">
        <v>0</v>
      </c>
      <c r="L937" t="n">
        <v>0</v>
      </c>
      <c r="M937" t="n">
        <v>0</v>
      </c>
      <c r="N937" t="n">
        <v>0</v>
      </c>
      <c r="O937" t="n">
        <v>0</v>
      </c>
      <c r="P937" t="n">
        <v>0</v>
      </c>
      <c r="Q937" t="n">
        <v>0</v>
      </c>
      <c r="R937" s="2" t="inlineStr"/>
    </row>
    <row r="938" ht="15" customHeight="1">
      <c r="A938" t="inlineStr">
        <is>
          <t>A 18956-2026</t>
        </is>
      </c>
      <c r="B938" s="1" t="n">
        <v>46129</v>
      </c>
      <c r="C938" s="1" t="n">
        <v>46181</v>
      </c>
      <c r="D938" t="inlineStr">
        <is>
          <t>VÄSTERBOTTENS LÄN</t>
        </is>
      </c>
      <c r="E938" t="inlineStr">
        <is>
          <t>ÅSELE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18958-2026</t>
        </is>
      </c>
      <c r="B939" s="1" t="n">
        <v>46129</v>
      </c>
      <c r="C939" s="1" t="n">
        <v>46181</v>
      </c>
      <c r="D939" t="inlineStr">
        <is>
          <t>VÄSTERBOTTENS LÄN</t>
        </is>
      </c>
      <c r="E939" t="inlineStr">
        <is>
          <t>ÅSELE</t>
        </is>
      </c>
      <c r="F939" t="inlineStr">
        <is>
          <t>SCA</t>
        </is>
      </c>
      <c r="G939" t="n">
        <v>27.7</v>
      </c>
      <c r="H939" t="n">
        <v>0</v>
      </c>
      <c r="I939" t="n">
        <v>0</v>
      </c>
      <c r="J939" t="n">
        <v>0</v>
      </c>
      <c r="K939" t="n">
        <v>0</v>
      </c>
      <c r="L939" t="n">
        <v>0</v>
      </c>
      <c r="M939" t="n">
        <v>0</v>
      </c>
      <c r="N939" t="n">
        <v>0</v>
      </c>
      <c r="O939" t="n">
        <v>0</v>
      </c>
      <c r="P939" t="n">
        <v>0</v>
      </c>
      <c r="Q939" t="n">
        <v>0</v>
      </c>
      <c r="R939" s="2" t="inlineStr"/>
    </row>
    <row r="940" ht="15" customHeight="1">
      <c r="A940" t="inlineStr">
        <is>
          <t>A 24793-2026</t>
        </is>
      </c>
      <c r="B940" s="1" t="n">
        <v>46171.6984837963</v>
      </c>
      <c r="C940" s="1" t="n">
        <v>46181</v>
      </c>
      <c r="D940" t="inlineStr">
        <is>
          <t>VÄSTERBOTTENS LÄN</t>
        </is>
      </c>
      <c r="E940" t="inlineStr">
        <is>
          <t>ÅSELE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24508-2026</t>
        </is>
      </c>
      <c r="B941" s="1" t="n">
        <v>46170.48659722223</v>
      </c>
      <c r="C941" s="1" t="n">
        <v>46181</v>
      </c>
      <c r="D941" t="inlineStr">
        <is>
          <t>VÄSTERBOTTENS LÄN</t>
        </is>
      </c>
      <c r="E941" t="inlineStr">
        <is>
          <t>ÅSELE</t>
        </is>
      </c>
      <c r="F941" t="inlineStr">
        <is>
          <t>SCA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24795-2026</t>
        </is>
      </c>
      <c r="B942" s="1" t="n">
        <v>46171.69878472222</v>
      </c>
      <c r="C942" s="1" t="n">
        <v>46181</v>
      </c>
      <c r="D942" t="inlineStr">
        <is>
          <t>VÄSTERBOTTENS LÄN</t>
        </is>
      </c>
      <c r="E942" t="inlineStr">
        <is>
          <t>ÅSELE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19184-2026</t>
        </is>
      </c>
      <c r="B943" s="1" t="n">
        <v>46132.59685185185</v>
      </c>
      <c r="C943" s="1" t="n">
        <v>46181</v>
      </c>
      <c r="D943" t="inlineStr">
        <is>
          <t>VÄSTERBOTTENS LÄN</t>
        </is>
      </c>
      <c r="E943" t="inlineStr">
        <is>
          <t>ÅSELE</t>
        </is>
      </c>
      <c r="F943" t="inlineStr">
        <is>
          <t>SCA</t>
        </is>
      </c>
      <c r="G943" t="n">
        <v>47.2</v>
      </c>
      <c r="H943" t="n">
        <v>0</v>
      </c>
      <c r="I943" t="n">
        <v>0</v>
      </c>
      <c r="J943" t="n">
        <v>0</v>
      </c>
      <c r="K943" t="n">
        <v>0</v>
      </c>
      <c r="L943" t="n">
        <v>0</v>
      </c>
      <c r="M943" t="n">
        <v>0</v>
      </c>
      <c r="N943" t="n">
        <v>0</v>
      </c>
      <c r="O943" t="n">
        <v>0</v>
      </c>
      <c r="P943" t="n">
        <v>0</v>
      </c>
      <c r="Q943" t="n">
        <v>0</v>
      </c>
      <c r="R943" s="2" t="inlineStr"/>
    </row>
    <row r="944" ht="15" customHeight="1">
      <c r="A944" t="inlineStr">
        <is>
          <t>A 36115-2024</t>
        </is>
      </c>
      <c r="B944" s="1" t="n">
        <v>45534.30681712963</v>
      </c>
      <c r="C944" s="1" t="n">
        <v>46181</v>
      </c>
      <c r="D944" t="inlineStr">
        <is>
          <t>VÄSTERBOTTENS LÄN</t>
        </is>
      </c>
      <c r="E944" t="inlineStr">
        <is>
          <t>ÅSELE</t>
        </is>
      </c>
      <c r="F944" t="inlineStr">
        <is>
          <t>Sveaskog</t>
        </is>
      </c>
      <c r="G944" t="n">
        <v>6.4</v>
      </c>
      <c r="H944" t="n">
        <v>0</v>
      </c>
      <c r="I944" t="n">
        <v>0</v>
      </c>
      <c r="J944" t="n">
        <v>0</v>
      </c>
      <c r="K944" t="n">
        <v>0</v>
      </c>
      <c r="L944" t="n">
        <v>0</v>
      </c>
      <c r="M944" t="n">
        <v>0</v>
      </c>
      <c r="N944" t="n">
        <v>0</v>
      </c>
      <c r="O944" t="n">
        <v>0</v>
      </c>
      <c r="P944" t="n">
        <v>0</v>
      </c>
      <c r="Q944" t="n">
        <v>0</v>
      </c>
      <c r="R944" s="2" t="inlineStr"/>
    </row>
    <row r="945" ht="15" customHeight="1">
      <c r="A945" t="inlineStr">
        <is>
          <t>A 42689-2024</t>
        </is>
      </c>
      <c r="B945" s="1" t="n">
        <v>45566.40032407407</v>
      </c>
      <c r="C945" s="1" t="n">
        <v>46181</v>
      </c>
      <c r="D945" t="inlineStr">
        <is>
          <t>VÄSTERBOTTENS LÄN</t>
        </is>
      </c>
      <c r="E945" t="inlineStr">
        <is>
          <t>ÅSELE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41408-2024</t>
        </is>
      </c>
      <c r="B946" s="1" t="n">
        <v>45560.34202546296</v>
      </c>
      <c r="C946" s="1" t="n">
        <v>46181</v>
      </c>
      <c r="D946" t="inlineStr">
        <is>
          <t>VÄSTERBOTTENS LÄN</t>
        </is>
      </c>
      <c r="E946" t="inlineStr">
        <is>
          <t>ÅSELE</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7498-2025</t>
        </is>
      </c>
      <c r="B947" s="1" t="n">
        <v>45705</v>
      </c>
      <c r="C947" s="1" t="n">
        <v>46181</v>
      </c>
      <c r="D947" t="inlineStr">
        <is>
          <t>VÄSTERBOTTENS LÄN</t>
        </is>
      </c>
      <c r="E947" t="inlineStr">
        <is>
          <t>ÅSELE</t>
        </is>
      </c>
      <c r="F947" t="inlineStr">
        <is>
          <t>Holmen skog AB</t>
        </is>
      </c>
      <c r="G947" t="n">
        <v>10.1</v>
      </c>
      <c r="H947" t="n">
        <v>0</v>
      </c>
      <c r="I947" t="n">
        <v>0</v>
      </c>
      <c r="J947" t="n">
        <v>0</v>
      </c>
      <c r="K947" t="n">
        <v>0</v>
      </c>
      <c r="L947" t="n">
        <v>0</v>
      </c>
      <c r="M947" t="n">
        <v>0</v>
      </c>
      <c r="N947" t="n">
        <v>0</v>
      </c>
      <c r="O947" t="n">
        <v>0</v>
      </c>
      <c r="P947" t="n">
        <v>0</v>
      </c>
      <c r="Q947" t="n">
        <v>0</v>
      </c>
      <c r="R947" s="2" t="inlineStr"/>
    </row>
    <row r="948" ht="15" customHeight="1">
      <c r="A948" t="inlineStr">
        <is>
          <t>A 35780-2023</t>
        </is>
      </c>
      <c r="B948" s="1" t="n">
        <v>45148.3397337963</v>
      </c>
      <c r="C948" s="1" t="n">
        <v>46181</v>
      </c>
      <c r="D948" t="inlineStr">
        <is>
          <t>VÄSTERBOTTENS LÄN</t>
        </is>
      </c>
      <c r="E948" t="inlineStr">
        <is>
          <t>ÅSELE</t>
        </is>
      </c>
      <c r="F948" t="inlineStr">
        <is>
          <t>Holmen skog AB</t>
        </is>
      </c>
      <c r="G948" t="n">
        <v>2.8</v>
      </c>
      <c r="H948" t="n">
        <v>0</v>
      </c>
      <c r="I948" t="n">
        <v>0</v>
      </c>
      <c r="J948" t="n">
        <v>0</v>
      </c>
      <c r="K948" t="n">
        <v>0</v>
      </c>
      <c r="L948" t="n">
        <v>0</v>
      </c>
      <c r="M948" t="n">
        <v>0</v>
      </c>
      <c r="N948" t="n">
        <v>0</v>
      </c>
      <c r="O948" t="n">
        <v>0</v>
      </c>
      <c r="P948" t="n">
        <v>0</v>
      </c>
      <c r="Q948" t="n">
        <v>0</v>
      </c>
      <c r="R948" s="2" t="inlineStr"/>
    </row>
    <row r="949" ht="15" customHeight="1">
      <c r="A949" t="inlineStr">
        <is>
          <t>A 5247-2024</t>
        </is>
      </c>
      <c r="B949" s="1" t="n">
        <v>45330.93173611111</v>
      </c>
      <c r="C949" s="1" t="n">
        <v>46181</v>
      </c>
      <c r="D949" t="inlineStr">
        <is>
          <t>VÄSTERBOTTENS LÄN</t>
        </is>
      </c>
      <c r="E949" t="inlineStr">
        <is>
          <t>ÅSELE</t>
        </is>
      </c>
      <c r="G949" t="n">
        <v>2.6</v>
      </c>
      <c r="H949" t="n">
        <v>0</v>
      </c>
      <c r="I949" t="n">
        <v>0</v>
      </c>
      <c r="J949" t="n">
        <v>0</v>
      </c>
      <c r="K949" t="n">
        <v>0</v>
      </c>
      <c r="L949" t="n">
        <v>0</v>
      </c>
      <c r="M949" t="n">
        <v>0</v>
      </c>
      <c r="N949" t="n">
        <v>0</v>
      </c>
      <c r="O949" t="n">
        <v>0</v>
      </c>
      <c r="P949" t="n">
        <v>0</v>
      </c>
      <c r="Q949" t="n">
        <v>0</v>
      </c>
      <c r="R949" s="2" t="inlineStr"/>
    </row>
    <row r="950" ht="15" customHeight="1">
      <c r="A950" t="inlineStr">
        <is>
          <t>A 19611-2026</t>
        </is>
      </c>
      <c r="B950" s="1" t="n">
        <v>46132</v>
      </c>
      <c r="C950" s="1" t="n">
        <v>46181</v>
      </c>
      <c r="D950" t="inlineStr">
        <is>
          <t>VÄSTERBOTTENS LÄN</t>
        </is>
      </c>
      <c r="E950" t="inlineStr">
        <is>
          <t>ÅSELE</t>
        </is>
      </c>
      <c r="G950" t="n">
        <v>4</v>
      </c>
      <c r="H950" t="n">
        <v>0</v>
      </c>
      <c r="I950" t="n">
        <v>0</v>
      </c>
      <c r="J950" t="n">
        <v>0</v>
      </c>
      <c r="K950" t="n">
        <v>0</v>
      </c>
      <c r="L950" t="n">
        <v>0</v>
      </c>
      <c r="M950" t="n">
        <v>0</v>
      </c>
      <c r="N950" t="n">
        <v>0</v>
      </c>
      <c r="O950" t="n">
        <v>0</v>
      </c>
      <c r="P950" t="n">
        <v>0</v>
      </c>
      <c r="Q950" t="n">
        <v>0</v>
      </c>
      <c r="R950" s="2" t="inlineStr"/>
    </row>
    <row r="951" ht="15" customHeight="1">
      <c r="A951" t="inlineStr">
        <is>
          <t>A 18731-2026</t>
        </is>
      </c>
      <c r="B951" s="1" t="n">
        <v>46128</v>
      </c>
      <c r="C951" s="1" t="n">
        <v>46181</v>
      </c>
      <c r="D951" t="inlineStr">
        <is>
          <t>VÄSTERBOTTENS LÄN</t>
        </is>
      </c>
      <c r="E951" t="inlineStr">
        <is>
          <t>ÅSELE</t>
        </is>
      </c>
      <c r="F951" t="inlineStr">
        <is>
          <t>SCA</t>
        </is>
      </c>
      <c r="G951" t="n">
        <v>13.6</v>
      </c>
      <c r="H951" t="n">
        <v>0</v>
      </c>
      <c r="I951" t="n">
        <v>0</v>
      </c>
      <c r="J951" t="n">
        <v>0</v>
      </c>
      <c r="K951" t="n">
        <v>0</v>
      </c>
      <c r="L951" t="n">
        <v>0</v>
      </c>
      <c r="M951" t="n">
        <v>0</v>
      </c>
      <c r="N951" t="n">
        <v>0</v>
      </c>
      <c r="O951" t="n">
        <v>0</v>
      </c>
      <c r="P951" t="n">
        <v>0</v>
      </c>
      <c r="Q951" t="n">
        <v>0</v>
      </c>
      <c r="R951" s="2" t="inlineStr"/>
    </row>
    <row r="952" ht="15" customHeight="1">
      <c r="A952" t="inlineStr">
        <is>
          <t>A 31475-2024</t>
        </is>
      </c>
      <c r="B952" s="1" t="n">
        <v>45505.95209490741</v>
      </c>
      <c r="C952" s="1" t="n">
        <v>46181</v>
      </c>
      <c r="D952" t="inlineStr">
        <is>
          <t>VÄSTERBOTTENS LÄN</t>
        </is>
      </c>
      <c r="E952" t="inlineStr">
        <is>
          <t>ÅSELE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19517-2026</t>
        </is>
      </c>
      <c r="B953" s="1" t="n">
        <v>46134.34476851852</v>
      </c>
      <c r="C953" s="1" t="n">
        <v>46181</v>
      </c>
      <c r="D953" t="inlineStr">
        <is>
          <t>VÄSTERBOTTENS LÄN</t>
        </is>
      </c>
      <c r="E953" t="inlineStr">
        <is>
          <t>ÅSELE</t>
        </is>
      </c>
      <c r="F953" t="inlineStr">
        <is>
          <t>SCA</t>
        </is>
      </c>
      <c r="G953" t="n">
        <v>22.5</v>
      </c>
      <c r="H953" t="n">
        <v>0</v>
      </c>
      <c r="I953" t="n">
        <v>0</v>
      </c>
      <c r="J953" t="n">
        <v>0</v>
      </c>
      <c r="K953" t="n">
        <v>0</v>
      </c>
      <c r="L953" t="n">
        <v>0</v>
      </c>
      <c r="M953" t="n">
        <v>0</v>
      </c>
      <c r="N953" t="n">
        <v>0</v>
      </c>
      <c r="O953" t="n">
        <v>0</v>
      </c>
      <c r="P953" t="n">
        <v>0</v>
      </c>
      <c r="Q953" t="n">
        <v>0</v>
      </c>
      <c r="R953" s="2" t="inlineStr"/>
    </row>
    <row r="954" ht="15" customHeight="1">
      <c r="A954" t="inlineStr">
        <is>
          <t>A 19518-2026</t>
        </is>
      </c>
      <c r="B954" s="1" t="n">
        <v>46134.34484953704</v>
      </c>
      <c r="C954" s="1" t="n">
        <v>46181</v>
      </c>
      <c r="D954" t="inlineStr">
        <is>
          <t>VÄSTERBOTTENS LÄN</t>
        </is>
      </c>
      <c r="E954" t="inlineStr">
        <is>
          <t>ÅSELE</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65038-2023</t>
        </is>
      </c>
      <c r="B955" s="1" t="n">
        <v>45282</v>
      </c>
      <c r="C955" s="1" t="n">
        <v>46181</v>
      </c>
      <c r="D955" t="inlineStr">
        <is>
          <t>VÄSTERBOTTENS LÄN</t>
        </is>
      </c>
      <c r="E955" t="inlineStr">
        <is>
          <t>ÅSELE</t>
        </is>
      </c>
      <c r="G955" t="n">
        <v>1</v>
      </c>
      <c r="H955" t="n">
        <v>0</v>
      </c>
      <c r="I955" t="n">
        <v>0</v>
      </c>
      <c r="J955" t="n">
        <v>0</v>
      </c>
      <c r="K955" t="n">
        <v>0</v>
      </c>
      <c r="L955" t="n">
        <v>0</v>
      </c>
      <c r="M955" t="n">
        <v>0</v>
      </c>
      <c r="N955" t="n">
        <v>0</v>
      </c>
      <c r="O955" t="n">
        <v>0</v>
      </c>
      <c r="P955" t="n">
        <v>0</v>
      </c>
      <c r="Q955" t="n">
        <v>0</v>
      </c>
      <c r="R955" s="2" t="inlineStr"/>
    </row>
    <row r="956" ht="15" customHeight="1">
      <c r="A956" t="inlineStr">
        <is>
          <t>A 32057-2024</t>
        </is>
      </c>
      <c r="B956" s="1" t="n">
        <v>45510</v>
      </c>
      <c r="C956" s="1" t="n">
        <v>46181</v>
      </c>
      <c r="D956" t="inlineStr">
        <is>
          <t>VÄSTERBOTTENS LÄN</t>
        </is>
      </c>
      <c r="E956" t="inlineStr">
        <is>
          <t>ÅSELE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33523-2021</t>
        </is>
      </c>
      <c r="B957" s="1" t="n">
        <v>44377.76381944444</v>
      </c>
      <c r="C957" s="1" t="n">
        <v>46181</v>
      </c>
      <c r="D957" t="inlineStr">
        <is>
          <t>VÄSTERBOTTENS LÄN</t>
        </is>
      </c>
      <c r="E957" t="inlineStr">
        <is>
          <t>ÅSELE</t>
        </is>
      </c>
      <c r="G957" t="n">
        <v>1.1</v>
      </c>
      <c r="H957" t="n">
        <v>0</v>
      </c>
      <c r="I957" t="n">
        <v>0</v>
      </c>
      <c r="J957" t="n">
        <v>0</v>
      </c>
      <c r="K957" t="n">
        <v>0</v>
      </c>
      <c r="L957" t="n">
        <v>0</v>
      </c>
      <c r="M957" t="n">
        <v>0</v>
      </c>
      <c r="N957" t="n">
        <v>0</v>
      </c>
      <c r="O957" t="n">
        <v>0</v>
      </c>
      <c r="P957" t="n">
        <v>0</v>
      </c>
      <c r="Q957" t="n">
        <v>0</v>
      </c>
      <c r="R957" s="2" t="inlineStr"/>
    </row>
    <row r="958" ht="15" customHeight="1">
      <c r="A958" t="inlineStr">
        <is>
          <t>A 26540-2022</t>
        </is>
      </c>
      <c r="B958" s="1" t="n">
        <v>44739</v>
      </c>
      <c r="C958" s="1" t="n">
        <v>46181</v>
      </c>
      <c r="D958" t="inlineStr">
        <is>
          <t>VÄSTERBOTTENS LÄN</t>
        </is>
      </c>
      <c r="E958" t="inlineStr">
        <is>
          <t>ÅSELE</t>
        </is>
      </c>
      <c r="G958" t="n">
        <v>10.8</v>
      </c>
      <c r="H958" t="n">
        <v>0</v>
      </c>
      <c r="I958" t="n">
        <v>0</v>
      </c>
      <c r="J958" t="n">
        <v>0</v>
      </c>
      <c r="K958" t="n">
        <v>0</v>
      </c>
      <c r="L958" t="n">
        <v>0</v>
      </c>
      <c r="M958" t="n">
        <v>0</v>
      </c>
      <c r="N958" t="n">
        <v>0</v>
      </c>
      <c r="O958" t="n">
        <v>0</v>
      </c>
      <c r="P958" t="n">
        <v>0</v>
      </c>
      <c r="Q958" t="n">
        <v>0</v>
      </c>
      <c r="R958" s="2" t="inlineStr"/>
    </row>
    <row r="959" ht="15" customHeight="1">
      <c r="A959" t="inlineStr">
        <is>
          <t>A 45298-2024</t>
        </is>
      </c>
      <c r="B959" s="1" t="n">
        <v>45576</v>
      </c>
      <c r="C959" s="1" t="n">
        <v>46181</v>
      </c>
      <c r="D959" t="inlineStr">
        <is>
          <t>VÄSTERBOTTENS LÄN</t>
        </is>
      </c>
      <c r="E959" t="inlineStr">
        <is>
          <t>ÅSELE</t>
        </is>
      </c>
      <c r="F959" t="inlineStr">
        <is>
          <t>Sveaskog</t>
        </is>
      </c>
      <c r="G959" t="n">
        <v>5.8</v>
      </c>
      <c r="H959" t="n">
        <v>0</v>
      </c>
      <c r="I959" t="n">
        <v>0</v>
      </c>
      <c r="J959" t="n">
        <v>0</v>
      </c>
      <c r="K959" t="n">
        <v>0</v>
      </c>
      <c r="L959" t="n">
        <v>0</v>
      </c>
      <c r="M959" t="n">
        <v>0</v>
      </c>
      <c r="N959" t="n">
        <v>0</v>
      </c>
      <c r="O959" t="n">
        <v>0</v>
      </c>
      <c r="P959" t="n">
        <v>0</v>
      </c>
      <c r="Q959" t="n">
        <v>0</v>
      </c>
      <c r="R959" s="2" t="inlineStr"/>
    </row>
    <row r="960" ht="15" customHeight="1">
      <c r="A960" t="inlineStr">
        <is>
          <t>A 25379-2026</t>
        </is>
      </c>
      <c r="B960" s="1" t="n">
        <v>46174</v>
      </c>
      <c r="C960" s="1" t="n">
        <v>46181</v>
      </c>
      <c r="D960" t="inlineStr">
        <is>
          <t>VÄSTERBOTTENS LÄN</t>
        </is>
      </c>
      <c r="E960" t="inlineStr">
        <is>
          <t>ÅSELE</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25391-2026</t>
        </is>
      </c>
      <c r="B961" s="1" t="n">
        <v>46174</v>
      </c>
      <c r="C961" s="1" t="n">
        <v>46181</v>
      </c>
      <c r="D961" t="inlineStr">
        <is>
          <t>VÄSTERBOTTENS LÄN</t>
        </is>
      </c>
      <c r="E961" t="inlineStr">
        <is>
          <t>ÅSELE</t>
        </is>
      </c>
      <c r="G961" t="n">
        <v>7.2</v>
      </c>
      <c r="H961" t="n">
        <v>0</v>
      </c>
      <c r="I961" t="n">
        <v>0</v>
      </c>
      <c r="J961" t="n">
        <v>0</v>
      </c>
      <c r="K961" t="n">
        <v>0</v>
      </c>
      <c r="L961" t="n">
        <v>0</v>
      </c>
      <c r="M961" t="n">
        <v>0</v>
      </c>
      <c r="N961" t="n">
        <v>0</v>
      </c>
      <c r="O961" t="n">
        <v>0</v>
      </c>
      <c r="P961" t="n">
        <v>0</v>
      </c>
      <c r="Q961" t="n">
        <v>0</v>
      </c>
      <c r="R961" s="2" t="inlineStr"/>
    </row>
    <row r="962" ht="15" customHeight="1">
      <c r="A962" t="inlineStr">
        <is>
          <t>A 25569-2024</t>
        </is>
      </c>
      <c r="B962" s="1" t="n">
        <v>45463.58702546296</v>
      </c>
      <c r="C962" s="1" t="n">
        <v>46181</v>
      </c>
      <c r="D962" t="inlineStr">
        <is>
          <t>VÄSTERBOTTENS LÄN</t>
        </is>
      </c>
      <c r="E962" t="inlineStr">
        <is>
          <t>ÅSELE</t>
        </is>
      </c>
      <c r="F962" t="inlineStr">
        <is>
          <t>Sveaskog</t>
        </is>
      </c>
      <c r="G962" t="n">
        <v>28.7</v>
      </c>
      <c r="H962" t="n">
        <v>0</v>
      </c>
      <c r="I962" t="n">
        <v>0</v>
      </c>
      <c r="J962" t="n">
        <v>0</v>
      </c>
      <c r="K962" t="n">
        <v>0</v>
      </c>
      <c r="L962" t="n">
        <v>0</v>
      </c>
      <c r="M962" t="n">
        <v>0</v>
      </c>
      <c r="N962" t="n">
        <v>0</v>
      </c>
      <c r="O962" t="n">
        <v>0</v>
      </c>
      <c r="P962" t="n">
        <v>0</v>
      </c>
      <c r="Q962" t="n">
        <v>0</v>
      </c>
      <c r="R962" s="2" t="inlineStr"/>
    </row>
    <row r="963" ht="15" customHeight="1">
      <c r="A963" t="inlineStr">
        <is>
          <t>A 33012-2023</t>
        </is>
      </c>
      <c r="B963" s="1" t="n">
        <v>45113</v>
      </c>
      <c r="C963" s="1" t="n">
        <v>46181</v>
      </c>
      <c r="D963" t="inlineStr">
        <is>
          <t>VÄSTERBOTTENS LÄN</t>
        </is>
      </c>
      <c r="E963" t="inlineStr">
        <is>
          <t>ÅSELE</t>
        </is>
      </c>
      <c r="G963" t="n">
        <v>6.3</v>
      </c>
      <c r="H963" t="n">
        <v>0</v>
      </c>
      <c r="I963" t="n">
        <v>0</v>
      </c>
      <c r="J963" t="n">
        <v>0</v>
      </c>
      <c r="K963" t="n">
        <v>0</v>
      </c>
      <c r="L963" t="n">
        <v>0</v>
      </c>
      <c r="M963" t="n">
        <v>0</v>
      </c>
      <c r="N963" t="n">
        <v>0</v>
      </c>
      <c r="O963" t="n">
        <v>0</v>
      </c>
      <c r="P963" t="n">
        <v>0</v>
      </c>
      <c r="Q963" t="n">
        <v>0</v>
      </c>
      <c r="R963" s="2" t="inlineStr"/>
    </row>
    <row r="964" ht="15" customHeight="1">
      <c r="A964" t="inlineStr">
        <is>
          <t>A 1872-2023</t>
        </is>
      </c>
      <c r="B964" s="1" t="n">
        <v>44938.93849537037</v>
      </c>
      <c r="C964" s="1" t="n">
        <v>46181</v>
      </c>
      <c r="D964" t="inlineStr">
        <is>
          <t>VÄSTERBOTTENS LÄN</t>
        </is>
      </c>
      <c r="E964" t="inlineStr">
        <is>
          <t>ÅSELE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45477-2024</t>
        </is>
      </c>
      <c r="B965" s="1" t="n">
        <v>45576.83114583333</v>
      </c>
      <c r="C965" s="1" t="n">
        <v>46181</v>
      </c>
      <c r="D965" t="inlineStr">
        <is>
          <t>VÄSTERBOTTENS LÄN</t>
        </is>
      </c>
      <c r="E965" t="inlineStr">
        <is>
          <t>ÅSELE</t>
        </is>
      </c>
      <c r="F965" t="inlineStr">
        <is>
          <t>Sveaskog</t>
        </is>
      </c>
      <c r="G965" t="n">
        <v>5.2</v>
      </c>
      <c r="H965" t="n">
        <v>0</v>
      </c>
      <c r="I965" t="n">
        <v>0</v>
      </c>
      <c r="J965" t="n">
        <v>0</v>
      </c>
      <c r="K965" t="n">
        <v>0</v>
      </c>
      <c r="L965" t="n">
        <v>0</v>
      </c>
      <c r="M965" t="n">
        <v>0</v>
      </c>
      <c r="N965" t="n">
        <v>0</v>
      </c>
      <c r="O965" t="n">
        <v>0</v>
      </c>
      <c r="P965" t="n">
        <v>0</v>
      </c>
      <c r="Q965" t="n">
        <v>0</v>
      </c>
      <c r="R965" s="2" t="inlineStr"/>
    </row>
    <row r="966" ht="15" customHeight="1">
      <c r="A966" t="inlineStr">
        <is>
          <t>A 43048-2024</t>
        </is>
      </c>
      <c r="B966" s="1" t="n">
        <v>45567</v>
      </c>
      <c r="C966" s="1" t="n">
        <v>46181</v>
      </c>
      <c r="D966" t="inlineStr">
        <is>
          <t>VÄSTERBOTTENS LÄN</t>
        </is>
      </c>
      <c r="E966" t="inlineStr">
        <is>
          <t>ÅSELE</t>
        </is>
      </c>
      <c r="G966" t="n">
        <v>4.8</v>
      </c>
      <c r="H966" t="n">
        <v>0</v>
      </c>
      <c r="I966" t="n">
        <v>0</v>
      </c>
      <c r="J966" t="n">
        <v>0</v>
      </c>
      <c r="K966" t="n">
        <v>0</v>
      </c>
      <c r="L966" t="n">
        <v>0</v>
      </c>
      <c r="M966" t="n">
        <v>0</v>
      </c>
      <c r="N966" t="n">
        <v>0</v>
      </c>
      <c r="O966" t="n">
        <v>0</v>
      </c>
      <c r="P966" t="n">
        <v>0</v>
      </c>
      <c r="Q966" t="n">
        <v>0</v>
      </c>
      <c r="R966" s="2" t="inlineStr"/>
    </row>
    <row r="967" ht="15" customHeight="1">
      <c r="A967" t="inlineStr">
        <is>
          <t>A 70186-2021</t>
        </is>
      </c>
      <c r="B967" s="1" t="n">
        <v>44533.94483796296</v>
      </c>
      <c r="C967" s="1" t="n">
        <v>46181</v>
      </c>
      <c r="D967" t="inlineStr">
        <is>
          <t>VÄSTERBOTTENS LÄN</t>
        </is>
      </c>
      <c r="E967" t="inlineStr">
        <is>
          <t>ÅSELE</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25558-2024</t>
        </is>
      </c>
      <c r="B968" s="1" t="n">
        <v>45463.58045138889</v>
      </c>
      <c r="C968" s="1" t="n">
        <v>46181</v>
      </c>
      <c r="D968" t="inlineStr">
        <is>
          <t>VÄSTERBOTTENS LÄN</t>
        </is>
      </c>
      <c r="E968" t="inlineStr">
        <is>
          <t>ÅSELE</t>
        </is>
      </c>
      <c r="F968" t="inlineStr">
        <is>
          <t>Sveaskog</t>
        </is>
      </c>
      <c r="G968" t="n">
        <v>18.1</v>
      </c>
      <c r="H968" t="n">
        <v>0</v>
      </c>
      <c r="I968" t="n">
        <v>0</v>
      </c>
      <c r="J968" t="n">
        <v>0</v>
      </c>
      <c r="K968" t="n">
        <v>0</v>
      </c>
      <c r="L968" t="n">
        <v>0</v>
      </c>
      <c r="M968" t="n">
        <v>0</v>
      </c>
      <c r="N968" t="n">
        <v>0</v>
      </c>
      <c r="O968" t="n">
        <v>0</v>
      </c>
      <c r="P968" t="n">
        <v>0</v>
      </c>
      <c r="Q968" t="n">
        <v>0</v>
      </c>
      <c r="R968" s="2" t="inlineStr"/>
    </row>
    <row r="969" ht="15" customHeight="1">
      <c r="A969" t="inlineStr">
        <is>
          <t>A 2609-2024</t>
        </is>
      </c>
      <c r="B969" s="1" t="n">
        <v>45313</v>
      </c>
      <c r="C969" s="1" t="n">
        <v>46181</v>
      </c>
      <c r="D969" t="inlineStr">
        <is>
          <t>VÄSTERBOTTENS LÄN</t>
        </is>
      </c>
      <c r="E969" t="inlineStr">
        <is>
          <t>ÅSELE</t>
        </is>
      </c>
      <c r="F969" t="inlineStr">
        <is>
          <t>Övriga Aktiebolag</t>
        </is>
      </c>
      <c r="G969" t="n">
        <v>5.5</v>
      </c>
      <c r="H969" t="n">
        <v>0</v>
      </c>
      <c r="I969" t="n">
        <v>0</v>
      </c>
      <c r="J969" t="n">
        <v>0</v>
      </c>
      <c r="K969" t="n">
        <v>0</v>
      </c>
      <c r="L969" t="n">
        <v>0</v>
      </c>
      <c r="M969" t="n">
        <v>0</v>
      </c>
      <c r="N969" t="n">
        <v>0</v>
      </c>
      <c r="O969" t="n">
        <v>0</v>
      </c>
      <c r="P969" t="n">
        <v>0</v>
      </c>
      <c r="Q969" t="n">
        <v>0</v>
      </c>
      <c r="R969" s="2" t="inlineStr"/>
    </row>
    <row r="970" ht="15" customHeight="1">
      <c r="A970" t="inlineStr">
        <is>
          <t>A 48248-2024</t>
        </is>
      </c>
      <c r="B970" s="1" t="n">
        <v>45590.40659722222</v>
      </c>
      <c r="C970" s="1" t="n">
        <v>46181</v>
      </c>
      <c r="D970" t="inlineStr">
        <is>
          <t>VÄSTERBOTTENS LÄN</t>
        </is>
      </c>
      <c r="E970" t="inlineStr">
        <is>
          <t>ÅSELE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36880-2023</t>
        </is>
      </c>
      <c r="B971" s="1" t="n">
        <v>45154.58393518518</v>
      </c>
      <c r="C971" s="1" t="n">
        <v>46181</v>
      </c>
      <c r="D971" t="inlineStr">
        <is>
          <t>VÄSTERBOTTENS LÄN</t>
        </is>
      </c>
      <c r="E971" t="inlineStr">
        <is>
          <t>ÅSELE</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13879-2025</t>
        </is>
      </c>
      <c r="B972" s="1" t="n">
        <v>45737</v>
      </c>
      <c r="C972" s="1" t="n">
        <v>46181</v>
      </c>
      <c r="D972" t="inlineStr">
        <is>
          <t>VÄSTERBOTTENS LÄN</t>
        </is>
      </c>
      <c r="E972" t="inlineStr">
        <is>
          <t>ÅSELE</t>
        </is>
      </c>
      <c r="F972" t="inlineStr">
        <is>
          <t>SCA</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28697-2024</t>
        </is>
      </c>
      <c r="B973" s="1" t="n">
        <v>45478</v>
      </c>
      <c r="C973" s="1" t="n">
        <v>46181</v>
      </c>
      <c r="D973" t="inlineStr">
        <is>
          <t>VÄSTERBOTTENS LÄN</t>
        </is>
      </c>
      <c r="E973" t="inlineStr">
        <is>
          <t>ÅSELE</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21095-2025</t>
        </is>
      </c>
      <c r="B974" s="1" t="n">
        <v>45777.63572916666</v>
      </c>
      <c r="C974" s="1" t="n">
        <v>46181</v>
      </c>
      <c r="D974" t="inlineStr">
        <is>
          <t>VÄSTERBOTTENS LÄN</t>
        </is>
      </c>
      <c r="E974" t="inlineStr">
        <is>
          <t>ÅSELE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50030-2024</t>
        </is>
      </c>
      <c r="B975" s="1" t="n">
        <v>45599.74957175926</v>
      </c>
      <c r="C975" s="1" t="n">
        <v>46181</v>
      </c>
      <c r="D975" t="inlineStr">
        <is>
          <t>VÄSTERBOTTENS LÄN</t>
        </is>
      </c>
      <c r="E975" t="inlineStr">
        <is>
          <t>ÅSELE</t>
        </is>
      </c>
      <c r="G975" t="n">
        <v>4.4</v>
      </c>
      <c r="H975" t="n">
        <v>0</v>
      </c>
      <c r="I975" t="n">
        <v>0</v>
      </c>
      <c r="J975" t="n">
        <v>0</v>
      </c>
      <c r="K975" t="n">
        <v>0</v>
      </c>
      <c r="L975" t="n">
        <v>0</v>
      </c>
      <c r="M975" t="n">
        <v>0</v>
      </c>
      <c r="N975" t="n">
        <v>0</v>
      </c>
      <c r="O975" t="n">
        <v>0</v>
      </c>
      <c r="P975" t="n">
        <v>0</v>
      </c>
      <c r="Q975" t="n">
        <v>0</v>
      </c>
      <c r="R975" s="2" t="inlineStr"/>
    </row>
    <row r="976" ht="15" customHeight="1">
      <c r="A976" t="inlineStr">
        <is>
          <t>A 21219-2025</t>
        </is>
      </c>
      <c r="B976" s="1" t="n">
        <v>45779.4949537037</v>
      </c>
      <c r="C976" s="1" t="n">
        <v>46181</v>
      </c>
      <c r="D976" t="inlineStr">
        <is>
          <t>VÄSTERBOTTENS LÄN</t>
        </is>
      </c>
      <c r="E976" t="inlineStr">
        <is>
          <t>ÅSELE</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10772-2023</t>
        </is>
      </c>
      <c r="B977" s="1" t="n">
        <v>44988.93965277778</v>
      </c>
      <c r="C977" s="1" t="n">
        <v>46181</v>
      </c>
      <c r="D977" t="inlineStr">
        <is>
          <t>VÄSTERBOTTENS LÄN</t>
        </is>
      </c>
      <c r="E977" t="inlineStr">
        <is>
          <t>ÅSELE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22486-2025</t>
        </is>
      </c>
      <c r="B978" s="1" t="n">
        <v>45786.64646990741</v>
      </c>
      <c r="C978" s="1" t="n">
        <v>46181</v>
      </c>
      <c r="D978" t="inlineStr">
        <is>
          <t>VÄSTERBOTTENS LÄN</t>
        </is>
      </c>
      <c r="E978" t="inlineStr">
        <is>
          <t>ÅSELE</t>
        </is>
      </c>
      <c r="F978" t="inlineStr">
        <is>
          <t>Holmen skog AB</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22144-2025</t>
        </is>
      </c>
      <c r="B979" s="1" t="n">
        <v>45785.55258101852</v>
      </c>
      <c r="C979" s="1" t="n">
        <v>46181</v>
      </c>
      <c r="D979" t="inlineStr">
        <is>
          <t>VÄSTERBOTTENS LÄN</t>
        </is>
      </c>
      <c r="E979" t="inlineStr">
        <is>
          <t>ÅSELE</t>
        </is>
      </c>
      <c r="G979" t="n">
        <v>8.4</v>
      </c>
      <c r="H979" t="n">
        <v>0</v>
      </c>
      <c r="I979" t="n">
        <v>0</v>
      </c>
      <c r="J979" t="n">
        <v>0</v>
      </c>
      <c r="K979" t="n">
        <v>0</v>
      </c>
      <c r="L979" t="n">
        <v>0</v>
      </c>
      <c r="M979" t="n">
        <v>0</v>
      </c>
      <c r="N979" t="n">
        <v>0</v>
      </c>
      <c r="O979" t="n">
        <v>0</v>
      </c>
      <c r="P979" t="n">
        <v>0</v>
      </c>
      <c r="Q979" t="n">
        <v>0</v>
      </c>
      <c r="R979" s="2" t="inlineStr"/>
    </row>
    <row r="980" ht="15" customHeight="1">
      <c r="A980" t="inlineStr">
        <is>
          <t>A 25918-2026</t>
        </is>
      </c>
      <c r="B980" s="1" t="n">
        <v>46178.74909722222</v>
      </c>
      <c r="C980" s="1" t="n">
        <v>46181</v>
      </c>
      <c r="D980" t="inlineStr">
        <is>
          <t>VÄSTERBOTTENS LÄN</t>
        </is>
      </c>
      <c r="E980" t="inlineStr">
        <is>
          <t>ÅSELE</t>
        </is>
      </c>
      <c r="F980" t="inlineStr">
        <is>
          <t>Sveaskog</t>
        </is>
      </c>
      <c r="G980" t="n">
        <v>8.6</v>
      </c>
      <c r="H980" t="n">
        <v>0</v>
      </c>
      <c r="I980" t="n">
        <v>0</v>
      </c>
      <c r="J980" t="n">
        <v>0</v>
      </c>
      <c r="K980" t="n">
        <v>0</v>
      </c>
      <c r="L980" t="n">
        <v>0</v>
      </c>
      <c r="M980" t="n">
        <v>0</v>
      </c>
      <c r="N980" t="n">
        <v>0</v>
      </c>
      <c r="O980" t="n">
        <v>0</v>
      </c>
      <c r="P980" t="n">
        <v>0</v>
      </c>
      <c r="Q980" t="n">
        <v>0</v>
      </c>
      <c r="R980" s="2" t="inlineStr"/>
    </row>
    <row r="981" ht="15" customHeight="1">
      <c r="A981" t="inlineStr">
        <is>
          <t>A 23170-2025</t>
        </is>
      </c>
      <c r="B981" s="1" t="n">
        <v>45791.42770833334</v>
      </c>
      <c r="C981" s="1" t="n">
        <v>46181</v>
      </c>
      <c r="D981" t="inlineStr">
        <is>
          <t>VÄSTERBOTTENS LÄN</t>
        </is>
      </c>
      <c r="E981" t="inlineStr">
        <is>
          <t>ÅSELE</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23824-2025</t>
        </is>
      </c>
      <c r="B982" s="1" t="n">
        <v>45793.59431712963</v>
      </c>
      <c r="C982" s="1" t="n">
        <v>46181</v>
      </c>
      <c r="D982" t="inlineStr">
        <is>
          <t>VÄSTERBOTTENS LÄN</t>
        </is>
      </c>
      <c r="E982" t="inlineStr">
        <is>
          <t>ÅSELE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20617-2024</t>
        </is>
      </c>
      <c r="B983" s="1" t="n">
        <v>45436</v>
      </c>
      <c r="C983" s="1" t="n">
        <v>46181</v>
      </c>
      <c r="D983" t="inlineStr">
        <is>
          <t>VÄSTERBOTTENS LÄN</t>
        </is>
      </c>
      <c r="E983" t="inlineStr">
        <is>
          <t>ÅSELE</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19962-2026</t>
        </is>
      </c>
      <c r="B984" s="1" t="n">
        <v>46136.42106481481</v>
      </c>
      <c r="C984" s="1" t="n">
        <v>46181</v>
      </c>
      <c r="D984" t="inlineStr">
        <is>
          <t>VÄSTERBOTTENS LÄN</t>
        </is>
      </c>
      <c r="E984" t="inlineStr">
        <is>
          <t>ÅSELE</t>
        </is>
      </c>
      <c r="G984" t="n">
        <v>1.7</v>
      </c>
      <c r="H984" t="n">
        <v>0</v>
      </c>
      <c r="I984" t="n">
        <v>0</v>
      </c>
      <c r="J984" t="n">
        <v>0</v>
      </c>
      <c r="K984" t="n">
        <v>0</v>
      </c>
      <c r="L984" t="n">
        <v>0</v>
      </c>
      <c r="M984" t="n">
        <v>0</v>
      </c>
      <c r="N984" t="n">
        <v>0</v>
      </c>
      <c r="O984" t="n">
        <v>0</v>
      </c>
      <c r="P984" t="n">
        <v>0</v>
      </c>
      <c r="Q984" t="n">
        <v>0</v>
      </c>
      <c r="R984" s="2" t="inlineStr"/>
    </row>
    <row r="985">
      <c r="A985" t="inlineStr">
        <is>
          <t>A 19979-2026</t>
        </is>
      </c>
      <c r="B985" s="1" t="n">
        <v>46136.44616898148</v>
      </c>
      <c r="C985" s="1" t="n">
        <v>46181</v>
      </c>
      <c r="D985" t="inlineStr">
        <is>
          <t>VÄSTERBOTTENS LÄN</t>
        </is>
      </c>
      <c r="E985" t="inlineStr">
        <is>
          <t>ÅSELE</t>
        </is>
      </c>
      <c r="G985" t="n">
        <v>6.5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2026-06-08T10:37:28Z</dcterms:created>
  <dcterms:modified xmlns:dcterms="http://purl.org/dc/terms/" xmlns:xsi="http://www.w3.org/2001/XMLSchema-instance" xsi:type="dcterms:W3CDTF">2026-06-08T10:37:29Z</dcterms:modified>
</cp:coreProperties>
</file>