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45754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45754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45754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45754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45754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45754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28882-2024</t>
        </is>
      </c>
      <c r="B8" s="1" t="n">
        <v>45479</v>
      </c>
      <c r="C8" s="1" t="n">
        <v>45754</v>
      </c>
      <c r="D8" t="inlineStr">
        <is>
          <t>VÄSTERBOTTENS LÄN</t>
        </is>
      </c>
      <c r="E8" t="inlineStr">
        <is>
          <t>ÅSELE</t>
        </is>
      </c>
      <c r="G8" t="n">
        <v>12.8</v>
      </c>
      <c r="H8" t="n">
        <v>0</v>
      </c>
      <c r="I8" t="n">
        <v>0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9</v>
      </c>
      <c r="R8" s="2" t="inlineStr">
        <is>
          <t>Gräddporing
Gammelgransskål
Garnlav
Granticka
Knottrig blåslav
Kolflarnlav
Lunglav
Tallticka
Vitskaftad svartspik</t>
        </is>
      </c>
      <c r="S8">
        <f>HYPERLINK("https://klasma.github.io/Logging_2463/artfynd/A 28882-2024 artfynd.xlsx", "A 28882-2024")</f>
        <v/>
      </c>
      <c r="T8">
        <f>HYPERLINK("https://klasma.github.io/Logging_2463/kartor/A 28882-2024 karta.png", "A 28882-2024")</f>
        <v/>
      </c>
      <c r="V8">
        <f>HYPERLINK("https://klasma.github.io/Logging_2463/klagomål/A 28882-2024 FSC-klagomål.docx", "A 28882-2024")</f>
        <v/>
      </c>
      <c r="W8">
        <f>HYPERLINK("https://klasma.github.io/Logging_2463/klagomålsmail/A 28882-2024 FSC-klagomål mail.docx", "A 28882-2024")</f>
        <v/>
      </c>
      <c r="X8">
        <f>HYPERLINK("https://klasma.github.io/Logging_2463/tillsyn/A 28882-2024 tillsynsbegäran.docx", "A 28882-2024")</f>
        <v/>
      </c>
      <c r="Y8">
        <f>HYPERLINK("https://klasma.github.io/Logging_2463/tillsynsmail/A 28882-2024 tillsynsbegäran mail.docx", "A 28882-2024")</f>
        <v/>
      </c>
    </row>
    <row r="9" ht="15" customHeight="1">
      <c r="A9" t="inlineStr">
        <is>
          <t>A 48369-2023</t>
        </is>
      </c>
      <c r="B9" s="1" t="n">
        <v>45201</v>
      </c>
      <c r="C9" s="1" t="n">
        <v>45754</v>
      </c>
      <c r="D9" t="inlineStr">
        <is>
          <t>VÄSTERBOTTENS LÄN</t>
        </is>
      </c>
      <c r="E9" t="inlineStr">
        <is>
          <t>ÅSELE</t>
        </is>
      </c>
      <c r="G9" t="n">
        <v>2.4</v>
      </c>
      <c r="H9" t="n">
        <v>1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8</v>
      </c>
      <c r="R9" s="2" t="inlineStr">
        <is>
          <t>Doftskinn
Gammelgransskål
Garnlav
Granticka
Talltita
Äggvaxskivling
Stuplav
Vedticka</t>
        </is>
      </c>
      <c r="S9">
        <f>HYPERLINK("https://klasma.github.io/Logging_2463/artfynd/A 48369-2023 artfynd.xlsx", "A 48369-2023")</f>
        <v/>
      </c>
      <c r="T9">
        <f>HYPERLINK("https://klasma.github.io/Logging_2463/kartor/A 48369-2023 karta.png", "A 48369-2023")</f>
        <v/>
      </c>
      <c r="V9">
        <f>HYPERLINK("https://klasma.github.io/Logging_2463/klagomål/A 48369-2023 FSC-klagomål.docx", "A 48369-2023")</f>
        <v/>
      </c>
      <c r="W9">
        <f>HYPERLINK("https://klasma.github.io/Logging_2463/klagomålsmail/A 48369-2023 FSC-klagomål mail.docx", "A 48369-2023")</f>
        <v/>
      </c>
      <c r="X9">
        <f>HYPERLINK("https://klasma.github.io/Logging_2463/tillsyn/A 48369-2023 tillsynsbegäran.docx", "A 48369-2023")</f>
        <v/>
      </c>
      <c r="Y9">
        <f>HYPERLINK("https://klasma.github.io/Logging_2463/tillsynsmail/A 48369-2023 tillsynsbegäran mail.docx", "A 48369-2023")</f>
        <v/>
      </c>
      <c r="Z9">
        <f>HYPERLINK("https://klasma.github.io/Logging_2463/fåglar/A 48369-2023 prioriterade fågelarter.docx", "A 48369-2023")</f>
        <v/>
      </c>
    </row>
    <row r="10" ht="15" customHeight="1">
      <c r="A10" t="inlineStr">
        <is>
          <t>A 25633-2024</t>
        </is>
      </c>
      <c r="B10" s="1" t="n">
        <v>45463</v>
      </c>
      <c r="C10" s="1" t="n">
        <v>45754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11.6</v>
      </c>
      <c r="H10" t="n">
        <v>0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Smalfotad taggsvamp
Blågrå svartspik
Gammelgransskål
Garnlav
Kolflarnlav
Mörk kolflarnlav
Vedskivlav
Dropptaggsvamp</t>
        </is>
      </c>
      <c r="S10">
        <f>HYPERLINK("https://klasma.github.io/Logging_2463/artfynd/A 25633-2024 artfynd.xlsx", "A 25633-2024")</f>
        <v/>
      </c>
      <c r="T10">
        <f>HYPERLINK("https://klasma.github.io/Logging_2463/kartor/A 25633-2024 karta.png", "A 25633-2024")</f>
        <v/>
      </c>
      <c r="V10">
        <f>HYPERLINK("https://klasma.github.io/Logging_2463/klagomål/A 25633-2024 FSC-klagomål.docx", "A 25633-2024")</f>
        <v/>
      </c>
      <c r="W10">
        <f>HYPERLINK("https://klasma.github.io/Logging_2463/klagomålsmail/A 25633-2024 FSC-klagomål mail.docx", "A 25633-2024")</f>
        <v/>
      </c>
      <c r="X10">
        <f>HYPERLINK("https://klasma.github.io/Logging_2463/tillsyn/A 25633-2024 tillsynsbegäran.docx", "A 25633-2024")</f>
        <v/>
      </c>
      <c r="Y10">
        <f>HYPERLINK("https://klasma.github.io/Logging_2463/tillsynsmail/A 25633-2024 tillsynsbegäran mail.docx", "A 25633-2024")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45754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45754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45754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45754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45754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45754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45754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45754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45754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45754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45754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45754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45754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45754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45754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45754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45754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45754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45754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45754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45754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45754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45754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45754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45754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45754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45754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45754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45754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45754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45754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45754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45754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45754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45754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45754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45754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45754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45754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45754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45754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45754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45754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45754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45754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45754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45754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45754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45754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45754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45754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45754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45754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45754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45754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45754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45754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45754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45754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45754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45754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45754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45754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45754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45754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45754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45754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45754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HYPERLINK("https://klasma.github.io/Logging_242463/artfynd/A 10721-2025 artfynd.xlsx", "A 10721-2025")</f>
        <v/>
      </c>
      <c r="T78">
        <f>HYPERLINK("https://klasma.github.io/Logging_242463/kartor/A 10721-2025 karta.png", "A 10721-2025")</f>
        <v/>
      </c>
      <c r="V78">
        <f>HYPERLINK("https://klasma.github.io/Logging_242463/klagomål/A 10721-2025 FSC-klagomål.docx", "A 10721-2025")</f>
        <v/>
      </c>
      <c r="W78">
        <f>HYPERLINK("https://klasma.github.io/Logging_242463/klagomålsmail/A 10721-2025 FSC-klagomål mail.docx", "A 10721-2025")</f>
        <v/>
      </c>
      <c r="X78">
        <f>HYPERLINK("https://klasma.github.io/Logging_242463/tillsyn/A 10721-2025 tillsynsbegäran.docx", "A 10721-2025")</f>
        <v/>
      </c>
      <c r="Y78">
        <f>HYPERLINK("https://klasma.github.io/Logging_242463/tillsynsmail/A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45754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45754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45754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45754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45754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45754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45754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45754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45754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45754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45754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45754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45754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45754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45754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45754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45754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45754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45754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45754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45754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45754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45754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45754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45754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45754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45754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45754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45754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45754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45754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45754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45754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45754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45754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45754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45754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45754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45754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45754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45754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45754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45754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45754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45754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45754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45754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45754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45754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45754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45754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45754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45754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45754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45754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45754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45754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45754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45754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45754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45754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45754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45754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45754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45754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45754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45754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45754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45754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45754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45754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45754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45754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45754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45754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45754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45754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45754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45754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45754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45754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45754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45754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45754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45754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45754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45754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45754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45754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45754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45754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45754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45754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45754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45754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45754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45754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45754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45754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45754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45754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45754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45754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45754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45754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45754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45754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45754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45754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45754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45754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45754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45754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45754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45754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45754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45754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45754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45754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45754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45754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45754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45754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45754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45754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45754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45754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45754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45754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45754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45754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45754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45754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45754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45754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45754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45754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45754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45754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45754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45754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45754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45754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45754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45754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45754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45754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45754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45754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45754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45754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45754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45754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45754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45754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45754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45754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45754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45754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45754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45754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45754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45754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45754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45754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45754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45754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45754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45754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45754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45754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45754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45754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45754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45754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45754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45754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45754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45754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45754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45754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45754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45754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45754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45754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45754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45754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45754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45754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45754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45754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45754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45754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45754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45754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45754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45754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45754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45754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45754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45754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45754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45754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45754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45754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45754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45754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45754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45754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45754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45754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45754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45754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45754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45754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45754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45754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45754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45754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45754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45754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45754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45754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45754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45754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45754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45754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45754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45754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45754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45754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45754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45754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45754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45754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45754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45754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45754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45754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45754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45754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45754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45754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45754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45754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45754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45754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45754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45754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45754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45754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45754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45754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45754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45754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45754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45754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45754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45754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45754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45754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45754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45754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45754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45754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45754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45754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45754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45754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45754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45754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45754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45754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45754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45754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45754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45754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45754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45754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45754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45754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45754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45754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45754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45754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45754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45754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45754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45754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45754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45754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45754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45754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45754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45754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45754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45754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45754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45754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45754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45754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45754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45754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45754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45754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45754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45754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45754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45754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45754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45754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45754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45754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45754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45754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45754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45754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45754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45754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45754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45754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45754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45754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45754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45754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45754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45754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45754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45754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45754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45754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45754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45754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45754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45754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45754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45754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45754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45754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45754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45754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45754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45754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45754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45754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45754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45754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45754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45754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45754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45754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45754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45754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45754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45754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45754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45754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45754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45754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45754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45754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45754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45754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45754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45754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45754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45754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45754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45754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45754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45754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45754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45754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45754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45754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45754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45754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45754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45754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45754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45754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45754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45754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45754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45754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45754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45754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45754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45754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45754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45754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45754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45754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45754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45754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45754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45754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45754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45754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45754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45754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45754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45754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45754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45754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45754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45754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45754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45754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45754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45754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45754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45754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45754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45754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45754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45754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45754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45754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45754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45754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45754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45754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45754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45754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45754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45754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45754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45754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45754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45754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45754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45754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45754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45754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45754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45754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45754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45754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45754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45754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45754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45754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45754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45754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45754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45754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45754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45754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45754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45754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45754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45754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45754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45754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45754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45754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45754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45754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45754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45754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45754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45754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45754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45754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45754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45754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45754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45754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45754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45754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45754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45754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45754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45754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45754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45754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45754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45754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45754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45754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45754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45754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45754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45754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45754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45754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45754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45754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45754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45754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45754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45754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45754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45754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45754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45754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45754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45754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45754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45754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45754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45754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45754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45754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45754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45754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45754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45754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45754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45754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45754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45754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45754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45754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45754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45754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45754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45754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45754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45754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45754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45754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45754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45754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45754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45754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45754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45754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45754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45754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45754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45754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45754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45754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45754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45754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45754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45754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45754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45754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45754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45754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45754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45754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45754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45754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45754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45754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45754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45754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45754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45754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45754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45754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45754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45754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45754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45754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45754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45754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45754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45754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45754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45754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45754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45754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45754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45754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45754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45754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45754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45754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45754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45754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45754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45754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45754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45754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45754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45754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45754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45754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45754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45754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45754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45754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45754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45754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45754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45754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45754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45754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45754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45754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45754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45754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45754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45754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45754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45754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45754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45754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45754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45754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45754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45754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45754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45754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45754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45754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45754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45754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45754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45754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45754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45754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45754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45754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45754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45754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45754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45754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45754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45754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45754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45754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45754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45754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45754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45754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45754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45754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45754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45754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45754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45754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45754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45754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45754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45754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45754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45754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45754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45754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45754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45754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45754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45754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45754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45754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45754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45754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45754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45754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45754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45754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45754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45754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45754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45754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45754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45754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45754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45754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45754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45754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45754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45754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45754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45754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45754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45754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45754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45754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45754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45754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45754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45754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45754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45754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45754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45754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45754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45754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45754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45754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45754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45754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45754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45754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45754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45754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45754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45754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45754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45754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45754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45754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45754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45754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45754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45754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45754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45754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45754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45754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45754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45754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45754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45754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45754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45754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45754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45754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45754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45754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45754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45754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45754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45754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45754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45754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45754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45754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45754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45754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45754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45754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45754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45754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45754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45754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45754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45754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45754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45754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45754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45754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45754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45754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45754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45754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45754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45754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45754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45754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45754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45754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45754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45754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45754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45754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45754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45754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45754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45754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45754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45754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45754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45754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45754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45754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45754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45754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45754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45754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45754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45754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45754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45754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45754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45754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45754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45754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45754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45754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45754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45754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45754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45754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45754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45754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45754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45754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45754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45754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45754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45754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45754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45754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45754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45754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45754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45754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45754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45754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45754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45754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45754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45754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45754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45754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45754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45754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45754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45754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45754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45754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45754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45754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45754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45754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45754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45754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45754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45754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45754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45754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45754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45754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45754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45754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45754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45754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45754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45754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45754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45754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45754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45754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45754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45754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45754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45754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45754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45754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45754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45754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45754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45754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45754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45754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45754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45754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45754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45754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45754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45754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45754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45754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45754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45754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45754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45754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45754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45754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45754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45754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45754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45754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45754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45754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45754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45754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45754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45754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45754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45754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45754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45754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45754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45754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45754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45754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45754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45754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45754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45754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45754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45754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45754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45754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45754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45754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45754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45754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45754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45754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45754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45754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45754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45754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45754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45754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45754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45754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45754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45754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45754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45754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45754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45754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45754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45754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45754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45754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45754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45754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45754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45754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45754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45754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45754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45754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45754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45754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45754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45754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45754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45754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45754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45754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45754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45754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45754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45754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45754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45754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45754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45754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45754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45754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45754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45754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45754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45754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45754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45754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45754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45754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45754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45754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45754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45754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45754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45754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45754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45754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45754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45754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45754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45754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45754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45754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45754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45754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45754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45754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45754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45754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45754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45754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45754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45754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45754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45754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45754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45754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45754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45754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45754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45754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45754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45754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45754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45754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45754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45754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45754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45754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45754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45754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45754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45754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45754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45754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45754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45754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45754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45754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45754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45754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45754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45754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45754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45754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45754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45754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45754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45754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45754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45754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45754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45754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45754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45754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45754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45754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45754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45754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45754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45754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45754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45754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45754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45754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45754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45754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45754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45754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45754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45754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45754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45754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45754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45754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45754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45754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45754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45754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45754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45754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45754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45754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45754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45754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45754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45754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45754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45754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45754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45754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45754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45754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45754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45754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45754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45754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45754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45754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45754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45754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45754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45754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45754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45754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45754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45754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45754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45754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45754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45754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45754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45754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45754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45754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45754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45754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45754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45754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45754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45754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45754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45754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45754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45754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45754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45754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45754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45754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45754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45754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45754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45754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45754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45754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45754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45754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45754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45754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45754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45754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45754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45754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45754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45754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45754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45754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45754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45754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45754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45754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45754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45754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45754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45754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45754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45754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45754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45754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45754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45754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45754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45754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45754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45754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45754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45754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45754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45754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45754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45754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45754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45754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45754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45754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45754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45754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45754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45754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45754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45754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45754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45754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45754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45754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45754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45754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45754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45754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45754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45754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45754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45754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45754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45754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45754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45754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45754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45754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45754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45754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45754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45754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45754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45754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45754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45754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45754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45754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45754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8723-2025</t>
        </is>
      </c>
      <c r="B1241" s="1" t="n">
        <v>45712</v>
      </c>
      <c r="C1241" s="1" t="n">
        <v>45754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8722-2025</t>
        </is>
      </c>
      <c r="B1242" s="1" t="n">
        <v>45712</v>
      </c>
      <c r="C1242" s="1" t="n">
        <v>45754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8724-2025</t>
        </is>
      </c>
      <c r="B1243" s="1" t="n">
        <v>45712</v>
      </c>
      <c r="C1243" s="1" t="n">
        <v>45754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8661-2025</t>
        </is>
      </c>
      <c r="B1244" s="1" t="n">
        <v>45712</v>
      </c>
      <c r="C1244" s="1" t="n">
        <v>45754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Naturvårdsverket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45754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45754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45754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45754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45754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10360-2025</t>
        </is>
      </c>
      <c r="B1250" s="1" t="n">
        <v>45720</v>
      </c>
      <c r="C1250" s="1" t="n">
        <v>45754</v>
      </c>
      <c r="D1250" t="inlineStr">
        <is>
          <t>VÄSTERBOTTENS LÄN</t>
        </is>
      </c>
      <c r="E1250" t="inlineStr">
        <is>
          <t>ÅSELE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10381-2025</t>
        </is>
      </c>
      <c r="B1251" s="1" t="n">
        <v>45720</v>
      </c>
      <c r="C1251" s="1" t="n">
        <v>45754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45754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11896-2025</t>
        </is>
      </c>
      <c r="B1253" s="1" t="n">
        <v>45728</v>
      </c>
      <c r="C1253" s="1" t="n">
        <v>45754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13011-2025</t>
        </is>
      </c>
      <c r="B1254" s="1" t="n">
        <v>45734</v>
      </c>
      <c r="C1254" s="1" t="n">
        <v>45754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13403-2025</t>
        </is>
      </c>
      <c r="B1255" s="1" t="n">
        <v>45735</v>
      </c>
      <c r="C1255" s="1" t="n">
        <v>45754</v>
      </c>
      <c r="D1255" t="inlineStr">
        <is>
          <t>VÄSTERBOTTENS LÄN</t>
        </is>
      </c>
      <c r="E1255" t="inlineStr">
        <is>
          <t>ÅSELE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13319-2025</t>
        </is>
      </c>
      <c r="B1256" s="1" t="n">
        <v>45735</v>
      </c>
      <c r="C1256" s="1" t="n">
        <v>45754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13365-2025</t>
        </is>
      </c>
      <c r="B1257" s="1" t="n">
        <v>45735</v>
      </c>
      <c r="C1257" s="1" t="n">
        <v>45754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13402-2025</t>
        </is>
      </c>
      <c r="B1258" s="1" t="n">
        <v>45735</v>
      </c>
      <c r="C1258" s="1" t="n">
        <v>45754</v>
      </c>
      <c r="D1258" t="inlineStr">
        <is>
          <t>VÄSTERBOTTENS LÄN</t>
        </is>
      </c>
      <c r="E1258" t="inlineStr">
        <is>
          <t>ÅSELE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13793-2025</t>
        </is>
      </c>
      <c r="B1259" s="1" t="n">
        <v>45737</v>
      </c>
      <c r="C1259" s="1" t="n">
        <v>45754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13879-2025</t>
        </is>
      </c>
      <c r="B1260" s="1" t="n">
        <v>45737</v>
      </c>
      <c r="C1260" s="1" t="n">
        <v>45754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15059-2025</t>
        </is>
      </c>
      <c r="B1261" s="1" t="n">
        <v>45743</v>
      </c>
      <c r="C1261" s="1" t="n">
        <v>45754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Holmen skog AB</t>
        </is>
      </c>
      <c r="G1261" t="n">
        <v>13.7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15174-2025</t>
        </is>
      </c>
      <c r="B1262" s="1" t="n">
        <v>45744</v>
      </c>
      <c r="C1262" s="1" t="n">
        <v>45754</v>
      </c>
      <c r="D1262" t="inlineStr">
        <is>
          <t>VÄSTERBOTTENS LÄN</t>
        </is>
      </c>
      <c r="E1262" t="inlineStr">
        <is>
          <t>ÅSELE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15777-2025</t>
        </is>
      </c>
      <c r="B1263" s="1" t="n">
        <v>45748</v>
      </c>
      <c r="C1263" s="1" t="n">
        <v>45754</v>
      </c>
      <c r="D1263" t="inlineStr">
        <is>
          <t>VÄSTERBOTTENS LÄN</t>
        </is>
      </c>
      <c r="E1263" t="inlineStr">
        <is>
          <t>ÅSELE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16175-2025</t>
        </is>
      </c>
      <c r="B1264" s="1" t="n">
        <v>45750</v>
      </c>
      <c r="C1264" s="1" t="n">
        <v>45754</v>
      </c>
      <c r="D1264" t="inlineStr">
        <is>
          <t>VÄSTERBOTTENS LÄN</t>
        </is>
      </c>
      <c r="E1264" t="inlineStr">
        <is>
          <t>ÅSELE</t>
        </is>
      </c>
      <c r="G1264" t="n">
        <v>15.4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2025-04-07T16:40:18Z</dcterms:created>
  <dcterms:modified xmlns:dcterms="http://purl.org/dc/terms/" xmlns:xsi="http://www.w3.org/2001/XMLSchema-instance" xsi:type="dcterms:W3CDTF">2025-04-07T16:40:19Z</dcterms:modified>
</cp:coreProperties>
</file>