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46036.57505787037</v>
      </c>
      <c r="C4" s="1" t="n">
        <v>46187</v>
      </c>
      <c r="D4" t="inlineStr">
        <is>
          <t>VÄSTERBOTTENS LÄN</t>
        </is>
      </c>
      <c r="E4" t="inlineStr">
        <is>
          <t>ÅSELE</t>
        </is>
      </c>
      <c r="F4" t="inlineStr">
        <is>
          <t>Sveaskog</t>
        </is>
      </c>
      <c r="G4" t="n">
        <v>5</v>
      </c>
      <c r="H4" t="n">
        <v>5</v>
      </c>
      <c r="I4" t="n">
        <v>9</v>
      </c>
      <c r="J4" t="n">
        <v>10</v>
      </c>
      <c r="K4" t="n">
        <v>2</v>
      </c>
      <c r="L4" t="n">
        <v>0</v>
      </c>
      <c r="M4" t="n">
        <v>0</v>
      </c>
      <c r="N4" t="n">
        <v>0</v>
      </c>
      <c r="O4" t="n">
        <v>12</v>
      </c>
      <c r="P4" t="n">
        <v>2</v>
      </c>
      <c r="Q4" t="n">
        <v>22</v>
      </c>
      <c r="R4"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45481.44920138889</v>
      </c>
      <c r="C5" s="1" t="n">
        <v>46187</v>
      </c>
      <c r="D5" t="inlineStr">
        <is>
          <t>VÄSTERBOTTENS LÄN</t>
        </is>
      </c>
      <c r="E5" t="inlineStr">
        <is>
          <t>ÅSELE</t>
        </is>
      </c>
      <c r="F5" t="inlineStr">
        <is>
          <t>Sveaskog</t>
        </is>
      </c>
      <c r="G5" t="n">
        <v>12.8</v>
      </c>
      <c r="H5" t="n">
        <v>4</v>
      </c>
      <c r="I5" t="n">
        <v>3</v>
      </c>
      <c r="J5" t="n">
        <v>16</v>
      </c>
      <c r="K5" t="n">
        <v>2</v>
      </c>
      <c r="L5" t="n">
        <v>0</v>
      </c>
      <c r="M5" t="n">
        <v>0</v>
      </c>
      <c r="N5" t="n">
        <v>0</v>
      </c>
      <c r="O5" t="n">
        <v>18</v>
      </c>
      <c r="P5" t="n">
        <v>2</v>
      </c>
      <c r="Q5" t="n">
        <v>22</v>
      </c>
      <c r="R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45517.61098379629</v>
      </c>
      <c r="C6" s="1" t="n">
        <v>46187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46187</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46187</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46187</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46187</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46187</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8723-2025</t>
        </is>
      </c>
      <c r="B12" s="1" t="n">
        <v>45712</v>
      </c>
      <c r="C12" s="1" t="n">
        <v>46187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30076-2025</t>
        </is>
      </c>
      <c r="B13" s="1" t="n">
        <v>45826</v>
      </c>
      <c r="C13" s="1" t="n">
        <v>46187</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46187</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46187</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46187</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49528-2022</t>
        </is>
      </c>
      <c r="B17" s="1" t="n">
        <v>44861</v>
      </c>
      <c r="C17" s="1" t="n">
        <v>46187</v>
      </c>
      <c r="D17" t="inlineStr">
        <is>
          <t>VÄSTERBOTTENS LÄN</t>
        </is>
      </c>
      <c r="E17" t="inlineStr">
        <is>
          <t>ÅSELE</t>
        </is>
      </c>
      <c r="F17" t="inlineStr">
        <is>
          <t>SCA</t>
        </is>
      </c>
      <c r="G17" t="n">
        <v>12.6</v>
      </c>
      <c r="H17" t="n">
        <v>0</v>
      </c>
      <c r="I17" t="n">
        <v>1</v>
      </c>
      <c r="J17" t="n">
        <v>3</v>
      </c>
      <c r="K17" t="n">
        <v>0</v>
      </c>
      <c r="L17" t="n">
        <v>0</v>
      </c>
      <c r="M17" t="n">
        <v>0</v>
      </c>
      <c r="N17" t="n">
        <v>0</v>
      </c>
      <c r="O17" t="n">
        <v>3</v>
      </c>
      <c r="P17" t="n">
        <v>0</v>
      </c>
      <c r="Q17" t="n">
        <v>4</v>
      </c>
      <c r="R17" s="2" t="inlineStr">
        <is>
          <t>Doftskinn
Garnlav
Lunglav
Rävticka</t>
        </is>
      </c>
      <c r="S17">
        <f>HYPERLINK("https://klasma.github.io/Logging_2463/artfynd/A 49528-2022 artfynd.xlsx", "A 49528-2022")</f>
        <v/>
      </c>
      <c r="T17">
        <f>HYPERLINK("https://klasma.github.io/Logging_2463/kartor/A 49528-2022 karta.png", "A 49528-2022")</f>
        <v/>
      </c>
      <c r="V17">
        <f>HYPERLINK("https://klasma.github.io/Logging_2463/klagomål/A 49528-2022 FSC-klagomål.docx", "A 49528-2022")</f>
        <v/>
      </c>
      <c r="W17">
        <f>HYPERLINK("https://klasma.github.io/Logging_2463/klagomålsmail/A 49528-2022 FSC-klagomål mail.docx", "A 49528-2022")</f>
        <v/>
      </c>
      <c r="X17">
        <f>HYPERLINK("https://klasma.github.io/Logging_2463/tillsyn/A 49528-2022 tillsynsbegäran.docx", "A 49528-2022")</f>
        <v/>
      </c>
      <c r="Y17">
        <f>HYPERLINK("https://klasma.github.io/Logging_2463/tillsynsmail/A 49528-2022 tillsynsbegäran mail.docx", "A 49528-2022")</f>
        <v/>
      </c>
    </row>
    <row r="18" ht="15" customHeight="1">
      <c r="A18" t="inlineStr">
        <is>
          <t>A 43956-2025</t>
        </is>
      </c>
      <c r="B18" s="1" t="n">
        <v>45915</v>
      </c>
      <c r="C18" s="1" t="n">
        <v>46187</v>
      </c>
      <c r="D18" t="inlineStr">
        <is>
          <t>VÄSTERBOTTENS LÄN</t>
        </is>
      </c>
      <c r="E18" t="inlineStr">
        <is>
          <t>ÅSELE</t>
        </is>
      </c>
      <c r="F18" t="inlineStr">
        <is>
          <t>Kyrkan</t>
        </is>
      </c>
      <c r="G18" t="n">
        <v>9.199999999999999</v>
      </c>
      <c r="H18" t="n">
        <v>1</v>
      </c>
      <c r="I18" t="n">
        <v>2</v>
      </c>
      <c r="J18" t="n">
        <v>2</v>
      </c>
      <c r="K18" t="n">
        <v>0</v>
      </c>
      <c r="L18" t="n">
        <v>0</v>
      </c>
      <c r="M18" t="n">
        <v>0</v>
      </c>
      <c r="N18" t="n">
        <v>0</v>
      </c>
      <c r="O18" t="n">
        <v>2</v>
      </c>
      <c r="P18" t="n">
        <v>0</v>
      </c>
      <c r="Q18" t="n">
        <v>4</v>
      </c>
      <c r="R18" s="2" t="inlineStr">
        <is>
          <t>Garnlav
Kolflarnlav
Plattlummer
Stuplav</t>
        </is>
      </c>
      <c r="S18">
        <f>HYPERLINK("https://klasma.github.io/Logging_2463/artfynd/A 43956-2025 artfynd.xlsx", "A 43956-2025")</f>
        <v/>
      </c>
      <c r="T18">
        <f>HYPERLINK("https://klasma.github.io/Logging_2463/kartor/A 43956-2025 karta.png", "A 43956-2025")</f>
        <v/>
      </c>
      <c r="V18">
        <f>HYPERLINK("https://klasma.github.io/Logging_2463/klagomål/A 43956-2025 FSC-klagomål.docx", "A 43956-2025")</f>
        <v/>
      </c>
      <c r="W18">
        <f>HYPERLINK("https://klasma.github.io/Logging_2463/klagomålsmail/A 43956-2025 FSC-klagomål mail.docx", "A 43956-2025")</f>
        <v/>
      </c>
      <c r="X18">
        <f>HYPERLINK("https://klasma.github.io/Logging_2463/tillsyn/A 43956-2025 tillsynsbegäran.docx", "A 43956-2025")</f>
        <v/>
      </c>
      <c r="Y18">
        <f>HYPERLINK("https://klasma.github.io/Logging_2463/tillsynsmail/A 43956-2025 tillsynsbegäran mail.docx", "A 43956-2025")</f>
        <v/>
      </c>
    </row>
    <row r="19" ht="15" customHeight="1">
      <c r="A19" t="inlineStr">
        <is>
          <t>A 50419-2024</t>
        </is>
      </c>
      <c r="B19" s="1" t="n">
        <v>45601</v>
      </c>
      <c r="C19" s="1" t="n">
        <v>46187</v>
      </c>
      <c r="D19" t="inlineStr">
        <is>
          <t>VÄSTERBOTTENS LÄN</t>
        </is>
      </c>
      <c r="E19" t="inlineStr">
        <is>
          <t>ÅSELE</t>
        </is>
      </c>
      <c r="F19" t="inlineStr">
        <is>
          <t>SCA</t>
        </is>
      </c>
      <c r="G19" t="n">
        <v>5.1</v>
      </c>
      <c r="H19" t="n">
        <v>0</v>
      </c>
      <c r="I19" t="n">
        <v>0</v>
      </c>
      <c r="J19" t="n">
        <v>3</v>
      </c>
      <c r="K19" t="n">
        <v>1</v>
      </c>
      <c r="L19" t="n">
        <v>0</v>
      </c>
      <c r="M19" t="n">
        <v>0</v>
      </c>
      <c r="N19" t="n">
        <v>0</v>
      </c>
      <c r="O19" t="n">
        <v>4</v>
      </c>
      <c r="P19" t="n">
        <v>1</v>
      </c>
      <c r="Q19" t="n">
        <v>4</v>
      </c>
      <c r="R19" s="2" t="inlineStr">
        <is>
          <t>Sprickporing
Doftskinn
Granticka
Harticka</t>
        </is>
      </c>
      <c r="S19">
        <f>HYPERLINK("https://klasma.github.io/Logging_2463/artfynd/A 50419-2024 artfynd.xlsx", "A 50419-2024")</f>
        <v/>
      </c>
      <c r="T19">
        <f>HYPERLINK("https://klasma.github.io/Logging_2463/kartor/A 50419-2024 karta.png", "A 50419-2024")</f>
        <v/>
      </c>
      <c r="V19">
        <f>HYPERLINK("https://klasma.github.io/Logging_2463/klagomål/A 50419-2024 FSC-klagomål.docx", "A 50419-2024")</f>
        <v/>
      </c>
      <c r="W19">
        <f>HYPERLINK("https://klasma.github.io/Logging_2463/klagomålsmail/A 50419-2024 FSC-klagomål mail.docx", "A 50419-2024")</f>
        <v/>
      </c>
      <c r="X19">
        <f>HYPERLINK("https://klasma.github.io/Logging_2463/tillsyn/A 50419-2024 tillsynsbegäran.docx", "A 50419-2024")</f>
        <v/>
      </c>
      <c r="Y19">
        <f>HYPERLINK("https://klasma.github.io/Logging_2463/tillsynsmail/A 50419-2024 tillsynsbegäran mail.docx", "A 50419-2024")</f>
        <v/>
      </c>
    </row>
    <row r="20" ht="15" customHeight="1">
      <c r="A20" t="inlineStr">
        <is>
          <t>A 29995-2025</t>
        </is>
      </c>
      <c r="B20" s="1" t="n">
        <v>45826</v>
      </c>
      <c r="C20" s="1" t="n">
        <v>46187</v>
      </c>
      <c r="D20" t="inlineStr">
        <is>
          <t>VÄSTERBOTTENS LÄN</t>
        </is>
      </c>
      <c r="E20" t="inlineStr">
        <is>
          <t>ÅSELE</t>
        </is>
      </c>
      <c r="F20" t="inlineStr">
        <is>
          <t>Sveaskog</t>
        </is>
      </c>
      <c r="G20" t="n">
        <v>9.800000000000001</v>
      </c>
      <c r="H20" t="n">
        <v>0</v>
      </c>
      <c r="I20" t="n">
        <v>2</v>
      </c>
      <c r="J20" t="n">
        <v>2</v>
      </c>
      <c r="K20" t="n">
        <v>0</v>
      </c>
      <c r="L20" t="n">
        <v>0</v>
      </c>
      <c r="M20" t="n">
        <v>0</v>
      </c>
      <c r="N20" t="n">
        <v>0</v>
      </c>
      <c r="O20" t="n">
        <v>2</v>
      </c>
      <c r="P20" t="n">
        <v>0</v>
      </c>
      <c r="Q20" t="n">
        <v>4</v>
      </c>
      <c r="R20" s="2" t="inlineStr">
        <is>
          <t>Lunglav
Skrovellav
Bårdlav
Luddlav</t>
        </is>
      </c>
      <c r="S20">
        <f>HYPERLINK("https://klasma.github.io/Logging_2463/artfynd/A 29995-2025 artfynd.xlsx", "A 29995-2025")</f>
        <v/>
      </c>
      <c r="T20">
        <f>HYPERLINK("https://klasma.github.io/Logging_2463/kartor/A 29995-2025 karta.png", "A 29995-2025")</f>
        <v/>
      </c>
      <c r="V20">
        <f>HYPERLINK("https://klasma.github.io/Logging_2463/klagomål/A 29995-2025 FSC-klagomål.docx", "A 29995-2025")</f>
        <v/>
      </c>
      <c r="W20">
        <f>HYPERLINK("https://klasma.github.io/Logging_2463/klagomålsmail/A 29995-2025 FSC-klagomål mail.docx", "A 29995-2025")</f>
        <v/>
      </c>
      <c r="X20">
        <f>HYPERLINK("https://klasma.github.io/Logging_2463/tillsyn/A 29995-2025 tillsynsbegäran.docx", "A 29995-2025")</f>
        <v/>
      </c>
      <c r="Y20">
        <f>HYPERLINK("https://klasma.github.io/Logging_2463/tillsynsmail/A 29995-2025 tillsynsbegäran mail.docx", "A 29995-2025")</f>
        <v/>
      </c>
    </row>
    <row r="21" ht="15" customHeight="1">
      <c r="A21" t="inlineStr">
        <is>
          <t>A 22110-2024</t>
        </is>
      </c>
      <c r="B21" s="1" t="n">
        <v>45443</v>
      </c>
      <c r="C21" s="1" t="n">
        <v>46187</v>
      </c>
      <c r="D21" t="inlineStr">
        <is>
          <t>VÄSTERBOTTENS LÄN</t>
        </is>
      </c>
      <c r="E21" t="inlineStr">
        <is>
          <t>ÅSELE</t>
        </is>
      </c>
      <c r="F21" t="inlineStr">
        <is>
          <t>SCA</t>
        </is>
      </c>
      <c r="G21" t="n">
        <v>11.6</v>
      </c>
      <c r="H21" t="n">
        <v>0</v>
      </c>
      <c r="I21" t="n">
        <v>1</v>
      </c>
      <c r="J21" t="n">
        <v>3</v>
      </c>
      <c r="K21" t="n">
        <v>0</v>
      </c>
      <c r="L21" t="n">
        <v>0</v>
      </c>
      <c r="M21" t="n">
        <v>0</v>
      </c>
      <c r="N21" t="n">
        <v>0</v>
      </c>
      <c r="O21" t="n">
        <v>3</v>
      </c>
      <c r="P21" t="n">
        <v>0</v>
      </c>
      <c r="Q21" t="n">
        <v>4</v>
      </c>
      <c r="R21" s="2" t="inlineStr">
        <is>
          <t>Gammelgransskål
Granticka
Lunglav
Trådticka</t>
        </is>
      </c>
      <c r="S21">
        <f>HYPERLINK("https://klasma.github.io/Logging_2463/artfynd/A 22110-2024 artfynd.xlsx", "A 22110-2024")</f>
        <v/>
      </c>
      <c r="T21">
        <f>HYPERLINK("https://klasma.github.io/Logging_2463/kartor/A 22110-2024 karta.png", "A 22110-2024")</f>
        <v/>
      </c>
      <c r="V21">
        <f>HYPERLINK("https://klasma.github.io/Logging_2463/klagomål/A 22110-2024 FSC-klagomål.docx", "A 22110-2024")</f>
        <v/>
      </c>
      <c r="W21">
        <f>HYPERLINK("https://klasma.github.io/Logging_2463/klagomålsmail/A 22110-2024 FSC-klagomål mail.docx", "A 22110-2024")</f>
        <v/>
      </c>
      <c r="X21">
        <f>HYPERLINK("https://klasma.github.io/Logging_2463/tillsyn/A 22110-2024 tillsynsbegäran.docx", "A 22110-2024")</f>
        <v/>
      </c>
      <c r="Y21">
        <f>HYPERLINK("https://klasma.github.io/Logging_2463/tillsynsmail/A 22110-2024 tillsynsbegäran mail.docx", "A 22110-2024")</f>
        <v/>
      </c>
    </row>
    <row r="22" ht="15" customHeight="1">
      <c r="A22" t="inlineStr">
        <is>
          <t>A 5700-2023</t>
        </is>
      </c>
      <c r="B22" s="1" t="n">
        <v>44960</v>
      </c>
      <c r="C22" s="1" t="n">
        <v>46187</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40209-2021</t>
        </is>
      </c>
      <c r="B23" s="1" t="n">
        <v>44418</v>
      </c>
      <c r="C23" s="1" t="n">
        <v>46187</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2761-2026</t>
        </is>
      </c>
      <c r="B24" s="1" t="n">
        <v>46038.34517361111</v>
      </c>
      <c r="C24" s="1" t="n">
        <v>46187</v>
      </c>
      <c r="D24" t="inlineStr">
        <is>
          <t>VÄSTERBOTTENS LÄN</t>
        </is>
      </c>
      <c r="E24" t="inlineStr">
        <is>
          <t>ÅSELE</t>
        </is>
      </c>
      <c r="F24" t="inlineStr">
        <is>
          <t>Sveaskog</t>
        </is>
      </c>
      <c r="G24" t="n">
        <v>3.6</v>
      </c>
      <c r="H24" t="n">
        <v>1</v>
      </c>
      <c r="I24" t="n">
        <v>0</v>
      </c>
      <c r="J24" t="n">
        <v>3</v>
      </c>
      <c r="K24" t="n">
        <v>0</v>
      </c>
      <c r="L24" t="n">
        <v>0</v>
      </c>
      <c r="M24" t="n">
        <v>0</v>
      </c>
      <c r="N24" t="n">
        <v>0</v>
      </c>
      <c r="O24" t="n">
        <v>3</v>
      </c>
      <c r="P24" t="n">
        <v>0</v>
      </c>
      <c r="Q24" t="n">
        <v>3</v>
      </c>
      <c r="R24" s="2" t="inlineStr">
        <is>
          <t>Blanksvart spiklav
Blågrå svartspik
Tretåig hackspett</t>
        </is>
      </c>
      <c r="S24">
        <f>HYPERLINK("https://klasma.github.io/Logging_2463/artfynd/A 2761-2026 artfynd.xlsx", "A 2761-2026")</f>
        <v/>
      </c>
      <c r="T24">
        <f>HYPERLINK("https://klasma.github.io/Logging_2463/kartor/A 2761-2026 karta.png", "A 2761-2026")</f>
        <v/>
      </c>
      <c r="V24">
        <f>HYPERLINK("https://klasma.github.io/Logging_2463/klagomål/A 2761-2026 FSC-klagomål.docx", "A 2761-2026")</f>
        <v/>
      </c>
      <c r="W24">
        <f>HYPERLINK("https://klasma.github.io/Logging_2463/klagomålsmail/A 2761-2026 FSC-klagomål mail.docx", "A 2761-2026")</f>
        <v/>
      </c>
      <c r="X24">
        <f>HYPERLINK("https://klasma.github.io/Logging_2463/tillsyn/A 2761-2026 tillsynsbegäran.docx", "A 2761-2026")</f>
        <v/>
      </c>
      <c r="Y24">
        <f>HYPERLINK("https://klasma.github.io/Logging_2463/tillsynsmail/A 2761-2026 tillsynsbegäran mail.docx", "A 2761-2026")</f>
        <v/>
      </c>
      <c r="Z24">
        <f>HYPERLINK("https://klasma.github.io/Logging_2463/fåglar/A 2761-2026 prioriterade fågelarter.docx", "A 2761-2026")</f>
        <v/>
      </c>
    </row>
    <row r="25" ht="15" customHeight="1">
      <c r="A25" t="inlineStr">
        <is>
          <t>A 26136-2025</t>
        </is>
      </c>
      <c r="B25" s="1" t="n">
        <v>45805.41388888889</v>
      </c>
      <c r="C25" s="1" t="n">
        <v>46187</v>
      </c>
      <c r="D25" t="inlineStr">
        <is>
          <t>VÄSTERBOTTENS LÄN</t>
        </is>
      </c>
      <c r="E25" t="inlineStr">
        <is>
          <t>ÅSELE</t>
        </is>
      </c>
      <c r="F25" t="inlineStr">
        <is>
          <t>Sveaskog</t>
        </is>
      </c>
      <c r="G25" t="n">
        <v>14.1</v>
      </c>
      <c r="H25" t="n">
        <v>0</v>
      </c>
      <c r="I25" t="n">
        <v>1</v>
      </c>
      <c r="J25" t="n">
        <v>2</v>
      </c>
      <c r="K25" t="n">
        <v>0</v>
      </c>
      <c r="L25" t="n">
        <v>0</v>
      </c>
      <c r="M25" t="n">
        <v>0</v>
      </c>
      <c r="N25" t="n">
        <v>0</v>
      </c>
      <c r="O25" t="n">
        <v>2</v>
      </c>
      <c r="P25" t="n">
        <v>0</v>
      </c>
      <c r="Q25" t="n">
        <v>3</v>
      </c>
      <c r="R25" s="2" t="inlineStr">
        <is>
          <t>Lunglav
Skrovellav
Bårdlav</t>
        </is>
      </c>
      <c r="S25">
        <f>HYPERLINK("https://klasma.github.io/Logging_2463/artfynd/A 26136-2025 artfynd.xlsx", "A 26136-2025")</f>
        <v/>
      </c>
      <c r="T25">
        <f>HYPERLINK("https://klasma.github.io/Logging_2463/kartor/A 26136-2025 karta.png", "A 26136-2025")</f>
        <v/>
      </c>
      <c r="V25">
        <f>HYPERLINK("https://klasma.github.io/Logging_2463/klagomål/A 26136-2025 FSC-klagomål.docx", "A 26136-2025")</f>
        <v/>
      </c>
      <c r="W25">
        <f>HYPERLINK("https://klasma.github.io/Logging_2463/klagomålsmail/A 26136-2025 FSC-klagomål mail.docx", "A 26136-2025")</f>
        <v/>
      </c>
      <c r="X25">
        <f>HYPERLINK("https://klasma.github.io/Logging_2463/tillsyn/A 26136-2025 tillsynsbegäran.docx", "A 26136-2025")</f>
        <v/>
      </c>
      <c r="Y25">
        <f>HYPERLINK("https://klasma.github.io/Logging_2463/tillsynsmail/A 26136-2025 tillsynsbegäran mail.docx", "A 26136-2025")</f>
        <v/>
      </c>
    </row>
    <row r="26" ht="15" customHeight="1">
      <c r="A26" t="inlineStr">
        <is>
          <t>A 53238-2024</t>
        </is>
      </c>
      <c r="B26" s="1" t="n">
        <v>45613</v>
      </c>
      <c r="C26" s="1" t="n">
        <v>46187</v>
      </c>
      <c r="D26" t="inlineStr">
        <is>
          <t>VÄSTERBOTTENS LÄN</t>
        </is>
      </c>
      <c r="E26" t="inlineStr">
        <is>
          <t>ÅSELE</t>
        </is>
      </c>
      <c r="F26" t="inlineStr">
        <is>
          <t>Naturvårdsverket</t>
        </is>
      </c>
      <c r="G26" t="n">
        <v>1.2</v>
      </c>
      <c r="H26" t="n">
        <v>0</v>
      </c>
      <c r="I26" t="n">
        <v>0</v>
      </c>
      <c r="J26" t="n">
        <v>3</v>
      </c>
      <c r="K26" t="n">
        <v>0</v>
      </c>
      <c r="L26" t="n">
        <v>0</v>
      </c>
      <c r="M26" t="n">
        <v>0</v>
      </c>
      <c r="N26" t="n">
        <v>0</v>
      </c>
      <c r="O26" t="n">
        <v>3</v>
      </c>
      <c r="P26" t="n">
        <v>0</v>
      </c>
      <c r="Q26" t="n">
        <v>3</v>
      </c>
      <c r="R26" s="2" t="inlineStr">
        <is>
          <t>Gammelgransskål
Granticka
Vitgrynig nållav</t>
        </is>
      </c>
      <c r="S26">
        <f>HYPERLINK("https://klasma.github.io/Logging_2463/artfynd/A 53238-2024 artfynd.xlsx", "A 53238-2024")</f>
        <v/>
      </c>
      <c r="T26">
        <f>HYPERLINK("https://klasma.github.io/Logging_2463/kartor/A 53238-2024 karta.png", "A 53238-2024")</f>
        <v/>
      </c>
      <c r="V26">
        <f>HYPERLINK("https://klasma.github.io/Logging_2463/klagomål/A 53238-2024 FSC-klagomål.docx", "A 53238-2024")</f>
        <v/>
      </c>
      <c r="W26">
        <f>HYPERLINK("https://klasma.github.io/Logging_2463/klagomålsmail/A 53238-2024 FSC-klagomål mail.docx", "A 53238-2024")</f>
        <v/>
      </c>
      <c r="X26">
        <f>HYPERLINK("https://klasma.github.io/Logging_2463/tillsyn/A 53238-2024 tillsynsbegäran.docx", "A 53238-2024")</f>
        <v/>
      </c>
      <c r="Y26">
        <f>HYPERLINK("https://klasma.github.io/Logging_2463/tillsynsmail/A 53238-2024 tillsynsbegäran mail.docx", "A 53238-2024")</f>
        <v/>
      </c>
    </row>
    <row r="27" ht="15" customHeight="1">
      <c r="A27" t="inlineStr">
        <is>
          <t>A 26897-2023</t>
        </is>
      </c>
      <c r="B27" s="1" t="n">
        <v>45093.60384259259</v>
      </c>
      <c r="C27" s="1" t="n">
        <v>46187</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29616-2023</t>
        </is>
      </c>
      <c r="B28" s="1" t="n">
        <v>45106</v>
      </c>
      <c r="C28" s="1" t="n">
        <v>46187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51838-2025</t>
        </is>
      </c>
      <c r="B29" s="1" t="n">
        <v>45952.34454861111</v>
      </c>
      <c r="C29" s="1" t="n">
        <v>46187</v>
      </c>
      <c r="D29" t="inlineStr">
        <is>
          <t>VÄSTERBOTTENS LÄN</t>
        </is>
      </c>
      <c r="E29" t="inlineStr">
        <is>
          <t>ÅSELE</t>
        </is>
      </c>
      <c r="F29" t="inlineStr">
        <is>
          <t>SCA</t>
        </is>
      </c>
      <c r="G29" t="n">
        <v>1.4</v>
      </c>
      <c r="H29" t="n">
        <v>0</v>
      </c>
      <c r="I29" t="n">
        <v>0</v>
      </c>
      <c r="J29" t="n">
        <v>2</v>
      </c>
      <c r="K29" t="n">
        <v>0</v>
      </c>
      <c r="L29" t="n">
        <v>0</v>
      </c>
      <c r="M29" t="n">
        <v>0</v>
      </c>
      <c r="N29" t="n">
        <v>0</v>
      </c>
      <c r="O29" t="n">
        <v>2</v>
      </c>
      <c r="P29" t="n">
        <v>0</v>
      </c>
      <c r="Q29" t="n">
        <v>2</v>
      </c>
      <c r="R29" s="2" t="inlineStr">
        <is>
          <t>Gammelgransskål
Granticka</t>
        </is>
      </c>
      <c r="S29">
        <f>HYPERLINK("https://klasma.github.io/Logging_2463/artfynd/A 51838-2025 artfynd.xlsx", "A 51838-2025")</f>
        <v/>
      </c>
      <c r="T29">
        <f>HYPERLINK("https://klasma.github.io/Logging_2463/kartor/A 51838-2025 karta.png", "A 51838-2025")</f>
        <v/>
      </c>
      <c r="V29">
        <f>HYPERLINK("https://klasma.github.io/Logging_2463/klagomål/A 51838-2025 FSC-klagomål.docx", "A 51838-2025")</f>
        <v/>
      </c>
      <c r="W29">
        <f>HYPERLINK("https://klasma.github.io/Logging_2463/klagomålsmail/A 51838-2025 FSC-klagomål mail.docx", "A 51838-2025")</f>
        <v/>
      </c>
      <c r="X29">
        <f>HYPERLINK("https://klasma.github.io/Logging_2463/tillsyn/A 51838-2025 tillsynsbegäran.docx", "A 51838-2025")</f>
        <v/>
      </c>
      <c r="Y29">
        <f>HYPERLINK("https://klasma.github.io/Logging_2463/tillsynsmail/A 51838-2025 tillsynsbegäran mail.docx", "A 51838-2025")</f>
        <v/>
      </c>
    </row>
    <row r="30" ht="15" customHeight="1">
      <c r="A30" t="inlineStr">
        <is>
          <t>A 53682-2025</t>
        </is>
      </c>
      <c r="B30" s="1" t="n">
        <v>45960.574375</v>
      </c>
      <c r="C30" s="1" t="n">
        <v>46187</v>
      </c>
      <c r="D30" t="inlineStr">
        <is>
          <t>VÄSTERBOTTENS LÄN</t>
        </is>
      </c>
      <c r="E30" t="inlineStr">
        <is>
          <t>ÅSELE</t>
        </is>
      </c>
      <c r="F30" t="inlineStr">
        <is>
          <t>SCA</t>
        </is>
      </c>
      <c r="G30" t="n">
        <v>10.2</v>
      </c>
      <c r="H30" t="n">
        <v>0</v>
      </c>
      <c r="I30" t="n">
        <v>0</v>
      </c>
      <c r="J30" t="n">
        <v>2</v>
      </c>
      <c r="K30" t="n">
        <v>0</v>
      </c>
      <c r="L30" t="n">
        <v>0</v>
      </c>
      <c r="M30" t="n">
        <v>0</v>
      </c>
      <c r="N30" t="n">
        <v>0</v>
      </c>
      <c r="O30" t="n">
        <v>2</v>
      </c>
      <c r="P30" t="n">
        <v>0</v>
      </c>
      <c r="Q30" t="n">
        <v>2</v>
      </c>
      <c r="R30" s="2" t="inlineStr">
        <is>
          <t>Vedflamlav
Vedskivlav</t>
        </is>
      </c>
      <c r="S30">
        <f>HYPERLINK("https://klasma.github.io/Logging_2463/artfynd/A 53682-2025 artfynd.xlsx", "A 53682-2025")</f>
        <v/>
      </c>
      <c r="T30">
        <f>HYPERLINK("https://klasma.github.io/Logging_2463/kartor/A 53682-2025 karta.png", "A 53682-2025")</f>
        <v/>
      </c>
      <c r="V30">
        <f>HYPERLINK("https://klasma.github.io/Logging_2463/klagomål/A 53682-2025 FSC-klagomål.docx", "A 53682-2025")</f>
        <v/>
      </c>
      <c r="W30">
        <f>HYPERLINK("https://klasma.github.io/Logging_2463/klagomålsmail/A 53682-2025 FSC-klagomål mail.docx", "A 53682-2025")</f>
        <v/>
      </c>
      <c r="X30">
        <f>HYPERLINK("https://klasma.github.io/Logging_2463/tillsyn/A 53682-2025 tillsynsbegäran.docx", "A 53682-2025")</f>
        <v/>
      </c>
      <c r="Y30">
        <f>HYPERLINK("https://klasma.github.io/Logging_2463/tillsynsmail/A 53682-2025 tillsynsbegäran mail.docx", "A 53682-2025")</f>
        <v/>
      </c>
    </row>
    <row r="31" ht="15" customHeight="1">
      <c r="A31" t="inlineStr">
        <is>
          <t>A 41018-2025</t>
        </is>
      </c>
      <c r="B31" s="1" t="n">
        <v>45898.365</v>
      </c>
      <c r="C31" s="1" t="n">
        <v>46187</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46187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46187</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46187</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46249-2025</t>
        </is>
      </c>
      <c r="B35" s="1" t="n">
        <v>45925.34439814815</v>
      </c>
      <c r="C35" s="1" t="n">
        <v>46187</v>
      </c>
      <c r="D35" t="inlineStr">
        <is>
          <t>VÄSTERBOTTENS LÄN</t>
        </is>
      </c>
      <c r="E35" t="inlineStr">
        <is>
          <t>ÅSELE</t>
        </is>
      </c>
      <c r="F35" t="inlineStr">
        <is>
          <t>SCA</t>
        </is>
      </c>
      <c r="G35" t="n">
        <v>16.1</v>
      </c>
      <c r="H35" t="n">
        <v>0</v>
      </c>
      <c r="I35" t="n">
        <v>0</v>
      </c>
      <c r="J35" t="n">
        <v>2</v>
      </c>
      <c r="K35" t="n">
        <v>0</v>
      </c>
      <c r="L35" t="n">
        <v>0</v>
      </c>
      <c r="M35" t="n">
        <v>0</v>
      </c>
      <c r="N35" t="n">
        <v>0</v>
      </c>
      <c r="O35" t="n">
        <v>2</v>
      </c>
      <c r="P35" t="n">
        <v>0</v>
      </c>
      <c r="Q35" t="n">
        <v>2</v>
      </c>
      <c r="R35" s="2" t="inlineStr">
        <is>
          <t>Gammelgransskål
Lunglav</t>
        </is>
      </c>
      <c r="S35">
        <f>HYPERLINK("https://klasma.github.io/Logging_2463/artfynd/A 46249-2025 artfynd.xlsx", "A 46249-2025")</f>
        <v/>
      </c>
      <c r="T35">
        <f>HYPERLINK("https://klasma.github.io/Logging_2463/kartor/A 46249-2025 karta.png", "A 46249-2025")</f>
        <v/>
      </c>
      <c r="V35">
        <f>HYPERLINK("https://klasma.github.io/Logging_2463/klagomål/A 46249-2025 FSC-klagomål.docx", "A 46249-2025")</f>
        <v/>
      </c>
      <c r="W35">
        <f>HYPERLINK("https://klasma.github.io/Logging_2463/klagomålsmail/A 46249-2025 FSC-klagomål mail.docx", "A 46249-2025")</f>
        <v/>
      </c>
      <c r="X35">
        <f>HYPERLINK("https://klasma.github.io/Logging_2463/tillsyn/A 46249-2025 tillsynsbegäran.docx", "A 46249-2025")</f>
        <v/>
      </c>
      <c r="Y35">
        <f>HYPERLINK("https://klasma.github.io/Logging_2463/tillsynsmail/A 46249-2025 tillsynsbegäran mail.docx", "A 46249-2025")</f>
        <v/>
      </c>
    </row>
    <row r="36" ht="15" customHeight="1">
      <c r="A36" t="inlineStr">
        <is>
          <t>A 5003-2026</t>
        </is>
      </c>
      <c r="B36" s="1" t="n">
        <v>46049.42774305555</v>
      </c>
      <c r="C36" s="1" t="n">
        <v>46187</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Granticka
Ullticka</t>
        </is>
      </c>
      <c r="S36">
        <f>HYPERLINK("https://klasma.github.io/Logging_2463/artfynd/A 5003-2026 artfynd.xlsx", "A 5003-2026")</f>
        <v/>
      </c>
      <c r="T36">
        <f>HYPERLINK("https://klasma.github.io/Logging_2463/kartor/A 5003-2026 karta.png", "A 5003-2026")</f>
        <v/>
      </c>
      <c r="V36">
        <f>HYPERLINK("https://klasma.github.io/Logging_2463/klagomål/A 5003-2026 FSC-klagomål.docx", "A 5003-2026")</f>
        <v/>
      </c>
      <c r="W36">
        <f>HYPERLINK("https://klasma.github.io/Logging_2463/klagomålsmail/A 5003-2026 FSC-klagomål mail.docx", "A 5003-2026")</f>
        <v/>
      </c>
      <c r="X36">
        <f>HYPERLINK("https://klasma.github.io/Logging_2463/tillsyn/A 5003-2026 tillsynsbegäran.docx", "A 5003-2026")</f>
        <v/>
      </c>
      <c r="Y36">
        <f>HYPERLINK("https://klasma.github.io/Logging_2463/tillsynsmail/A 5003-2026 tillsynsbegäran mail.docx", "A 5003-2026")</f>
        <v/>
      </c>
    </row>
    <row r="37" ht="15" customHeight="1">
      <c r="A37" t="inlineStr">
        <is>
          <t>A 8880-2024</t>
        </is>
      </c>
      <c r="B37" s="1" t="n">
        <v>45357</v>
      </c>
      <c r="C37" s="1" t="n">
        <v>46187</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41694-2023</t>
        </is>
      </c>
      <c r="B38" s="1" t="n">
        <v>45176</v>
      </c>
      <c r="C38" s="1" t="n">
        <v>46187</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25712-2024</t>
        </is>
      </c>
      <c r="B39" s="1" t="n">
        <v>45463</v>
      </c>
      <c r="C39" s="1" t="n">
        <v>46187</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46187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46187</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46187</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48594-2025</t>
        </is>
      </c>
      <c r="B43" s="1" t="n">
        <v>45936.46305555556</v>
      </c>
      <c r="C43" s="1" t="n">
        <v>46187</v>
      </c>
      <c r="D43" t="inlineStr">
        <is>
          <t>VÄSTERBOTTENS LÄN</t>
        </is>
      </c>
      <c r="E43" t="inlineStr">
        <is>
          <t>ÅSELE</t>
        </is>
      </c>
      <c r="F43" t="inlineStr">
        <is>
          <t>Kommuner</t>
        </is>
      </c>
      <c r="G43" t="n">
        <v>13.3</v>
      </c>
      <c r="H43" t="n">
        <v>0</v>
      </c>
      <c r="I43" t="n">
        <v>0</v>
      </c>
      <c r="J43" t="n">
        <v>1</v>
      </c>
      <c r="K43" t="n">
        <v>0</v>
      </c>
      <c r="L43" t="n">
        <v>0</v>
      </c>
      <c r="M43" t="n">
        <v>0</v>
      </c>
      <c r="N43" t="n">
        <v>0</v>
      </c>
      <c r="O43" t="n">
        <v>1</v>
      </c>
      <c r="P43" t="n">
        <v>0</v>
      </c>
      <c r="Q43" t="n">
        <v>1</v>
      </c>
      <c r="R43" s="2" t="inlineStr">
        <is>
          <t>Igelkott</t>
        </is>
      </c>
      <c r="S43">
        <f>HYPERLINK("https://klasma.github.io/Logging_2463/artfynd/A 48594-2025 artfynd.xlsx", "A 48594-2025")</f>
        <v/>
      </c>
      <c r="T43">
        <f>HYPERLINK("https://klasma.github.io/Logging_2463/kartor/A 48594-2025 karta.png", "A 48594-2025")</f>
        <v/>
      </c>
      <c r="V43">
        <f>HYPERLINK("https://klasma.github.io/Logging_2463/klagomål/A 48594-2025 FSC-klagomål.docx", "A 48594-2025")</f>
        <v/>
      </c>
      <c r="W43">
        <f>HYPERLINK("https://klasma.github.io/Logging_2463/klagomålsmail/A 48594-2025 FSC-klagomål mail.docx", "A 48594-2025")</f>
        <v/>
      </c>
      <c r="X43">
        <f>HYPERLINK("https://klasma.github.io/Logging_2463/tillsyn/A 48594-2025 tillsynsbegäran.docx", "A 48594-2025")</f>
        <v/>
      </c>
      <c r="Y43">
        <f>HYPERLINK("https://klasma.github.io/Logging_2463/tillsynsmail/A 48594-2025 tillsynsbegäran mail.docx", "A 48594-2025")</f>
        <v/>
      </c>
    </row>
    <row r="44" ht="15" customHeight="1">
      <c r="A44" t="inlineStr">
        <is>
          <t>A 49050-2025</t>
        </is>
      </c>
      <c r="B44" s="1" t="n">
        <v>45937.63756944444</v>
      </c>
      <c r="C44" s="1" t="n">
        <v>46187</v>
      </c>
      <c r="D44" t="inlineStr">
        <is>
          <t>VÄSTERBOTTENS LÄN</t>
        </is>
      </c>
      <c r="E44" t="inlineStr">
        <is>
          <t>ÅSELE</t>
        </is>
      </c>
      <c r="F44" t="inlineStr">
        <is>
          <t>SCA</t>
        </is>
      </c>
      <c r="G44" t="n">
        <v>9.300000000000001</v>
      </c>
      <c r="H44" t="n">
        <v>1</v>
      </c>
      <c r="I44" t="n">
        <v>0</v>
      </c>
      <c r="J44" t="n">
        <v>0</v>
      </c>
      <c r="K44" t="n">
        <v>0</v>
      </c>
      <c r="L44" t="n">
        <v>0</v>
      </c>
      <c r="M44" t="n">
        <v>0</v>
      </c>
      <c r="N44" t="n">
        <v>0</v>
      </c>
      <c r="O44" t="n">
        <v>0</v>
      </c>
      <c r="P44" t="n">
        <v>0</v>
      </c>
      <c r="Q44" t="n">
        <v>1</v>
      </c>
      <c r="R44" s="2" t="inlineStr">
        <is>
          <t>Orre</t>
        </is>
      </c>
      <c r="S44">
        <f>HYPERLINK("https://klasma.github.io/Logging_2463/artfynd/A 49050-2025 artfynd.xlsx", "A 49050-2025")</f>
        <v/>
      </c>
      <c r="T44">
        <f>HYPERLINK("https://klasma.github.io/Logging_2463/kartor/A 49050-2025 karta.png", "A 49050-2025")</f>
        <v/>
      </c>
      <c r="V44">
        <f>HYPERLINK("https://klasma.github.io/Logging_2463/klagomål/A 49050-2025 FSC-klagomål.docx", "A 49050-2025")</f>
        <v/>
      </c>
      <c r="W44">
        <f>HYPERLINK("https://klasma.github.io/Logging_2463/klagomålsmail/A 49050-2025 FSC-klagomål mail.docx", "A 49050-2025")</f>
        <v/>
      </c>
      <c r="X44">
        <f>HYPERLINK("https://klasma.github.io/Logging_2463/tillsyn/A 49050-2025 tillsynsbegäran.docx", "A 49050-2025")</f>
        <v/>
      </c>
      <c r="Y44">
        <f>HYPERLINK("https://klasma.github.io/Logging_2463/tillsynsmail/A 49050-2025 tillsynsbegäran mail.docx", "A 49050-2025")</f>
        <v/>
      </c>
      <c r="Z44">
        <f>HYPERLINK("https://klasma.github.io/Logging_2463/fåglar/A 49050-2025 prioriterade fågelarter.docx", "A 49050-2025")</f>
        <v/>
      </c>
    </row>
    <row r="45" ht="15" customHeight="1">
      <c r="A45" t="inlineStr">
        <is>
          <t>A 41078-2025</t>
        </is>
      </c>
      <c r="B45" s="1" t="n">
        <v>45898</v>
      </c>
      <c r="C45" s="1" t="n">
        <v>46187</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46187</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46187</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43459-2024</t>
        </is>
      </c>
      <c r="B48" s="1" t="n">
        <v>45568</v>
      </c>
      <c r="C48" s="1" t="n">
        <v>46187</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50420-2024</t>
        </is>
      </c>
      <c r="B49" s="1" t="n">
        <v>45601</v>
      </c>
      <c r="C49" s="1" t="n">
        <v>46187</v>
      </c>
      <c r="D49" t="inlineStr">
        <is>
          <t>VÄSTERBOTTENS LÄN</t>
        </is>
      </c>
      <c r="E49" t="inlineStr">
        <is>
          <t>ÅSELE</t>
        </is>
      </c>
      <c r="F49" t="inlineStr">
        <is>
          <t>SCA</t>
        </is>
      </c>
      <c r="G49" t="n">
        <v>2.5</v>
      </c>
      <c r="H49" t="n">
        <v>0</v>
      </c>
      <c r="I49" t="n">
        <v>1</v>
      </c>
      <c r="J49" t="n">
        <v>0</v>
      </c>
      <c r="K49" t="n">
        <v>0</v>
      </c>
      <c r="L49" t="n">
        <v>0</v>
      </c>
      <c r="M49" t="n">
        <v>0</v>
      </c>
      <c r="N49" t="n">
        <v>0</v>
      </c>
      <c r="O49" t="n">
        <v>0</v>
      </c>
      <c r="P49" t="n">
        <v>0</v>
      </c>
      <c r="Q49" t="n">
        <v>1</v>
      </c>
      <c r="R49" s="2" t="inlineStr">
        <is>
          <t>Skör kvastmossa</t>
        </is>
      </c>
      <c r="S49">
        <f>HYPERLINK("https://klasma.github.io/Logging_2463/artfynd/A 50420-2024 artfynd.xlsx", "A 50420-2024")</f>
        <v/>
      </c>
      <c r="T49">
        <f>HYPERLINK("https://klasma.github.io/Logging_2463/kartor/A 50420-2024 karta.png", "A 50420-2024")</f>
        <v/>
      </c>
      <c r="V49">
        <f>HYPERLINK("https://klasma.github.io/Logging_2463/klagomål/A 50420-2024 FSC-klagomål.docx", "A 50420-2024")</f>
        <v/>
      </c>
      <c r="W49">
        <f>HYPERLINK("https://klasma.github.io/Logging_2463/klagomålsmail/A 50420-2024 FSC-klagomål mail.docx", "A 50420-2024")</f>
        <v/>
      </c>
      <c r="X49">
        <f>HYPERLINK("https://klasma.github.io/Logging_2463/tillsyn/A 50420-2024 tillsynsbegäran.docx", "A 50420-2024")</f>
        <v/>
      </c>
      <c r="Y49">
        <f>HYPERLINK("https://klasma.github.io/Logging_2463/tillsynsmail/A 50420-2024 tillsynsbegäran mail.docx", "A 50420-2024")</f>
        <v/>
      </c>
    </row>
    <row r="50" ht="15" customHeight="1">
      <c r="A50" t="inlineStr">
        <is>
          <t>A 27106-2025</t>
        </is>
      </c>
      <c r="B50" s="1" t="n">
        <v>45811</v>
      </c>
      <c r="C50" s="1" t="n">
        <v>46187</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48743-2023</t>
        </is>
      </c>
      <c r="B51" s="1" t="n">
        <v>45208</v>
      </c>
      <c r="C51" s="1" t="n">
        <v>46187</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37568-2025</t>
        </is>
      </c>
      <c r="B52" s="1" t="n">
        <v>45880.3647337963</v>
      </c>
      <c r="C52" s="1" t="n">
        <v>46187</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42132-2024</t>
        </is>
      </c>
      <c r="B53" s="1" t="n">
        <v>45562</v>
      </c>
      <c r="C53" s="1" t="n">
        <v>46187</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46187</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46187</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46187</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46187</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36450-2021</t>
        </is>
      </c>
      <c r="B58" s="1" t="n">
        <v>44390</v>
      </c>
      <c r="C58" s="1" t="n">
        <v>46187</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24669-2022</t>
        </is>
      </c>
      <c r="B59" s="1" t="n">
        <v>44727.65446759259</v>
      </c>
      <c r="C59" s="1" t="n">
        <v>46187</v>
      </c>
      <c r="D59" t="inlineStr">
        <is>
          <t>VÄSTERBOTTENS LÄN</t>
        </is>
      </c>
      <c r="E59" t="inlineStr">
        <is>
          <t>ÅSELE</t>
        </is>
      </c>
      <c r="F59" t="inlineStr">
        <is>
          <t>Holmen skog AB</t>
        </is>
      </c>
      <c r="G59" t="n">
        <v>2.1</v>
      </c>
      <c r="H59" t="n">
        <v>0</v>
      </c>
      <c r="I59" t="n">
        <v>0</v>
      </c>
      <c r="J59" t="n">
        <v>0</v>
      </c>
      <c r="K59" t="n">
        <v>0</v>
      </c>
      <c r="L59" t="n">
        <v>0</v>
      </c>
      <c r="M59" t="n">
        <v>0</v>
      </c>
      <c r="N59" t="n">
        <v>0</v>
      </c>
      <c r="O59" t="n">
        <v>0</v>
      </c>
      <c r="P59" t="n">
        <v>0</v>
      </c>
      <c r="Q59" t="n">
        <v>0</v>
      </c>
      <c r="R59" s="2" t="inlineStr"/>
    </row>
    <row r="60" ht="15" customHeight="1">
      <c r="A60" t="inlineStr">
        <is>
          <t>A 42193-2021</t>
        </is>
      </c>
      <c r="B60" s="1" t="n">
        <v>44426.69363425926</v>
      </c>
      <c r="C60" s="1" t="n">
        <v>46187</v>
      </c>
      <c r="D60" t="inlineStr">
        <is>
          <t>VÄSTERBOTTENS LÄN</t>
        </is>
      </c>
      <c r="E60" t="inlineStr">
        <is>
          <t>ÅSELE</t>
        </is>
      </c>
      <c r="G60" t="n">
        <v>10.1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46187</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46187</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31848-2022</t>
        </is>
      </c>
      <c r="B63" s="1" t="n">
        <v>44776</v>
      </c>
      <c r="C63" s="1" t="n">
        <v>46187</v>
      </c>
      <c r="D63" t="inlineStr">
        <is>
          <t>VÄSTERBOTTENS LÄN</t>
        </is>
      </c>
      <c r="E63" t="inlineStr">
        <is>
          <t>ÅSELE</t>
        </is>
      </c>
      <c r="F63" t="inlineStr">
        <is>
          <t>SCA</t>
        </is>
      </c>
      <c r="G63" t="n">
        <v>1.4</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46187</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37313-2022</t>
        </is>
      </c>
      <c r="B65" s="1" t="n">
        <v>44808.95638888889</v>
      </c>
      <c r="C65" s="1" t="n">
        <v>46187</v>
      </c>
      <c r="D65" t="inlineStr">
        <is>
          <t>VÄSTERBOTTENS LÄN</t>
        </is>
      </c>
      <c r="E65" t="inlineStr">
        <is>
          <t>ÅSELE</t>
        </is>
      </c>
      <c r="G65" t="n">
        <v>2.5</v>
      </c>
      <c r="H65" t="n">
        <v>0</v>
      </c>
      <c r="I65" t="n">
        <v>0</v>
      </c>
      <c r="J65" t="n">
        <v>0</v>
      </c>
      <c r="K65" t="n">
        <v>0</v>
      </c>
      <c r="L65" t="n">
        <v>0</v>
      </c>
      <c r="M65" t="n">
        <v>0</v>
      </c>
      <c r="N65" t="n">
        <v>0</v>
      </c>
      <c r="O65" t="n">
        <v>0</v>
      </c>
      <c r="P65" t="n">
        <v>0</v>
      </c>
      <c r="Q65" t="n">
        <v>0</v>
      </c>
      <c r="R65" s="2" t="inlineStr"/>
    </row>
    <row r="66" ht="15" customHeight="1">
      <c r="A66" t="inlineStr">
        <is>
          <t>A 36188-2022</t>
        </is>
      </c>
      <c r="B66" s="1" t="n">
        <v>44803.43947916666</v>
      </c>
      <c r="C66" s="1" t="n">
        <v>46187</v>
      </c>
      <c r="D66" t="inlineStr">
        <is>
          <t>VÄSTERBOTTENS LÄN</t>
        </is>
      </c>
      <c r="E66" t="inlineStr">
        <is>
          <t>ÅSELE</t>
        </is>
      </c>
      <c r="F66" t="inlineStr">
        <is>
          <t>Sveaskog</t>
        </is>
      </c>
      <c r="G66" t="n">
        <v>14.2</v>
      </c>
      <c r="H66" t="n">
        <v>0</v>
      </c>
      <c r="I66" t="n">
        <v>0</v>
      </c>
      <c r="J66" t="n">
        <v>0</v>
      </c>
      <c r="K66" t="n">
        <v>0</v>
      </c>
      <c r="L66" t="n">
        <v>0</v>
      </c>
      <c r="M66" t="n">
        <v>0</v>
      </c>
      <c r="N66" t="n">
        <v>0</v>
      </c>
      <c r="O66" t="n">
        <v>0</v>
      </c>
      <c r="P66" t="n">
        <v>0</v>
      </c>
      <c r="Q66" t="n">
        <v>0</v>
      </c>
      <c r="R66" s="2" t="inlineStr"/>
    </row>
    <row r="67" ht="15" customHeight="1">
      <c r="A67" t="inlineStr">
        <is>
          <t>A 46981-2022</t>
        </is>
      </c>
      <c r="B67" s="1" t="n">
        <v>44851.95386574074</v>
      </c>
      <c r="C67" s="1" t="n">
        <v>46187</v>
      </c>
      <c r="D67" t="inlineStr">
        <is>
          <t>VÄSTERBOTTENS LÄN</t>
        </is>
      </c>
      <c r="E67" t="inlineStr">
        <is>
          <t>ÅSELE</t>
        </is>
      </c>
      <c r="F67" t="inlineStr">
        <is>
          <t>SCA</t>
        </is>
      </c>
      <c r="G67" t="n">
        <v>1.1</v>
      </c>
      <c r="H67" t="n">
        <v>0</v>
      </c>
      <c r="I67" t="n">
        <v>0</v>
      </c>
      <c r="J67" t="n">
        <v>0</v>
      </c>
      <c r="K67" t="n">
        <v>0</v>
      </c>
      <c r="L67" t="n">
        <v>0</v>
      </c>
      <c r="M67" t="n">
        <v>0</v>
      </c>
      <c r="N67" t="n">
        <v>0</v>
      </c>
      <c r="O67" t="n">
        <v>0</v>
      </c>
      <c r="P67" t="n">
        <v>0</v>
      </c>
      <c r="Q67" t="n">
        <v>0</v>
      </c>
      <c r="R67" s="2" t="inlineStr"/>
    </row>
    <row r="68" ht="15" customHeight="1">
      <c r="A68" t="inlineStr">
        <is>
          <t>A 46340-2022</t>
        </is>
      </c>
      <c r="B68" s="1" t="n">
        <v>44847.94993055556</v>
      </c>
      <c r="C68" s="1" t="n">
        <v>46187</v>
      </c>
      <c r="D68" t="inlineStr">
        <is>
          <t>VÄSTERBOTTENS LÄN</t>
        </is>
      </c>
      <c r="E68" t="inlineStr">
        <is>
          <t>ÅSELE</t>
        </is>
      </c>
      <c r="F68" t="inlineStr">
        <is>
          <t>SCA</t>
        </is>
      </c>
      <c r="G68" t="n">
        <v>2.2</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46187</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35227-2022</t>
        </is>
      </c>
      <c r="B70" s="1" t="n">
        <v>44797.94505787037</v>
      </c>
      <c r="C70" s="1" t="n">
        <v>46187</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30938-2022</t>
        </is>
      </c>
      <c r="B71" s="1" t="n">
        <v>44767.94136574074</v>
      </c>
      <c r="C71" s="1" t="n">
        <v>46187</v>
      </c>
      <c r="D71" t="inlineStr">
        <is>
          <t>VÄSTERBOTTENS LÄN</t>
        </is>
      </c>
      <c r="E71" t="inlineStr">
        <is>
          <t>ÅSELE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34786-2022</t>
        </is>
      </c>
      <c r="B72" s="1" t="n">
        <v>44795.94395833334</v>
      </c>
      <c r="C72" s="1" t="n">
        <v>46187</v>
      </c>
      <c r="D72" t="inlineStr">
        <is>
          <t>VÄSTERBOTTENS LÄN</t>
        </is>
      </c>
      <c r="E72" t="inlineStr">
        <is>
          <t>ÅSELE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46187</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54911-2021</t>
        </is>
      </c>
      <c r="B74" s="1" t="n">
        <v>44474</v>
      </c>
      <c r="C74" s="1" t="n">
        <v>46187</v>
      </c>
      <c r="D74" t="inlineStr">
        <is>
          <t>VÄSTERBOTTENS LÄN</t>
        </is>
      </c>
      <c r="E74" t="inlineStr">
        <is>
          <t>ÅSELE</t>
        </is>
      </c>
      <c r="F74" t="inlineStr">
        <is>
          <t>Holmen skog AB</t>
        </is>
      </c>
      <c r="G74" t="n">
        <v>3.7</v>
      </c>
      <c r="H74" t="n">
        <v>0</v>
      </c>
      <c r="I74" t="n">
        <v>0</v>
      </c>
      <c r="J74" t="n">
        <v>0</v>
      </c>
      <c r="K74" t="n">
        <v>0</v>
      </c>
      <c r="L74" t="n">
        <v>0</v>
      </c>
      <c r="M74" t="n">
        <v>0</v>
      </c>
      <c r="N74" t="n">
        <v>0</v>
      </c>
      <c r="O74" t="n">
        <v>0</v>
      </c>
      <c r="P74" t="n">
        <v>0</v>
      </c>
      <c r="Q74" t="n">
        <v>0</v>
      </c>
      <c r="R74" s="2" t="inlineStr"/>
    </row>
    <row r="75" ht="15" customHeight="1">
      <c r="A75" t="inlineStr">
        <is>
          <t>A 39400-2022</t>
        </is>
      </c>
      <c r="B75" s="1" t="n">
        <v>44817.94888888889</v>
      </c>
      <c r="C75" s="1" t="n">
        <v>46187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34471-2021</t>
        </is>
      </c>
      <c r="B76" s="1" t="n">
        <v>44381</v>
      </c>
      <c r="C76" s="1" t="n">
        <v>46187</v>
      </c>
      <c r="D76" t="inlineStr">
        <is>
          <t>VÄSTERBOTTENS LÄN</t>
        </is>
      </c>
      <c r="E76" t="inlineStr">
        <is>
          <t>ÅSELE</t>
        </is>
      </c>
      <c r="G76" t="n">
        <v>8.1</v>
      </c>
      <c r="H76" t="n">
        <v>0</v>
      </c>
      <c r="I76" t="n">
        <v>0</v>
      </c>
      <c r="J76" t="n">
        <v>0</v>
      </c>
      <c r="K76" t="n">
        <v>0</v>
      </c>
      <c r="L76" t="n">
        <v>0</v>
      </c>
      <c r="M76" t="n">
        <v>0</v>
      </c>
      <c r="N76" t="n">
        <v>0</v>
      </c>
      <c r="O76" t="n">
        <v>0</v>
      </c>
      <c r="P76" t="n">
        <v>0</v>
      </c>
      <c r="Q76" t="n">
        <v>0</v>
      </c>
      <c r="R76" s="2" t="inlineStr"/>
    </row>
    <row r="77" ht="15" customHeight="1">
      <c r="A77" t="inlineStr">
        <is>
          <t>A 56060-2021</t>
        </is>
      </c>
      <c r="B77" s="1" t="n">
        <v>44477.49746527777</v>
      </c>
      <c r="C77" s="1" t="n">
        <v>46187</v>
      </c>
      <c r="D77" t="inlineStr">
        <is>
          <t>VÄSTERBOTTENS LÄN</t>
        </is>
      </c>
      <c r="E77" t="inlineStr">
        <is>
          <t>ÅSELE</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34470-2021</t>
        </is>
      </c>
      <c r="B78" s="1" t="n">
        <v>44381.91863425926</v>
      </c>
      <c r="C78" s="1" t="n">
        <v>46187</v>
      </c>
      <c r="D78" t="inlineStr">
        <is>
          <t>VÄSTERBOTTENS LÄN</t>
        </is>
      </c>
      <c r="E78" t="inlineStr">
        <is>
          <t>ÅSELE</t>
        </is>
      </c>
      <c r="G78" t="n">
        <v>5.7</v>
      </c>
      <c r="H78" t="n">
        <v>0</v>
      </c>
      <c r="I78" t="n">
        <v>0</v>
      </c>
      <c r="J78" t="n">
        <v>0</v>
      </c>
      <c r="K78" t="n">
        <v>0</v>
      </c>
      <c r="L78" t="n">
        <v>0</v>
      </c>
      <c r="M78" t="n">
        <v>0</v>
      </c>
      <c r="N78" t="n">
        <v>0</v>
      </c>
      <c r="O78" t="n">
        <v>0</v>
      </c>
      <c r="P78" t="n">
        <v>0</v>
      </c>
      <c r="Q78" t="n">
        <v>0</v>
      </c>
      <c r="R78" s="2" t="inlineStr"/>
    </row>
    <row r="79" ht="15" customHeight="1">
      <c r="A79" t="inlineStr">
        <is>
          <t>A 39386-2022</t>
        </is>
      </c>
      <c r="B79" s="1" t="n">
        <v>44817.94775462963</v>
      </c>
      <c r="C79" s="1" t="n">
        <v>46187</v>
      </c>
      <c r="D79" t="inlineStr">
        <is>
          <t>VÄSTERBOTTENS LÄN</t>
        </is>
      </c>
      <c r="E79" t="inlineStr">
        <is>
          <t>ÅSELE</t>
        </is>
      </c>
      <c r="G79" t="n">
        <v>0.4</v>
      </c>
      <c r="H79" t="n">
        <v>0</v>
      </c>
      <c r="I79" t="n">
        <v>0</v>
      </c>
      <c r="J79" t="n">
        <v>0</v>
      </c>
      <c r="K79" t="n">
        <v>0</v>
      </c>
      <c r="L79" t="n">
        <v>0</v>
      </c>
      <c r="M79" t="n">
        <v>0</v>
      </c>
      <c r="N79" t="n">
        <v>0</v>
      </c>
      <c r="O79" t="n">
        <v>0</v>
      </c>
      <c r="P79" t="n">
        <v>0</v>
      </c>
      <c r="Q79" t="n">
        <v>0</v>
      </c>
      <c r="R79" s="2" t="inlineStr"/>
    </row>
    <row r="80" ht="15" customHeight="1">
      <c r="A80" t="inlineStr">
        <is>
          <t>A 35754-2021</t>
        </is>
      </c>
      <c r="B80" s="1" t="n">
        <v>44386</v>
      </c>
      <c r="C80" s="1" t="n">
        <v>46187</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50424-2021</t>
        </is>
      </c>
      <c r="B81" s="1" t="n">
        <v>44459</v>
      </c>
      <c r="C81" s="1" t="n">
        <v>46187</v>
      </c>
      <c r="D81" t="inlineStr">
        <is>
          <t>VÄSTERBOTTENS LÄN</t>
        </is>
      </c>
      <c r="E81" t="inlineStr">
        <is>
          <t>ÅSELE</t>
        </is>
      </c>
      <c r="F81" t="inlineStr">
        <is>
          <t>Holmen skog AB</t>
        </is>
      </c>
      <c r="G81" t="n">
        <v>3.9</v>
      </c>
      <c r="H81" t="n">
        <v>0</v>
      </c>
      <c r="I81" t="n">
        <v>0</v>
      </c>
      <c r="J81" t="n">
        <v>0</v>
      </c>
      <c r="K81" t="n">
        <v>0</v>
      </c>
      <c r="L81" t="n">
        <v>0</v>
      </c>
      <c r="M81" t="n">
        <v>0</v>
      </c>
      <c r="N81" t="n">
        <v>0</v>
      </c>
      <c r="O81" t="n">
        <v>0</v>
      </c>
      <c r="P81" t="n">
        <v>0</v>
      </c>
      <c r="Q81" t="n">
        <v>0</v>
      </c>
      <c r="R81" s="2" t="inlineStr"/>
    </row>
    <row r="82" ht="15" customHeight="1">
      <c r="A82" t="inlineStr">
        <is>
          <t>A 55921-2021</t>
        </is>
      </c>
      <c r="B82" s="1" t="n">
        <v>44476</v>
      </c>
      <c r="C82" s="1" t="n">
        <v>46187</v>
      </c>
      <c r="D82" t="inlineStr">
        <is>
          <t>VÄSTERBOTTENS LÄN</t>
        </is>
      </c>
      <c r="E82" t="inlineStr">
        <is>
          <t>ÅSELE</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19701-2022</t>
        </is>
      </c>
      <c r="B83" s="1" t="n">
        <v>44694</v>
      </c>
      <c r="C83" s="1" t="n">
        <v>46187</v>
      </c>
      <c r="D83" t="inlineStr">
        <is>
          <t>VÄSTERBOTTENS LÄN</t>
        </is>
      </c>
      <c r="E83" t="inlineStr">
        <is>
          <t>ÅSELE</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3469-2022</t>
        </is>
      </c>
      <c r="B84" s="1" t="n">
        <v>44585</v>
      </c>
      <c r="C84" s="1" t="n">
        <v>46187</v>
      </c>
      <c r="D84" t="inlineStr">
        <is>
          <t>VÄSTERBOTTENS LÄN</t>
        </is>
      </c>
      <c r="E84" t="inlineStr">
        <is>
          <t>ÅSELE</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17255-2022</t>
        </is>
      </c>
      <c r="B85" s="1" t="n">
        <v>44678</v>
      </c>
      <c r="C85" s="1" t="n">
        <v>46187</v>
      </c>
      <c r="D85" t="inlineStr">
        <is>
          <t>VÄSTERBOTTENS LÄN</t>
        </is>
      </c>
      <c r="E85" t="inlineStr">
        <is>
          <t>ÅSELE</t>
        </is>
      </c>
      <c r="F85" t="inlineStr">
        <is>
          <t>Allmännings- och besparingsskogar</t>
        </is>
      </c>
      <c r="G85" t="n">
        <v>2.6</v>
      </c>
      <c r="H85" t="n">
        <v>0</v>
      </c>
      <c r="I85" t="n">
        <v>0</v>
      </c>
      <c r="J85" t="n">
        <v>0</v>
      </c>
      <c r="K85" t="n">
        <v>0</v>
      </c>
      <c r="L85" t="n">
        <v>0</v>
      </c>
      <c r="M85" t="n">
        <v>0</v>
      </c>
      <c r="N85" t="n">
        <v>0</v>
      </c>
      <c r="O85" t="n">
        <v>0</v>
      </c>
      <c r="P85" t="n">
        <v>0</v>
      </c>
      <c r="Q85" t="n">
        <v>0</v>
      </c>
      <c r="R85" s="2" t="inlineStr"/>
    </row>
    <row r="86" ht="15" customHeight="1">
      <c r="A86" t="inlineStr">
        <is>
          <t>A 55922-2021</t>
        </is>
      </c>
      <c r="B86" s="1" t="n">
        <v>44476</v>
      </c>
      <c r="C86" s="1" t="n">
        <v>46187</v>
      </c>
      <c r="D86" t="inlineStr">
        <is>
          <t>VÄSTERBOTTENS LÄN</t>
        </is>
      </c>
      <c r="E86" t="inlineStr">
        <is>
          <t>ÅSELE</t>
        </is>
      </c>
      <c r="F86" t="inlineStr">
        <is>
          <t>SCA</t>
        </is>
      </c>
      <c r="G86" t="n">
        <v>1.5</v>
      </c>
      <c r="H86" t="n">
        <v>0</v>
      </c>
      <c r="I86" t="n">
        <v>0</v>
      </c>
      <c r="J86" t="n">
        <v>0</v>
      </c>
      <c r="K86" t="n">
        <v>0</v>
      </c>
      <c r="L86" t="n">
        <v>0</v>
      </c>
      <c r="M86" t="n">
        <v>0</v>
      </c>
      <c r="N86" t="n">
        <v>0</v>
      </c>
      <c r="O86" t="n">
        <v>0</v>
      </c>
      <c r="P86" t="n">
        <v>0</v>
      </c>
      <c r="Q86" t="n">
        <v>0</v>
      </c>
      <c r="R86" s="2" t="inlineStr"/>
    </row>
    <row r="87" ht="15" customHeight="1">
      <c r="A87" t="inlineStr">
        <is>
          <t>A 29776-2022</t>
        </is>
      </c>
      <c r="B87" s="1" t="n">
        <v>44755</v>
      </c>
      <c r="C87" s="1" t="n">
        <v>46187</v>
      </c>
      <c r="D87" t="inlineStr">
        <is>
          <t>VÄSTERBOTTENS LÄN</t>
        </is>
      </c>
      <c r="E87" t="inlineStr">
        <is>
          <t>ÅSELE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34787-2022</t>
        </is>
      </c>
      <c r="B88" s="1" t="n">
        <v>44795</v>
      </c>
      <c r="C88" s="1" t="n">
        <v>46187</v>
      </c>
      <c r="D88" t="inlineStr">
        <is>
          <t>VÄSTERBOTTENS LÄN</t>
        </is>
      </c>
      <c r="E88" t="inlineStr">
        <is>
          <t>ÅSELE</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39938-2021</t>
        </is>
      </c>
      <c r="B89" s="1" t="n">
        <v>44417</v>
      </c>
      <c r="C89" s="1" t="n">
        <v>46187</v>
      </c>
      <c r="D89" t="inlineStr">
        <is>
          <t>VÄSTERBOTTENS LÄN</t>
        </is>
      </c>
      <c r="E89" t="inlineStr">
        <is>
          <t>ÅSELE</t>
        </is>
      </c>
      <c r="F89" t="inlineStr">
        <is>
          <t>SCA</t>
        </is>
      </c>
      <c r="G89" t="n">
        <v>1.4</v>
      </c>
      <c r="H89" t="n">
        <v>0</v>
      </c>
      <c r="I89" t="n">
        <v>0</v>
      </c>
      <c r="J89" t="n">
        <v>0</v>
      </c>
      <c r="K89" t="n">
        <v>0</v>
      </c>
      <c r="L89" t="n">
        <v>0</v>
      </c>
      <c r="M89" t="n">
        <v>0</v>
      </c>
      <c r="N89" t="n">
        <v>0</v>
      </c>
      <c r="O89" t="n">
        <v>0</v>
      </c>
      <c r="P89" t="n">
        <v>0</v>
      </c>
      <c r="Q89" t="n">
        <v>0</v>
      </c>
      <c r="R89" s="2" t="inlineStr"/>
    </row>
    <row r="90" ht="15" customHeight="1">
      <c r="A90" t="inlineStr">
        <is>
          <t>A 48283-2022</t>
        </is>
      </c>
      <c r="B90" s="1" t="n">
        <v>44858</v>
      </c>
      <c r="C90" s="1" t="n">
        <v>46187</v>
      </c>
      <c r="D90" t="inlineStr">
        <is>
          <t>VÄSTERBOTTENS LÄN</t>
        </is>
      </c>
      <c r="E90" t="inlineStr">
        <is>
          <t>ÅSELE</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49527-2022</t>
        </is>
      </c>
      <c r="B91" s="1" t="n">
        <v>44861.95710648148</v>
      </c>
      <c r="C91" s="1" t="n">
        <v>46187</v>
      </c>
      <c r="D91" t="inlineStr">
        <is>
          <t>VÄSTERBOTTENS LÄN</t>
        </is>
      </c>
      <c r="E91" t="inlineStr">
        <is>
          <t>ÅSELE</t>
        </is>
      </c>
      <c r="F91" t="inlineStr">
        <is>
          <t>SCA</t>
        </is>
      </c>
      <c r="G91" t="n">
        <v>3</v>
      </c>
      <c r="H91" t="n">
        <v>0</v>
      </c>
      <c r="I91" t="n">
        <v>0</v>
      </c>
      <c r="J91" t="n">
        <v>0</v>
      </c>
      <c r="K91" t="n">
        <v>0</v>
      </c>
      <c r="L91" t="n">
        <v>0</v>
      </c>
      <c r="M91" t="n">
        <v>0</v>
      </c>
      <c r="N91" t="n">
        <v>0</v>
      </c>
      <c r="O91" t="n">
        <v>0</v>
      </c>
      <c r="P91" t="n">
        <v>0</v>
      </c>
      <c r="Q91" t="n">
        <v>0</v>
      </c>
      <c r="R91" s="2" t="inlineStr"/>
    </row>
    <row r="92" ht="15" customHeight="1">
      <c r="A92" t="inlineStr">
        <is>
          <t>A 66557-2021</t>
        </is>
      </c>
      <c r="B92" s="1" t="n">
        <v>44519.41366898148</v>
      </c>
      <c r="C92" s="1" t="n">
        <v>46187</v>
      </c>
      <c r="D92" t="inlineStr">
        <is>
          <t>VÄSTERBOTTENS LÄN</t>
        </is>
      </c>
      <c r="E92" t="inlineStr">
        <is>
          <t>ÅSELE</t>
        </is>
      </c>
      <c r="F92" t="inlineStr">
        <is>
          <t>Holmen skog AB</t>
        </is>
      </c>
      <c r="G92" t="n">
        <v>2.3</v>
      </c>
      <c r="H92" t="n">
        <v>0</v>
      </c>
      <c r="I92" t="n">
        <v>0</v>
      </c>
      <c r="J92" t="n">
        <v>0</v>
      </c>
      <c r="K92" t="n">
        <v>0</v>
      </c>
      <c r="L92" t="n">
        <v>0</v>
      </c>
      <c r="M92" t="n">
        <v>0</v>
      </c>
      <c r="N92" t="n">
        <v>0</v>
      </c>
      <c r="O92" t="n">
        <v>0</v>
      </c>
      <c r="P92" t="n">
        <v>0</v>
      </c>
      <c r="Q92" t="n">
        <v>0</v>
      </c>
      <c r="R92" s="2" t="inlineStr"/>
    </row>
    <row r="93" ht="15" customHeight="1">
      <c r="A93" t="inlineStr">
        <is>
          <t>A 15559-2022</t>
        </is>
      </c>
      <c r="B93" s="1" t="n">
        <v>44662</v>
      </c>
      <c r="C93" s="1" t="n">
        <v>46187</v>
      </c>
      <c r="D93" t="inlineStr">
        <is>
          <t>VÄSTERBOTTENS LÄN</t>
        </is>
      </c>
      <c r="E93" t="inlineStr">
        <is>
          <t>ÅSELE</t>
        </is>
      </c>
      <c r="G93" t="n">
        <v>6.4</v>
      </c>
      <c r="H93" t="n">
        <v>0</v>
      </c>
      <c r="I93" t="n">
        <v>0</v>
      </c>
      <c r="J93" t="n">
        <v>0</v>
      </c>
      <c r="K93" t="n">
        <v>0</v>
      </c>
      <c r="L93" t="n">
        <v>0</v>
      </c>
      <c r="M93" t="n">
        <v>0</v>
      </c>
      <c r="N93" t="n">
        <v>0</v>
      </c>
      <c r="O93" t="n">
        <v>0</v>
      </c>
      <c r="P93" t="n">
        <v>0</v>
      </c>
      <c r="Q93" t="n">
        <v>0</v>
      </c>
      <c r="R93" s="2" t="inlineStr"/>
    </row>
    <row r="94" ht="15" customHeight="1">
      <c r="A94" t="inlineStr">
        <is>
          <t>A 52025-2022</t>
        </is>
      </c>
      <c r="B94" s="1" t="n">
        <v>44872.95690972222</v>
      </c>
      <c r="C94" s="1" t="n">
        <v>46187</v>
      </c>
      <c r="D94" t="inlineStr">
        <is>
          <t>VÄSTERBOTTENS LÄN</t>
        </is>
      </c>
      <c r="E94" t="inlineStr">
        <is>
          <t>ÅSELE</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69370-2021</t>
        </is>
      </c>
      <c r="B95" s="1" t="n">
        <v>44531</v>
      </c>
      <c r="C95" s="1" t="n">
        <v>46187</v>
      </c>
      <c r="D95" t="inlineStr">
        <is>
          <t>VÄSTERBOTTENS LÄN</t>
        </is>
      </c>
      <c r="E95" t="inlineStr">
        <is>
          <t>ÅSELE</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43737-2021</t>
        </is>
      </c>
      <c r="B96" s="1" t="n">
        <v>44433.64141203704</v>
      </c>
      <c r="C96" s="1" t="n">
        <v>46187</v>
      </c>
      <c r="D96" t="inlineStr">
        <is>
          <t>VÄSTERBOTTENS LÄN</t>
        </is>
      </c>
      <c r="E96" t="inlineStr">
        <is>
          <t>ÅSELE</t>
        </is>
      </c>
      <c r="F96" t="inlineStr">
        <is>
          <t>Naturvårdsverket</t>
        </is>
      </c>
      <c r="G96" t="n">
        <v>2.1</v>
      </c>
      <c r="H96" t="n">
        <v>0</v>
      </c>
      <c r="I96" t="n">
        <v>0</v>
      </c>
      <c r="J96" t="n">
        <v>0</v>
      </c>
      <c r="K96" t="n">
        <v>0</v>
      </c>
      <c r="L96" t="n">
        <v>0</v>
      </c>
      <c r="M96" t="n">
        <v>0</v>
      </c>
      <c r="N96" t="n">
        <v>0</v>
      </c>
      <c r="O96" t="n">
        <v>0</v>
      </c>
      <c r="P96" t="n">
        <v>0</v>
      </c>
      <c r="Q96" t="n">
        <v>0</v>
      </c>
      <c r="R96" s="2" t="inlineStr"/>
    </row>
    <row r="97" ht="15" customHeight="1">
      <c r="A97" t="inlineStr">
        <is>
          <t>A 18568-2022</t>
        </is>
      </c>
      <c r="B97" s="1" t="n">
        <v>44686.94269675926</v>
      </c>
      <c r="C97" s="1" t="n">
        <v>46187</v>
      </c>
      <c r="D97" t="inlineStr">
        <is>
          <t>VÄSTERBOTTENS LÄN</t>
        </is>
      </c>
      <c r="E97" t="inlineStr">
        <is>
          <t>ÅSELE</t>
        </is>
      </c>
      <c r="F97" t="inlineStr">
        <is>
          <t>SCA</t>
        </is>
      </c>
      <c r="G97" t="n">
        <v>0.4</v>
      </c>
      <c r="H97" t="n">
        <v>0</v>
      </c>
      <c r="I97" t="n">
        <v>0</v>
      </c>
      <c r="J97" t="n">
        <v>0</v>
      </c>
      <c r="K97" t="n">
        <v>0</v>
      </c>
      <c r="L97" t="n">
        <v>0</v>
      </c>
      <c r="M97" t="n">
        <v>0</v>
      </c>
      <c r="N97" t="n">
        <v>0</v>
      </c>
      <c r="O97" t="n">
        <v>0</v>
      </c>
      <c r="P97" t="n">
        <v>0</v>
      </c>
      <c r="Q97" t="n">
        <v>0</v>
      </c>
      <c r="R97" s="2" t="inlineStr"/>
    </row>
    <row r="98" ht="15" customHeight="1">
      <c r="A98" t="inlineStr">
        <is>
          <t>A 62268-2021</t>
        </is>
      </c>
      <c r="B98" s="1" t="n">
        <v>44503</v>
      </c>
      <c r="C98" s="1" t="n">
        <v>46187</v>
      </c>
      <c r="D98" t="inlineStr">
        <is>
          <t>VÄSTERBOTTENS LÄN</t>
        </is>
      </c>
      <c r="E98" t="inlineStr">
        <is>
          <t>ÅSELE</t>
        </is>
      </c>
      <c r="F98" t="inlineStr">
        <is>
          <t>Holmen skog AB</t>
        </is>
      </c>
      <c r="G98" t="n">
        <v>6.5</v>
      </c>
      <c r="H98" t="n">
        <v>0</v>
      </c>
      <c r="I98" t="n">
        <v>0</v>
      </c>
      <c r="J98" t="n">
        <v>0</v>
      </c>
      <c r="K98" t="n">
        <v>0</v>
      </c>
      <c r="L98" t="n">
        <v>0</v>
      </c>
      <c r="M98" t="n">
        <v>0</v>
      </c>
      <c r="N98" t="n">
        <v>0</v>
      </c>
      <c r="O98" t="n">
        <v>0</v>
      </c>
      <c r="P98" t="n">
        <v>0</v>
      </c>
      <c r="Q98" t="n">
        <v>0</v>
      </c>
      <c r="R98" s="2" t="inlineStr"/>
    </row>
    <row r="99" ht="15" customHeight="1">
      <c r="A99" t="inlineStr">
        <is>
          <t>A 35561-2021</t>
        </is>
      </c>
      <c r="B99" s="1" t="n">
        <v>44385.93583333334</v>
      </c>
      <c r="C99" s="1" t="n">
        <v>46187</v>
      </c>
      <c r="D99" t="inlineStr">
        <is>
          <t>VÄSTERBOTTENS LÄN</t>
        </is>
      </c>
      <c r="E99" t="inlineStr">
        <is>
          <t>ÅSELE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46187</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35745-2021</t>
        </is>
      </c>
      <c r="B101" s="1" t="n">
        <v>44386.56488425926</v>
      </c>
      <c r="C101" s="1" t="n">
        <v>46187</v>
      </c>
      <c r="D101" t="inlineStr">
        <is>
          <t>VÄSTERBOTTENS LÄN</t>
        </is>
      </c>
      <c r="E101" t="inlineStr">
        <is>
          <t>ÅSELE</t>
        </is>
      </c>
      <c r="F101" t="inlineStr">
        <is>
          <t>Holmen skog AB</t>
        </is>
      </c>
      <c r="G101" t="n">
        <v>1.8</v>
      </c>
      <c r="H101" t="n">
        <v>0</v>
      </c>
      <c r="I101" t="n">
        <v>0</v>
      </c>
      <c r="J101" t="n">
        <v>0</v>
      </c>
      <c r="K101" t="n">
        <v>0</v>
      </c>
      <c r="L101" t="n">
        <v>0</v>
      </c>
      <c r="M101" t="n">
        <v>0</v>
      </c>
      <c r="N101" t="n">
        <v>0</v>
      </c>
      <c r="O101" t="n">
        <v>0</v>
      </c>
      <c r="P101" t="n">
        <v>0</v>
      </c>
      <c r="Q101" t="n">
        <v>0</v>
      </c>
      <c r="R101" s="2" t="inlineStr"/>
    </row>
    <row r="102" ht="15" customHeight="1">
      <c r="A102" t="inlineStr">
        <is>
          <t>A 32359-2022</t>
        </is>
      </c>
      <c r="B102" s="1" t="n">
        <v>44781</v>
      </c>
      <c r="C102" s="1" t="n">
        <v>46187</v>
      </c>
      <c r="D102" t="inlineStr">
        <is>
          <t>VÄSTERBOTTENS LÄN</t>
        </is>
      </c>
      <c r="E102" t="inlineStr">
        <is>
          <t>ÅSELE</t>
        </is>
      </c>
      <c r="F102" t="inlineStr">
        <is>
          <t>SCA</t>
        </is>
      </c>
      <c r="G102" t="n">
        <v>11.8</v>
      </c>
      <c r="H102" t="n">
        <v>0</v>
      </c>
      <c r="I102" t="n">
        <v>0</v>
      </c>
      <c r="J102" t="n">
        <v>0</v>
      </c>
      <c r="K102" t="n">
        <v>0</v>
      </c>
      <c r="L102" t="n">
        <v>0</v>
      </c>
      <c r="M102" t="n">
        <v>0</v>
      </c>
      <c r="N102" t="n">
        <v>0</v>
      </c>
      <c r="O102" t="n">
        <v>0</v>
      </c>
      <c r="P102" t="n">
        <v>0</v>
      </c>
      <c r="Q102" t="n">
        <v>0</v>
      </c>
      <c r="R102" s="2" t="inlineStr"/>
    </row>
    <row r="103" ht="15" customHeight="1">
      <c r="A103" t="inlineStr">
        <is>
          <t>A 61289-2021</t>
        </is>
      </c>
      <c r="B103" s="1" t="n">
        <v>44498.61892361111</v>
      </c>
      <c r="C103" s="1" t="n">
        <v>46187</v>
      </c>
      <c r="D103" t="inlineStr">
        <is>
          <t>VÄSTERBOTTENS LÄN</t>
        </is>
      </c>
      <c r="E103" t="inlineStr">
        <is>
          <t>ÅSELE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54432-2021</t>
        </is>
      </c>
      <c r="B104" s="1" t="n">
        <v>44472</v>
      </c>
      <c r="C104" s="1" t="n">
        <v>46187</v>
      </c>
      <c r="D104" t="inlineStr">
        <is>
          <t>VÄSTERBOTTENS LÄN</t>
        </is>
      </c>
      <c r="E104" t="inlineStr">
        <is>
          <t>ÅSELE</t>
        </is>
      </c>
      <c r="G104" t="n">
        <v>5.2</v>
      </c>
      <c r="H104" t="n">
        <v>0</v>
      </c>
      <c r="I104" t="n">
        <v>0</v>
      </c>
      <c r="J104" t="n">
        <v>0</v>
      </c>
      <c r="K104" t="n">
        <v>0</v>
      </c>
      <c r="L104" t="n">
        <v>0</v>
      </c>
      <c r="M104" t="n">
        <v>0</v>
      </c>
      <c r="N104" t="n">
        <v>0</v>
      </c>
      <c r="O104" t="n">
        <v>0</v>
      </c>
      <c r="P104" t="n">
        <v>0</v>
      </c>
      <c r="Q104" t="n">
        <v>0</v>
      </c>
      <c r="R104" s="2" t="inlineStr"/>
    </row>
    <row r="105" ht="15" customHeight="1">
      <c r="A105" t="inlineStr">
        <is>
          <t>A 61299-2021</t>
        </is>
      </c>
      <c r="B105" s="1" t="n">
        <v>44498.62789351852</v>
      </c>
      <c r="C105" s="1" t="n">
        <v>46187</v>
      </c>
      <c r="D105" t="inlineStr">
        <is>
          <t>VÄSTERBOTTENS LÄN</t>
        </is>
      </c>
      <c r="E105" t="inlineStr">
        <is>
          <t>ÅSELE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22011-2022</t>
        </is>
      </c>
      <c r="B106" s="1" t="n">
        <v>44711</v>
      </c>
      <c r="C106" s="1" t="n">
        <v>46187</v>
      </c>
      <c r="D106" t="inlineStr">
        <is>
          <t>VÄSTERBOTTENS LÄN</t>
        </is>
      </c>
      <c r="E106" t="inlineStr">
        <is>
          <t>ÅSELE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38979-2022</t>
        </is>
      </c>
      <c r="B107" s="1" t="n">
        <v>44816</v>
      </c>
      <c r="C107" s="1" t="n">
        <v>46187</v>
      </c>
      <c r="D107" t="inlineStr">
        <is>
          <t>VÄSTERBOTTENS LÄN</t>
        </is>
      </c>
      <c r="E107" t="inlineStr">
        <is>
          <t>ÅSELE</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21117-2022</t>
        </is>
      </c>
      <c r="B108" s="1" t="n">
        <v>44704.59678240741</v>
      </c>
      <c r="C108" s="1" t="n">
        <v>46187</v>
      </c>
      <c r="D108" t="inlineStr">
        <is>
          <t>VÄSTERBOTTENS LÄN</t>
        </is>
      </c>
      <c r="E108" t="inlineStr">
        <is>
          <t>ÅSELE</t>
        </is>
      </c>
      <c r="F108" t="inlineStr">
        <is>
          <t>Holmen skog AB</t>
        </is>
      </c>
      <c r="G108" t="n">
        <v>9.4</v>
      </c>
      <c r="H108" t="n">
        <v>0</v>
      </c>
      <c r="I108" t="n">
        <v>0</v>
      </c>
      <c r="J108" t="n">
        <v>0</v>
      </c>
      <c r="K108" t="n">
        <v>0</v>
      </c>
      <c r="L108" t="n">
        <v>0</v>
      </c>
      <c r="M108" t="n">
        <v>0</v>
      </c>
      <c r="N108" t="n">
        <v>0</v>
      </c>
      <c r="O108" t="n">
        <v>0</v>
      </c>
      <c r="P108" t="n">
        <v>0</v>
      </c>
      <c r="Q108" t="n">
        <v>0</v>
      </c>
      <c r="R108" s="2" t="inlineStr"/>
    </row>
    <row r="109" ht="15" customHeight="1">
      <c r="A109" t="inlineStr">
        <is>
          <t>A 21131-2022</t>
        </is>
      </c>
      <c r="B109" s="1" t="n">
        <v>44704.6177662037</v>
      </c>
      <c r="C109" s="1" t="n">
        <v>46187</v>
      </c>
      <c r="D109" t="inlineStr">
        <is>
          <t>VÄSTERBOTTENS LÄN</t>
        </is>
      </c>
      <c r="E109" t="inlineStr">
        <is>
          <t>ÅSELE</t>
        </is>
      </c>
      <c r="F109" t="inlineStr">
        <is>
          <t>Holmen skog AB</t>
        </is>
      </c>
      <c r="G109" t="n">
        <v>2.2</v>
      </c>
      <c r="H109" t="n">
        <v>0</v>
      </c>
      <c r="I109" t="n">
        <v>0</v>
      </c>
      <c r="J109" t="n">
        <v>0</v>
      </c>
      <c r="K109" t="n">
        <v>0</v>
      </c>
      <c r="L109" t="n">
        <v>0</v>
      </c>
      <c r="M109" t="n">
        <v>0</v>
      </c>
      <c r="N109" t="n">
        <v>0</v>
      </c>
      <c r="O109" t="n">
        <v>0</v>
      </c>
      <c r="P109" t="n">
        <v>0</v>
      </c>
      <c r="Q109" t="n">
        <v>0</v>
      </c>
      <c r="R109" s="2" t="inlineStr"/>
    </row>
    <row r="110" ht="15" customHeight="1">
      <c r="A110" t="inlineStr">
        <is>
          <t>A 13402-2025</t>
        </is>
      </c>
      <c r="B110" s="1" t="n">
        <v>45735</v>
      </c>
      <c r="C110" s="1" t="n">
        <v>46187</v>
      </c>
      <c r="D110" t="inlineStr">
        <is>
          <t>VÄSTERBOTTENS LÄN</t>
        </is>
      </c>
      <c r="E110" t="inlineStr">
        <is>
          <t>ÅSELE</t>
        </is>
      </c>
      <c r="G110" t="n">
        <v>1.7</v>
      </c>
      <c r="H110" t="n">
        <v>0</v>
      </c>
      <c r="I110" t="n">
        <v>0</v>
      </c>
      <c r="J110" t="n">
        <v>0</v>
      </c>
      <c r="K110" t="n">
        <v>0</v>
      </c>
      <c r="L110" t="n">
        <v>0</v>
      </c>
      <c r="M110" t="n">
        <v>0</v>
      </c>
      <c r="N110" t="n">
        <v>0</v>
      </c>
      <c r="O110" t="n">
        <v>0</v>
      </c>
      <c r="P110" t="n">
        <v>0</v>
      </c>
      <c r="Q110" t="n">
        <v>0</v>
      </c>
      <c r="R110" s="2" t="inlineStr"/>
    </row>
    <row r="111" ht="15" customHeight="1">
      <c r="A111" t="inlineStr">
        <is>
          <t>A 61397-2022</t>
        </is>
      </c>
      <c r="B111" s="1" t="n">
        <v>44915.94381944444</v>
      </c>
      <c r="C111" s="1" t="n">
        <v>46187</v>
      </c>
      <c r="D111" t="inlineStr">
        <is>
          <t>VÄSTERBOTTENS LÄN</t>
        </is>
      </c>
      <c r="E111" t="inlineStr">
        <is>
          <t>ÅSELE</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61398-2022</t>
        </is>
      </c>
      <c r="B112" s="1" t="n">
        <v>44915.94388888889</v>
      </c>
      <c r="C112" s="1" t="n">
        <v>46187</v>
      </c>
      <c r="D112" t="inlineStr">
        <is>
          <t>VÄSTERBOTTENS LÄN</t>
        </is>
      </c>
      <c r="E112" t="inlineStr">
        <is>
          <t>ÅSELE</t>
        </is>
      </c>
      <c r="F112" t="inlineStr">
        <is>
          <t>SCA</t>
        </is>
      </c>
      <c r="G112" t="n">
        <v>7.2</v>
      </c>
      <c r="H112" t="n">
        <v>0</v>
      </c>
      <c r="I112" t="n">
        <v>0</v>
      </c>
      <c r="J112" t="n">
        <v>0</v>
      </c>
      <c r="K112" t="n">
        <v>0</v>
      </c>
      <c r="L112" t="n">
        <v>0</v>
      </c>
      <c r="M112" t="n">
        <v>0</v>
      </c>
      <c r="N112" t="n">
        <v>0</v>
      </c>
      <c r="O112" t="n">
        <v>0</v>
      </c>
      <c r="P112" t="n">
        <v>0</v>
      </c>
      <c r="Q112" t="n">
        <v>0</v>
      </c>
      <c r="R112" s="2" t="inlineStr"/>
    </row>
    <row r="113" ht="15" customHeight="1">
      <c r="A113" t="inlineStr">
        <is>
          <t>A 29967-2024</t>
        </is>
      </c>
      <c r="B113" s="1" t="n">
        <v>45488.4725925926</v>
      </c>
      <c r="C113" s="1" t="n">
        <v>46187</v>
      </c>
      <c r="D113" t="inlineStr">
        <is>
          <t>VÄSTERBOTTENS LÄN</t>
        </is>
      </c>
      <c r="E113" t="inlineStr">
        <is>
          <t>ÅSELE</t>
        </is>
      </c>
      <c r="G113" t="n">
        <v>5.8</v>
      </c>
      <c r="H113" t="n">
        <v>0</v>
      </c>
      <c r="I113" t="n">
        <v>0</v>
      </c>
      <c r="J113" t="n">
        <v>0</v>
      </c>
      <c r="K113" t="n">
        <v>0</v>
      </c>
      <c r="L113" t="n">
        <v>0</v>
      </c>
      <c r="M113" t="n">
        <v>0</v>
      </c>
      <c r="N113" t="n">
        <v>0</v>
      </c>
      <c r="O113" t="n">
        <v>0</v>
      </c>
      <c r="P113" t="n">
        <v>0</v>
      </c>
      <c r="Q113" t="n">
        <v>0</v>
      </c>
      <c r="R113" s="2" t="inlineStr"/>
    </row>
    <row r="114" ht="15" customHeight="1">
      <c r="A114" t="inlineStr">
        <is>
          <t>A 60493-2024</t>
        </is>
      </c>
      <c r="B114" s="1" t="n">
        <v>45643.65672453704</v>
      </c>
      <c r="C114" s="1" t="n">
        <v>46187</v>
      </c>
      <c r="D114" t="inlineStr">
        <is>
          <t>VÄSTERBOTTENS LÄN</t>
        </is>
      </c>
      <c r="E114" t="inlineStr">
        <is>
          <t>ÅSELE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2891-2025</t>
        </is>
      </c>
      <c r="B115" s="1" t="n">
        <v>45677</v>
      </c>
      <c r="C115" s="1" t="n">
        <v>46187</v>
      </c>
      <c r="D115" t="inlineStr">
        <is>
          <t>VÄSTERBOTTENS LÄN</t>
        </is>
      </c>
      <c r="E115" t="inlineStr">
        <is>
          <t>ÅSELE</t>
        </is>
      </c>
      <c r="G115" t="n">
        <v>4.2</v>
      </c>
      <c r="H115" t="n">
        <v>0</v>
      </c>
      <c r="I115" t="n">
        <v>0</v>
      </c>
      <c r="J115" t="n">
        <v>0</v>
      </c>
      <c r="K115" t="n">
        <v>0</v>
      </c>
      <c r="L115" t="n">
        <v>0</v>
      </c>
      <c r="M115" t="n">
        <v>0</v>
      </c>
      <c r="N115" t="n">
        <v>0</v>
      </c>
      <c r="O115" t="n">
        <v>0</v>
      </c>
      <c r="P115" t="n">
        <v>0</v>
      </c>
      <c r="Q115" t="n">
        <v>0</v>
      </c>
      <c r="R115" s="2" t="inlineStr"/>
    </row>
    <row r="116" ht="15" customHeight="1">
      <c r="A116" t="inlineStr">
        <is>
          <t>A 33523-2021</t>
        </is>
      </c>
      <c r="B116" s="1" t="n">
        <v>44377.76381944444</v>
      </c>
      <c r="C116" s="1" t="n">
        <v>46187</v>
      </c>
      <c r="D116" t="inlineStr">
        <is>
          <t>VÄSTERBOTTENS LÄN</t>
        </is>
      </c>
      <c r="E116" t="inlineStr">
        <is>
          <t>ÅSELE</t>
        </is>
      </c>
      <c r="G116" t="n">
        <v>1.1</v>
      </c>
      <c r="H116" t="n">
        <v>0</v>
      </c>
      <c r="I116" t="n">
        <v>0</v>
      </c>
      <c r="J116" t="n">
        <v>0</v>
      </c>
      <c r="K116" t="n">
        <v>0</v>
      </c>
      <c r="L116" t="n">
        <v>0</v>
      </c>
      <c r="M116" t="n">
        <v>0</v>
      </c>
      <c r="N116" t="n">
        <v>0</v>
      </c>
      <c r="O116" t="n">
        <v>0</v>
      </c>
      <c r="P116" t="n">
        <v>0</v>
      </c>
      <c r="Q116" t="n">
        <v>0</v>
      </c>
      <c r="R116" s="2" t="inlineStr"/>
    </row>
    <row r="117" ht="15" customHeight="1">
      <c r="A117" t="inlineStr">
        <is>
          <t>A 3088-2024</t>
        </is>
      </c>
      <c r="B117" s="1" t="n">
        <v>45316</v>
      </c>
      <c r="C117" s="1" t="n">
        <v>46187</v>
      </c>
      <c r="D117" t="inlineStr">
        <is>
          <t>VÄSTERBOTTENS LÄN</t>
        </is>
      </c>
      <c r="E117" t="inlineStr">
        <is>
          <t>ÅSELE</t>
        </is>
      </c>
      <c r="G117" t="n">
        <v>2.2</v>
      </c>
      <c r="H117" t="n">
        <v>0</v>
      </c>
      <c r="I117" t="n">
        <v>0</v>
      </c>
      <c r="J117" t="n">
        <v>0</v>
      </c>
      <c r="K117" t="n">
        <v>0</v>
      </c>
      <c r="L117" t="n">
        <v>0</v>
      </c>
      <c r="M117" t="n">
        <v>0</v>
      </c>
      <c r="N117" t="n">
        <v>0</v>
      </c>
      <c r="O117" t="n">
        <v>0</v>
      </c>
      <c r="P117" t="n">
        <v>0</v>
      </c>
      <c r="Q117" t="n">
        <v>0</v>
      </c>
      <c r="R117" s="2" t="inlineStr"/>
    </row>
    <row r="118" ht="15" customHeight="1">
      <c r="A118" t="inlineStr">
        <is>
          <t>A 22112-2024</t>
        </is>
      </c>
      <c r="B118" s="1" t="n">
        <v>45443</v>
      </c>
      <c r="C118" s="1" t="n">
        <v>46187</v>
      </c>
      <c r="D118" t="inlineStr">
        <is>
          <t>VÄSTERBOTTENS LÄN</t>
        </is>
      </c>
      <c r="E118" t="inlineStr">
        <is>
          <t>ÅSELE</t>
        </is>
      </c>
      <c r="F118" t="inlineStr">
        <is>
          <t>SCA</t>
        </is>
      </c>
      <c r="G118" t="n">
        <v>25.9</v>
      </c>
      <c r="H118" t="n">
        <v>0</v>
      </c>
      <c r="I118" t="n">
        <v>0</v>
      </c>
      <c r="J118" t="n">
        <v>0</v>
      </c>
      <c r="K118" t="n">
        <v>0</v>
      </c>
      <c r="L118" t="n">
        <v>0</v>
      </c>
      <c r="M118" t="n">
        <v>0</v>
      </c>
      <c r="N118" t="n">
        <v>0</v>
      </c>
      <c r="O118" t="n">
        <v>0</v>
      </c>
      <c r="P118" t="n">
        <v>0</v>
      </c>
      <c r="Q118" t="n">
        <v>0</v>
      </c>
      <c r="R118" s="2" t="inlineStr"/>
    </row>
    <row r="119" ht="15" customHeight="1">
      <c r="A119" t="inlineStr">
        <is>
          <t>A 61876-2023</t>
        </is>
      </c>
      <c r="B119" s="1" t="n">
        <v>45266</v>
      </c>
      <c r="C119" s="1" t="n">
        <v>46187</v>
      </c>
      <c r="D119" t="inlineStr">
        <is>
          <t>VÄSTERBOTTENS LÄN</t>
        </is>
      </c>
      <c r="E119" t="inlineStr">
        <is>
          <t>ÅSELE</t>
        </is>
      </c>
      <c r="F119" t="inlineStr">
        <is>
          <t>Sveaskog</t>
        </is>
      </c>
      <c r="G119" t="n">
        <v>6.3</v>
      </c>
      <c r="H119" t="n">
        <v>0</v>
      </c>
      <c r="I119" t="n">
        <v>0</v>
      </c>
      <c r="J119" t="n">
        <v>0</v>
      </c>
      <c r="K119" t="n">
        <v>0</v>
      </c>
      <c r="L119" t="n">
        <v>0</v>
      </c>
      <c r="M119" t="n">
        <v>0</v>
      </c>
      <c r="N119" t="n">
        <v>0</v>
      </c>
      <c r="O119" t="n">
        <v>0</v>
      </c>
      <c r="P119" t="n">
        <v>0</v>
      </c>
      <c r="Q119" t="n">
        <v>0</v>
      </c>
      <c r="R119" s="2" t="inlineStr"/>
    </row>
    <row r="120" ht="15" customHeight="1">
      <c r="A120" t="inlineStr">
        <is>
          <t>A 50861-2023</t>
        </is>
      </c>
      <c r="B120" s="1" t="n">
        <v>45218.34753472222</v>
      </c>
      <c r="C120" s="1" t="n">
        <v>46187</v>
      </c>
      <c r="D120" t="inlineStr">
        <is>
          <t>VÄSTERBOTTENS LÄN</t>
        </is>
      </c>
      <c r="E120" t="inlineStr">
        <is>
          <t>ÅSELE</t>
        </is>
      </c>
      <c r="G120" t="n">
        <v>6.5</v>
      </c>
      <c r="H120" t="n">
        <v>0</v>
      </c>
      <c r="I120" t="n">
        <v>0</v>
      </c>
      <c r="J120" t="n">
        <v>0</v>
      </c>
      <c r="K120" t="n">
        <v>0</v>
      </c>
      <c r="L120" t="n">
        <v>0</v>
      </c>
      <c r="M120" t="n">
        <v>0</v>
      </c>
      <c r="N120" t="n">
        <v>0</v>
      </c>
      <c r="O120" t="n">
        <v>0</v>
      </c>
      <c r="P120" t="n">
        <v>0</v>
      </c>
      <c r="Q120" t="n">
        <v>0</v>
      </c>
      <c r="R120" s="2" t="inlineStr"/>
    </row>
    <row r="121" ht="15" customHeight="1">
      <c r="A121" t="inlineStr">
        <is>
          <t>A 47825-2025</t>
        </is>
      </c>
      <c r="B121" s="1" t="n">
        <v>45932.34476851852</v>
      </c>
      <c r="C121" s="1" t="n">
        <v>46187</v>
      </c>
      <c r="D121" t="inlineStr">
        <is>
          <t>VÄSTERBOTTENS LÄN</t>
        </is>
      </c>
      <c r="E121" t="inlineStr">
        <is>
          <t>ÅSELE</t>
        </is>
      </c>
      <c r="F121" t="inlineStr">
        <is>
          <t>SCA</t>
        </is>
      </c>
      <c r="G121" t="n">
        <v>8.4</v>
      </c>
      <c r="H121" t="n">
        <v>0</v>
      </c>
      <c r="I121" t="n">
        <v>0</v>
      </c>
      <c r="J121" t="n">
        <v>0</v>
      </c>
      <c r="K121" t="n">
        <v>0</v>
      </c>
      <c r="L121" t="n">
        <v>0</v>
      </c>
      <c r="M121" t="n">
        <v>0</v>
      </c>
      <c r="N121" t="n">
        <v>0</v>
      </c>
      <c r="O121" t="n">
        <v>0</v>
      </c>
      <c r="P121" t="n">
        <v>0</v>
      </c>
      <c r="Q121" t="n">
        <v>0</v>
      </c>
      <c r="R121" s="2" t="inlineStr"/>
    </row>
    <row r="122" ht="15" customHeight="1">
      <c r="A122" t="inlineStr">
        <is>
          <t>A 47823-2025</t>
        </is>
      </c>
      <c r="B122" s="1" t="n">
        <v>45932.34454861111</v>
      </c>
      <c r="C122" s="1" t="n">
        <v>46187</v>
      </c>
      <c r="D122" t="inlineStr">
        <is>
          <t>VÄSTERBOTTENS LÄN</t>
        </is>
      </c>
      <c r="E122" t="inlineStr">
        <is>
          <t>ÅSELE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29617-2023</t>
        </is>
      </c>
      <c r="B123" s="1" t="n">
        <v>45106.94461805555</v>
      </c>
      <c r="C123" s="1" t="n">
        <v>46187</v>
      </c>
      <c r="D123" t="inlineStr">
        <is>
          <t>VÄSTERBOTTENS LÄN</t>
        </is>
      </c>
      <c r="E123" t="inlineStr">
        <is>
          <t>ÅSELE</t>
        </is>
      </c>
      <c r="F123" t="inlineStr">
        <is>
          <t>SCA</t>
        </is>
      </c>
      <c r="G123" t="n">
        <v>1</v>
      </c>
      <c r="H123" t="n">
        <v>0</v>
      </c>
      <c r="I123" t="n">
        <v>0</v>
      </c>
      <c r="J123" t="n">
        <v>0</v>
      </c>
      <c r="K123" t="n">
        <v>0</v>
      </c>
      <c r="L123" t="n">
        <v>0</v>
      </c>
      <c r="M123" t="n">
        <v>0</v>
      </c>
      <c r="N123" t="n">
        <v>0</v>
      </c>
      <c r="O123" t="n">
        <v>0</v>
      </c>
      <c r="P123" t="n">
        <v>0</v>
      </c>
      <c r="Q123" t="n">
        <v>0</v>
      </c>
      <c r="R123" s="2" t="inlineStr"/>
    </row>
    <row r="124" ht="15" customHeight="1">
      <c r="A124" t="inlineStr">
        <is>
          <t>A 37483-2021</t>
        </is>
      </c>
      <c r="B124" s="1" t="n">
        <v>44398.93342592593</v>
      </c>
      <c r="C124" s="1" t="n">
        <v>46187</v>
      </c>
      <c r="D124" t="inlineStr">
        <is>
          <t>VÄSTERBOTTENS LÄN</t>
        </is>
      </c>
      <c r="E124" t="inlineStr">
        <is>
          <t>ÅSELE</t>
        </is>
      </c>
      <c r="F124" t="inlineStr">
        <is>
          <t>SCA</t>
        </is>
      </c>
      <c r="G124" t="n">
        <v>0.5</v>
      </c>
      <c r="H124" t="n">
        <v>0</v>
      </c>
      <c r="I124" t="n">
        <v>0</v>
      </c>
      <c r="J124" t="n">
        <v>0</v>
      </c>
      <c r="K124" t="n">
        <v>0</v>
      </c>
      <c r="L124" t="n">
        <v>0</v>
      </c>
      <c r="M124" t="n">
        <v>0</v>
      </c>
      <c r="N124" t="n">
        <v>0</v>
      </c>
      <c r="O124" t="n">
        <v>0</v>
      </c>
      <c r="P124" t="n">
        <v>0</v>
      </c>
      <c r="Q124" t="n">
        <v>0</v>
      </c>
      <c r="R124" s="2" t="inlineStr"/>
    </row>
    <row r="125" ht="15" customHeight="1">
      <c r="A125" t="inlineStr">
        <is>
          <t>A 48945-2025</t>
        </is>
      </c>
      <c r="B125" s="1" t="n">
        <v>45937.53739583334</v>
      </c>
      <c r="C125" s="1" t="n">
        <v>46187</v>
      </c>
      <c r="D125" t="inlineStr">
        <is>
          <t>VÄSTERBOTTENS LÄN</t>
        </is>
      </c>
      <c r="E125" t="inlineStr">
        <is>
          <t>ÅSELE</t>
        </is>
      </c>
      <c r="F125" t="inlineStr">
        <is>
          <t>Holmen skog AB</t>
        </is>
      </c>
      <c r="G125" t="n">
        <v>1.6</v>
      </c>
      <c r="H125" t="n">
        <v>0</v>
      </c>
      <c r="I125" t="n">
        <v>0</v>
      </c>
      <c r="J125" t="n">
        <v>0</v>
      </c>
      <c r="K125" t="n">
        <v>0</v>
      </c>
      <c r="L125" t="n">
        <v>0</v>
      </c>
      <c r="M125" t="n">
        <v>0</v>
      </c>
      <c r="N125" t="n">
        <v>0</v>
      </c>
      <c r="O125" t="n">
        <v>0</v>
      </c>
      <c r="P125" t="n">
        <v>0</v>
      </c>
      <c r="Q125" t="n">
        <v>0</v>
      </c>
      <c r="R125" s="2" t="inlineStr"/>
    </row>
    <row r="126" ht="15" customHeight="1">
      <c r="A126" t="inlineStr">
        <is>
          <t>A 48820-2025</t>
        </is>
      </c>
      <c r="B126" s="1" t="n">
        <v>45937.37208333334</v>
      </c>
      <c r="C126" s="1" t="n">
        <v>46187</v>
      </c>
      <c r="D126" t="inlineStr">
        <is>
          <t>VÄSTERBOTTENS LÄN</t>
        </is>
      </c>
      <c r="E126" t="inlineStr">
        <is>
          <t>ÅSELE</t>
        </is>
      </c>
      <c r="F126" t="inlineStr">
        <is>
          <t>Holmen skog AB</t>
        </is>
      </c>
      <c r="G126" t="n">
        <v>12.1</v>
      </c>
      <c r="H126" t="n">
        <v>0</v>
      </c>
      <c r="I126" t="n">
        <v>0</v>
      </c>
      <c r="J126" t="n">
        <v>0</v>
      </c>
      <c r="K126" t="n">
        <v>0</v>
      </c>
      <c r="L126" t="n">
        <v>0</v>
      </c>
      <c r="M126" t="n">
        <v>0</v>
      </c>
      <c r="N126" t="n">
        <v>0</v>
      </c>
      <c r="O126" t="n">
        <v>0</v>
      </c>
      <c r="P126" t="n">
        <v>0</v>
      </c>
      <c r="Q126" t="n">
        <v>0</v>
      </c>
      <c r="R126" s="2" t="inlineStr"/>
    </row>
    <row r="127" ht="15" customHeight="1">
      <c r="A127" t="inlineStr">
        <is>
          <t>A 13011-2025</t>
        </is>
      </c>
      <c r="B127" s="1" t="n">
        <v>45734.53167824074</v>
      </c>
      <c r="C127" s="1" t="n">
        <v>46187</v>
      </c>
      <c r="D127" t="inlineStr">
        <is>
          <t>VÄSTERBOTTENS LÄN</t>
        </is>
      </c>
      <c r="E127" t="inlineStr">
        <is>
          <t>ÅSELE</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33241-2023</t>
        </is>
      </c>
      <c r="B128" s="1" t="n">
        <v>45114</v>
      </c>
      <c r="C128" s="1" t="n">
        <v>46187</v>
      </c>
      <c r="D128" t="inlineStr">
        <is>
          <t>VÄSTERBOTTENS LÄN</t>
        </is>
      </c>
      <c r="E128" t="inlineStr">
        <is>
          <t>ÅSELE</t>
        </is>
      </c>
      <c r="G128" t="n">
        <v>22.8</v>
      </c>
      <c r="H128" t="n">
        <v>0</v>
      </c>
      <c r="I128" t="n">
        <v>0</v>
      </c>
      <c r="J128" t="n">
        <v>0</v>
      </c>
      <c r="K128" t="n">
        <v>0</v>
      </c>
      <c r="L128" t="n">
        <v>0</v>
      </c>
      <c r="M128" t="n">
        <v>0</v>
      </c>
      <c r="N128" t="n">
        <v>0</v>
      </c>
      <c r="O128" t="n">
        <v>0</v>
      </c>
      <c r="P128" t="n">
        <v>0</v>
      </c>
      <c r="Q128" t="n">
        <v>0</v>
      </c>
      <c r="R128" s="2" t="inlineStr"/>
    </row>
    <row r="129" ht="15" customHeight="1">
      <c r="A129" t="inlineStr">
        <is>
          <t>A 24958-2025</t>
        </is>
      </c>
      <c r="B129" s="1" t="n">
        <v>45799</v>
      </c>
      <c r="C129" s="1" t="n">
        <v>46187</v>
      </c>
      <c r="D129" t="inlineStr">
        <is>
          <t>VÄSTERBOTTENS LÄN</t>
        </is>
      </c>
      <c r="E129" t="inlineStr">
        <is>
          <t>ÅSELE</t>
        </is>
      </c>
      <c r="G129" t="n">
        <v>2.9</v>
      </c>
      <c r="H129" t="n">
        <v>0</v>
      </c>
      <c r="I129" t="n">
        <v>0</v>
      </c>
      <c r="J129" t="n">
        <v>0</v>
      </c>
      <c r="K129" t="n">
        <v>0</v>
      </c>
      <c r="L129" t="n">
        <v>0</v>
      </c>
      <c r="M129" t="n">
        <v>0</v>
      </c>
      <c r="N129" t="n">
        <v>0</v>
      </c>
      <c r="O129" t="n">
        <v>0</v>
      </c>
      <c r="P129" t="n">
        <v>0</v>
      </c>
      <c r="Q129" t="n">
        <v>0</v>
      </c>
      <c r="R129" s="2" t="inlineStr"/>
    </row>
    <row r="130" ht="15" customHeight="1">
      <c r="A130" t="inlineStr">
        <is>
          <t>A 49482-2025</t>
        </is>
      </c>
      <c r="B130" s="1" t="n">
        <v>45939.35900462963</v>
      </c>
      <c r="C130" s="1" t="n">
        <v>46187</v>
      </c>
      <c r="D130" t="inlineStr">
        <is>
          <t>VÄSTERBOTTENS LÄN</t>
        </is>
      </c>
      <c r="E130" t="inlineStr">
        <is>
          <t>ÅSELE</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49028-2025</t>
        </is>
      </c>
      <c r="B131" s="1" t="n">
        <v>45937.62199074074</v>
      </c>
      <c r="C131" s="1" t="n">
        <v>46187</v>
      </c>
      <c r="D131" t="inlineStr">
        <is>
          <t>VÄSTERBOTTENS LÄN</t>
        </is>
      </c>
      <c r="E131" t="inlineStr">
        <is>
          <t>ÅSELE</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49174-2025</t>
        </is>
      </c>
      <c r="B132" s="1" t="n">
        <v>45938.37679398148</v>
      </c>
      <c r="C132" s="1" t="n">
        <v>46187</v>
      </c>
      <c r="D132" t="inlineStr">
        <is>
          <t>VÄSTERBOTTENS LÄN</t>
        </is>
      </c>
      <c r="E132" t="inlineStr">
        <is>
          <t>ÅSELE</t>
        </is>
      </c>
      <c r="F132" t="inlineStr">
        <is>
          <t>Holmen skog AB</t>
        </is>
      </c>
      <c r="G132" t="n">
        <v>2.4</v>
      </c>
      <c r="H132" t="n">
        <v>0</v>
      </c>
      <c r="I132" t="n">
        <v>0</v>
      </c>
      <c r="J132" t="n">
        <v>0</v>
      </c>
      <c r="K132" t="n">
        <v>0</v>
      </c>
      <c r="L132" t="n">
        <v>0</v>
      </c>
      <c r="M132" t="n">
        <v>0</v>
      </c>
      <c r="N132" t="n">
        <v>0</v>
      </c>
      <c r="O132" t="n">
        <v>0</v>
      </c>
      <c r="P132" t="n">
        <v>0</v>
      </c>
      <c r="Q132" t="n">
        <v>0</v>
      </c>
      <c r="R132" s="2" t="inlineStr"/>
    </row>
    <row r="133" ht="15" customHeight="1">
      <c r="A133" t="inlineStr">
        <is>
          <t>A 48786-2025</t>
        </is>
      </c>
      <c r="B133" s="1" t="n">
        <v>45937.31471064815</v>
      </c>
      <c r="C133" s="1" t="n">
        <v>46187</v>
      </c>
      <c r="D133" t="inlineStr">
        <is>
          <t>VÄSTERBOTTENS LÄN</t>
        </is>
      </c>
      <c r="E133" t="inlineStr">
        <is>
          <t>ÅSELE</t>
        </is>
      </c>
      <c r="F133" t="inlineStr">
        <is>
          <t>Holmen skog AB</t>
        </is>
      </c>
      <c r="G133" t="n">
        <v>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46187</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49623-2025</t>
        </is>
      </c>
      <c r="B135" s="1" t="n">
        <v>45939.59351851852</v>
      </c>
      <c r="C135" s="1" t="n">
        <v>46187</v>
      </c>
      <c r="D135" t="inlineStr">
        <is>
          <t>VÄSTERBOTTENS LÄN</t>
        </is>
      </c>
      <c r="E135" t="inlineStr">
        <is>
          <t>ÅSELE</t>
        </is>
      </c>
      <c r="F135" t="inlineStr">
        <is>
          <t>Holmen skog AB</t>
        </is>
      </c>
      <c r="G135" t="n">
        <v>4</v>
      </c>
      <c r="H135" t="n">
        <v>0</v>
      </c>
      <c r="I135" t="n">
        <v>0</v>
      </c>
      <c r="J135" t="n">
        <v>0</v>
      </c>
      <c r="K135" t="n">
        <v>0</v>
      </c>
      <c r="L135" t="n">
        <v>0</v>
      </c>
      <c r="M135" t="n">
        <v>0</v>
      </c>
      <c r="N135" t="n">
        <v>0</v>
      </c>
      <c r="O135" t="n">
        <v>0</v>
      </c>
      <c r="P135" t="n">
        <v>0</v>
      </c>
      <c r="Q135" t="n">
        <v>0</v>
      </c>
      <c r="R135" s="2" t="inlineStr"/>
    </row>
    <row r="136" ht="15" customHeight="1">
      <c r="A136" t="inlineStr">
        <is>
          <t>A 49465-2025</t>
        </is>
      </c>
      <c r="B136" s="1" t="n">
        <v>45939.33030092593</v>
      </c>
      <c r="C136" s="1" t="n">
        <v>46187</v>
      </c>
      <c r="D136" t="inlineStr">
        <is>
          <t>VÄSTERBOTTENS LÄN</t>
        </is>
      </c>
      <c r="E136" t="inlineStr">
        <is>
          <t>ÅSELE</t>
        </is>
      </c>
      <c r="F136" t="inlineStr">
        <is>
          <t>Holmen skog AB</t>
        </is>
      </c>
      <c r="G136" t="n">
        <v>7</v>
      </c>
      <c r="H136" t="n">
        <v>0</v>
      </c>
      <c r="I136" t="n">
        <v>0</v>
      </c>
      <c r="J136" t="n">
        <v>0</v>
      </c>
      <c r="K136" t="n">
        <v>0</v>
      </c>
      <c r="L136" t="n">
        <v>0</v>
      </c>
      <c r="M136" t="n">
        <v>0</v>
      </c>
      <c r="N136" t="n">
        <v>0</v>
      </c>
      <c r="O136" t="n">
        <v>0</v>
      </c>
      <c r="P136" t="n">
        <v>0</v>
      </c>
      <c r="Q136" t="n">
        <v>0</v>
      </c>
      <c r="R136" s="2" t="inlineStr"/>
    </row>
    <row r="137" ht="15" customHeight="1">
      <c r="A137" t="inlineStr">
        <is>
          <t>A 48878-2025</t>
        </is>
      </c>
      <c r="B137" s="1" t="n">
        <v>45937.45689814815</v>
      </c>
      <c r="C137" s="1" t="n">
        <v>46187</v>
      </c>
      <c r="D137" t="inlineStr">
        <is>
          <t>VÄSTERBOTTENS LÄN</t>
        </is>
      </c>
      <c r="E137" t="inlineStr">
        <is>
          <t>ÅSELE</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49506-2025</t>
        </is>
      </c>
      <c r="B138" s="1" t="n">
        <v>45939.37686342592</v>
      </c>
      <c r="C138" s="1" t="n">
        <v>46187</v>
      </c>
      <c r="D138" t="inlineStr">
        <is>
          <t>VÄSTERBOTTENS LÄN</t>
        </is>
      </c>
      <c r="E138" t="inlineStr">
        <is>
          <t>ÅSELE</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10082-2023</t>
        </is>
      </c>
      <c r="B139" s="1" t="n">
        <v>44985</v>
      </c>
      <c r="C139" s="1" t="n">
        <v>46187</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49208-2025</t>
        </is>
      </c>
      <c r="B140" s="1" t="n">
        <v>45938.43431712963</v>
      </c>
      <c r="C140" s="1" t="n">
        <v>46187</v>
      </c>
      <c r="D140" t="inlineStr">
        <is>
          <t>VÄSTERBOTTENS LÄN</t>
        </is>
      </c>
      <c r="E140" t="inlineStr">
        <is>
          <t>ÅSELE</t>
        </is>
      </c>
      <c r="F140" t="inlineStr">
        <is>
          <t>Holmen skog AB</t>
        </is>
      </c>
      <c r="G140" t="n">
        <v>0.9</v>
      </c>
      <c r="H140" t="n">
        <v>0</v>
      </c>
      <c r="I140" t="n">
        <v>0</v>
      </c>
      <c r="J140" t="n">
        <v>0</v>
      </c>
      <c r="K140" t="n">
        <v>0</v>
      </c>
      <c r="L140" t="n">
        <v>0</v>
      </c>
      <c r="M140" t="n">
        <v>0</v>
      </c>
      <c r="N140" t="n">
        <v>0</v>
      </c>
      <c r="O140" t="n">
        <v>0</v>
      </c>
      <c r="P140" t="n">
        <v>0</v>
      </c>
      <c r="Q140" t="n">
        <v>0</v>
      </c>
      <c r="R140" s="2" t="inlineStr"/>
    </row>
    <row r="141" ht="15" customHeight="1">
      <c r="A141" t="inlineStr">
        <is>
          <t>A 49210-2025</t>
        </is>
      </c>
      <c r="B141" s="1" t="n">
        <v>45938.43741898148</v>
      </c>
      <c r="C141" s="1" t="n">
        <v>46187</v>
      </c>
      <c r="D141" t="inlineStr">
        <is>
          <t>VÄSTERBOTTENS LÄN</t>
        </is>
      </c>
      <c r="E141" t="inlineStr">
        <is>
          <t>ÅSELE</t>
        </is>
      </c>
      <c r="F141" t="inlineStr">
        <is>
          <t>Holmen skog AB</t>
        </is>
      </c>
      <c r="G141" t="n">
        <v>2.9</v>
      </c>
      <c r="H141" t="n">
        <v>0</v>
      </c>
      <c r="I141" t="n">
        <v>0</v>
      </c>
      <c r="J141" t="n">
        <v>0</v>
      </c>
      <c r="K141" t="n">
        <v>0</v>
      </c>
      <c r="L141" t="n">
        <v>0</v>
      </c>
      <c r="M141" t="n">
        <v>0</v>
      </c>
      <c r="N141" t="n">
        <v>0</v>
      </c>
      <c r="O141" t="n">
        <v>0</v>
      </c>
      <c r="P141" t="n">
        <v>0</v>
      </c>
      <c r="Q141" t="n">
        <v>0</v>
      </c>
      <c r="R141" s="2" t="inlineStr"/>
    </row>
    <row r="142" ht="15" customHeight="1">
      <c r="A142" t="inlineStr">
        <is>
          <t>A 50301-2025</t>
        </is>
      </c>
      <c r="B142" s="1" t="n">
        <v>45944.41266203704</v>
      </c>
      <c r="C142" s="1" t="n">
        <v>46187</v>
      </c>
      <c r="D142" t="inlineStr">
        <is>
          <t>VÄSTERBOTTENS LÄN</t>
        </is>
      </c>
      <c r="E142" t="inlineStr">
        <is>
          <t>ÅSELE</t>
        </is>
      </c>
      <c r="F142" t="inlineStr">
        <is>
          <t>Sveaskog</t>
        </is>
      </c>
      <c r="G142" t="n">
        <v>21.8</v>
      </c>
      <c r="H142" t="n">
        <v>0</v>
      </c>
      <c r="I142" t="n">
        <v>0</v>
      </c>
      <c r="J142" t="n">
        <v>0</v>
      </c>
      <c r="K142" t="n">
        <v>0</v>
      </c>
      <c r="L142" t="n">
        <v>0</v>
      </c>
      <c r="M142" t="n">
        <v>0</v>
      </c>
      <c r="N142" t="n">
        <v>0</v>
      </c>
      <c r="O142" t="n">
        <v>0</v>
      </c>
      <c r="P142" t="n">
        <v>0</v>
      </c>
      <c r="Q142" t="n">
        <v>0</v>
      </c>
      <c r="R142" s="2" t="inlineStr"/>
    </row>
    <row r="143" ht="15" customHeight="1">
      <c r="A143" t="inlineStr">
        <is>
          <t>A 50288-2025</t>
        </is>
      </c>
      <c r="B143" s="1" t="n">
        <v>45944.39729166667</v>
      </c>
      <c r="C143" s="1" t="n">
        <v>46187</v>
      </c>
      <c r="D143" t="inlineStr">
        <is>
          <t>VÄSTERBOTTENS LÄN</t>
        </is>
      </c>
      <c r="E143" t="inlineStr">
        <is>
          <t>ÅSELE</t>
        </is>
      </c>
      <c r="F143" t="inlineStr">
        <is>
          <t>Sveaskog</t>
        </is>
      </c>
      <c r="G143" t="n">
        <v>25.2</v>
      </c>
      <c r="H143" t="n">
        <v>0</v>
      </c>
      <c r="I143" t="n">
        <v>0</v>
      </c>
      <c r="J143" t="n">
        <v>0</v>
      </c>
      <c r="K143" t="n">
        <v>0</v>
      </c>
      <c r="L143" t="n">
        <v>0</v>
      </c>
      <c r="M143" t="n">
        <v>0</v>
      </c>
      <c r="N143" t="n">
        <v>0</v>
      </c>
      <c r="O143" t="n">
        <v>0</v>
      </c>
      <c r="P143" t="n">
        <v>0</v>
      </c>
      <c r="Q143" t="n">
        <v>0</v>
      </c>
      <c r="R143" s="2" t="inlineStr"/>
    </row>
    <row r="144" ht="15" customHeight="1">
      <c r="A144" t="inlineStr">
        <is>
          <t>A 50322-2025</t>
        </is>
      </c>
      <c r="B144" s="1" t="n">
        <v>45944.45733796297</v>
      </c>
      <c r="C144" s="1" t="n">
        <v>46187</v>
      </c>
      <c r="D144" t="inlineStr">
        <is>
          <t>VÄSTERBOTTENS LÄN</t>
        </is>
      </c>
      <c r="E144" t="inlineStr">
        <is>
          <t>ÅSELE</t>
        </is>
      </c>
      <c r="F144" t="inlineStr">
        <is>
          <t>Sveaskog</t>
        </is>
      </c>
      <c r="G144" t="n">
        <v>13.8</v>
      </c>
      <c r="H144" t="n">
        <v>0</v>
      </c>
      <c r="I144" t="n">
        <v>0</v>
      </c>
      <c r="J144" t="n">
        <v>0</v>
      </c>
      <c r="K144" t="n">
        <v>0</v>
      </c>
      <c r="L144" t="n">
        <v>0</v>
      </c>
      <c r="M144" t="n">
        <v>0</v>
      </c>
      <c r="N144" t="n">
        <v>0</v>
      </c>
      <c r="O144" t="n">
        <v>0</v>
      </c>
      <c r="P144" t="n">
        <v>0</v>
      </c>
      <c r="Q144" t="n">
        <v>0</v>
      </c>
      <c r="R144" s="2" t="inlineStr"/>
    </row>
    <row r="145" ht="15" customHeight="1">
      <c r="A145" t="inlineStr">
        <is>
          <t>A 50354-2025</t>
        </is>
      </c>
      <c r="B145" s="1" t="n">
        <v>45944.55519675926</v>
      </c>
      <c r="C145" s="1" t="n">
        <v>46187</v>
      </c>
      <c r="D145" t="inlineStr">
        <is>
          <t>VÄSTERBOTTENS LÄN</t>
        </is>
      </c>
      <c r="E145" t="inlineStr">
        <is>
          <t>ÅSELE</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50374-2025</t>
        </is>
      </c>
      <c r="B146" s="1" t="n">
        <v>45944.59637731482</v>
      </c>
      <c r="C146" s="1" t="n">
        <v>46187</v>
      </c>
      <c r="D146" t="inlineStr">
        <is>
          <t>VÄSTERBOTTENS LÄN</t>
        </is>
      </c>
      <c r="E146" t="inlineStr">
        <is>
          <t>ÅSELE</t>
        </is>
      </c>
      <c r="F146" t="inlineStr">
        <is>
          <t>Holmen skog AB</t>
        </is>
      </c>
      <c r="G146" t="n">
        <v>6.9</v>
      </c>
      <c r="H146" t="n">
        <v>0</v>
      </c>
      <c r="I146" t="n">
        <v>0</v>
      </c>
      <c r="J146" t="n">
        <v>0</v>
      </c>
      <c r="K146" t="n">
        <v>0</v>
      </c>
      <c r="L146" t="n">
        <v>0</v>
      </c>
      <c r="M146" t="n">
        <v>0</v>
      </c>
      <c r="N146" t="n">
        <v>0</v>
      </c>
      <c r="O146" t="n">
        <v>0</v>
      </c>
      <c r="P146" t="n">
        <v>0</v>
      </c>
      <c r="Q146" t="n">
        <v>0</v>
      </c>
      <c r="R146" s="2" t="inlineStr"/>
    </row>
    <row r="147" ht="15" customHeight="1">
      <c r="A147" t="inlineStr">
        <is>
          <t>A 10772-2023</t>
        </is>
      </c>
      <c r="B147" s="1" t="n">
        <v>44988.93965277778</v>
      </c>
      <c r="C147" s="1" t="n">
        <v>46187</v>
      </c>
      <c r="D147" t="inlineStr">
        <is>
          <t>VÄSTERBOTTENS LÄN</t>
        </is>
      </c>
      <c r="E147" t="inlineStr">
        <is>
          <t>ÅSELE</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50364-2025</t>
        </is>
      </c>
      <c r="B148" s="1" t="n">
        <v>45944.56780092593</v>
      </c>
      <c r="C148" s="1" t="n">
        <v>46187</v>
      </c>
      <c r="D148" t="inlineStr">
        <is>
          <t>VÄSTERBOTTENS LÄN</t>
        </is>
      </c>
      <c r="E148" t="inlineStr">
        <is>
          <t>ÅSELE</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50030-2024</t>
        </is>
      </c>
      <c r="B149" s="1" t="n">
        <v>45599.74957175926</v>
      </c>
      <c r="C149" s="1" t="n">
        <v>46187</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50239-2025</t>
        </is>
      </c>
      <c r="B150" s="1" t="n">
        <v>45943.79672453704</v>
      </c>
      <c r="C150" s="1" t="n">
        <v>46187</v>
      </c>
      <c r="D150" t="inlineStr">
        <is>
          <t>VÄSTERBOTTENS LÄN</t>
        </is>
      </c>
      <c r="E150" t="inlineStr">
        <is>
          <t>ÅSELE</t>
        </is>
      </c>
      <c r="F150" t="inlineStr">
        <is>
          <t>Holmen skog AB</t>
        </is>
      </c>
      <c r="G150" t="n">
        <v>8.5</v>
      </c>
      <c r="H150" t="n">
        <v>0</v>
      </c>
      <c r="I150" t="n">
        <v>0</v>
      </c>
      <c r="J150" t="n">
        <v>0</v>
      </c>
      <c r="K150" t="n">
        <v>0</v>
      </c>
      <c r="L150" t="n">
        <v>0</v>
      </c>
      <c r="M150" t="n">
        <v>0</v>
      </c>
      <c r="N150" t="n">
        <v>0</v>
      </c>
      <c r="O150" t="n">
        <v>0</v>
      </c>
      <c r="P150" t="n">
        <v>0</v>
      </c>
      <c r="Q150" t="n">
        <v>0</v>
      </c>
      <c r="R150" s="2" t="inlineStr"/>
    </row>
    <row r="151" ht="15" customHeight="1">
      <c r="A151" t="inlineStr">
        <is>
          <t>A 50298-2025</t>
        </is>
      </c>
      <c r="B151" s="1" t="n">
        <v>45944.41163194444</v>
      </c>
      <c r="C151" s="1" t="n">
        <v>46187</v>
      </c>
      <c r="D151" t="inlineStr">
        <is>
          <t>VÄSTERBOTTENS LÄN</t>
        </is>
      </c>
      <c r="E151" t="inlineStr">
        <is>
          <t>ÅSELE</t>
        </is>
      </c>
      <c r="F151" t="inlineStr">
        <is>
          <t>Sveaskog</t>
        </is>
      </c>
      <c r="G151" t="n">
        <v>21.6</v>
      </c>
      <c r="H151" t="n">
        <v>0</v>
      </c>
      <c r="I151" t="n">
        <v>0</v>
      </c>
      <c r="J151" t="n">
        <v>0</v>
      </c>
      <c r="K151" t="n">
        <v>0</v>
      </c>
      <c r="L151" t="n">
        <v>0</v>
      </c>
      <c r="M151" t="n">
        <v>0</v>
      </c>
      <c r="N151" t="n">
        <v>0</v>
      </c>
      <c r="O151" t="n">
        <v>0</v>
      </c>
      <c r="P151" t="n">
        <v>0</v>
      </c>
      <c r="Q151" t="n">
        <v>0</v>
      </c>
      <c r="R151" s="2" t="inlineStr"/>
    </row>
    <row r="152" ht="15" customHeight="1">
      <c r="A152" t="inlineStr">
        <is>
          <t>A 50357-2025</t>
        </is>
      </c>
      <c r="B152" s="1" t="n">
        <v>45944.55862268519</v>
      </c>
      <c r="C152" s="1" t="n">
        <v>46187</v>
      </c>
      <c r="D152" t="inlineStr">
        <is>
          <t>VÄSTERBOTTENS LÄN</t>
        </is>
      </c>
      <c r="E152" t="inlineStr">
        <is>
          <t>ÅSELE</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23803-2025</t>
        </is>
      </c>
      <c r="B153" s="1" t="n">
        <v>45793.55854166667</v>
      </c>
      <c r="C153" s="1" t="n">
        <v>46187</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50261-2025</t>
        </is>
      </c>
      <c r="B154" s="1" t="n">
        <v>45944.3453125</v>
      </c>
      <c r="C154" s="1" t="n">
        <v>46187</v>
      </c>
      <c r="D154" t="inlineStr">
        <is>
          <t>VÄSTERBOTTENS LÄN</t>
        </is>
      </c>
      <c r="E154" t="inlineStr">
        <is>
          <t>ÅSELE</t>
        </is>
      </c>
      <c r="F154" t="inlineStr">
        <is>
          <t>SCA</t>
        </is>
      </c>
      <c r="G154" t="n">
        <v>5.7</v>
      </c>
      <c r="H154" t="n">
        <v>0</v>
      </c>
      <c r="I154" t="n">
        <v>0</v>
      </c>
      <c r="J154" t="n">
        <v>0</v>
      </c>
      <c r="K154" t="n">
        <v>0</v>
      </c>
      <c r="L154" t="n">
        <v>0</v>
      </c>
      <c r="M154" t="n">
        <v>0</v>
      </c>
      <c r="N154" t="n">
        <v>0</v>
      </c>
      <c r="O154" t="n">
        <v>0</v>
      </c>
      <c r="P154" t="n">
        <v>0</v>
      </c>
      <c r="Q154" t="n">
        <v>0</v>
      </c>
      <c r="R154" s="2" t="inlineStr"/>
    </row>
    <row r="155" ht="15" customHeight="1">
      <c r="A155" t="inlineStr">
        <is>
          <t>A 50319-2025</t>
        </is>
      </c>
      <c r="B155" s="1" t="n">
        <v>45944.45122685185</v>
      </c>
      <c r="C155" s="1" t="n">
        <v>46187</v>
      </c>
      <c r="D155" t="inlineStr">
        <is>
          <t>VÄSTERBOTTENS LÄN</t>
        </is>
      </c>
      <c r="E155" t="inlineStr">
        <is>
          <t>ÅSELE</t>
        </is>
      </c>
      <c r="F155" t="inlineStr">
        <is>
          <t>Holmen skog AB</t>
        </is>
      </c>
      <c r="G155" t="n">
        <v>1</v>
      </c>
      <c r="H155" t="n">
        <v>0</v>
      </c>
      <c r="I155" t="n">
        <v>0</v>
      </c>
      <c r="J155" t="n">
        <v>0</v>
      </c>
      <c r="K155" t="n">
        <v>0</v>
      </c>
      <c r="L155" t="n">
        <v>0</v>
      </c>
      <c r="M155" t="n">
        <v>0</v>
      </c>
      <c r="N155" t="n">
        <v>0</v>
      </c>
      <c r="O155" t="n">
        <v>0</v>
      </c>
      <c r="P155" t="n">
        <v>0</v>
      </c>
      <c r="Q155" t="n">
        <v>0</v>
      </c>
      <c r="R155" s="2" t="inlineStr"/>
    </row>
    <row r="156" ht="15" customHeight="1">
      <c r="A156" t="inlineStr">
        <is>
          <t>A 50323-2025</t>
        </is>
      </c>
      <c r="B156" s="1" t="n">
        <v>45944.45759259259</v>
      </c>
      <c r="C156" s="1" t="n">
        <v>46187</v>
      </c>
      <c r="D156" t="inlineStr">
        <is>
          <t>VÄSTERBOTTENS LÄN</t>
        </is>
      </c>
      <c r="E156" t="inlineStr">
        <is>
          <t>ÅSELE</t>
        </is>
      </c>
      <c r="F156" t="inlineStr">
        <is>
          <t>Sveaskog</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50864-2025</t>
        </is>
      </c>
      <c r="B157" s="1" t="n">
        <v>45946.59537037037</v>
      </c>
      <c r="C157" s="1" t="n">
        <v>46187</v>
      </c>
      <c r="D157" t="inlineStr">
        <is>
          <t>VÄSTERBOTTENS LÄN</t>
        </is>
      </c>
      <c r="E157" t="inlineStr">
        <is>
          <t>ÅSELE</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51197-2025</t>
        </is>
      </c>
      <c r="B158" s="1" t="n">
        <v>45947.63258101852</v>
      </c>
      <c r="C158" s="1" t="n">
        <v>46187</v>
      </c>
      <c r="D158" t="inlineStr">
        <is>
          <t>VÄSTERBOTTENS LÄN</t>
        </is>
      </c>
      <c r="E158" t="inlineStr">
        <is>
          <t>ÅSELE</t>
        </is>
      </c>
      <c r="F158" t="inlineStr">
        <is>
          <t>Holmen skog AB</t>
        </is>
      </c>
      <c r="G158" t="n">
        <v>9.6</v>
      </c>
      <c r="H158" t="n">
        <v>0</v>
      </c>
      <c r="I158" t="n">
        <v>0</v>
      </c>
      <c r="J158" t="n">
        <v>0</v>
      </c>
      <c r="K158" t="n">
        <v>0</v>
      </c>
      <c r="L158" t="n">
        <v>0</v>
      </c>
      <c r="M158" t="n">
        <v>0</v>
      </c>
      <c r="N158" t="n">
        <v>0</v>
      </c>
      <c r="O158" t="n">
        <v>0</v>
      </c>
      <c r="P158" t="n">
        <v>0</v>
      </c>
      <c r="Q158" t="n">
        <v>0</v>
      </c>
      <c r="R158" s="2" t="inlineStr"/>
    </row>
    <row r="159" ht="15" customHeight="1">
      <c r="A159" t="inlineStr">
        <is>
          <t>A 51099-2025</t>
        </is>
      </c>
      <c r="B159" s="1" t="n">
        <v>45947.48685185185</v>
      </c>
      <c r="C159" s="1" t="n">
        <v>46187</v>
      </c>
      <c r="D159" t="inlineStr">
        <is>
          <t>VÄSTERBOTTENS LÄN</t>
        </is>
      </c>
      <c r="E159" t="inlineStr">
        <is>
          <t>ÅSELE</t>
        </is>
      </c>
      <c r="F159" t="inlineStr">
        <is>
          <t>Holmen skog AB</t>
        </is>
      </c>
      <c r="G159" t="n">
        <v>1.5</v>
      </c>
      <c r="H159" t="n">
        <v>0</v>
      </c>
      <c r="I159" t="n">
        <v>0</v>
      </c>
      <c r="J159" t="n">
        <v>0</v>
      </c>
      <c r="K159" t="n">
        <v>0</v>
      </c>
      <c r="L159" t="n">
        <v>0</v>
      </c>
      <c r="M159" t="n">
        <v>0</v>
      </c>
      <c r="N159" t="n">
        <v>0</v>
      </c>
      <c r="O159" t="n">
        <v>0</v>
      </c>
      <c r="P159" t="n">
        <v>0</v>
      </c>
      <c r="Q159" t="n">
        <v>0</v>
      </c>
      <c r="R159" s="2" t="inlineStr"/>
    </row>
    <row r="160" ht="15" customHeight="1">
      <c r="A160" t="inlineStr">
        <is>
          <t>A 51059-2025</t>
        </is>
      </c>
      <c r="B160" s="1" t="n">
        <v>45947.44662037037</v>
      </c>
      <c r="C160" s="1" t="n">
        <v>46187</v>
      </c>
      <c r="D160" t="inlineStr">
        <is>
          <t>VÄSTERBOTTENS LÄN</t>
        </is>
      </c>
      <c r="E160" t="inlineStr">
        <is>
          <t>ÅSELE</t>
        </is>
      </c>
      <c r="F160" t="inlineStr">
        <is>
          <t>Holmen skog AB</t>
        </is>
      </c>
      <c r="G160" t="n">
        <v>3.1</v>
      </c>
      <c r="H160" t="n">
        <v>0</v>
      </c>
      <c r="I160" t="n">
        <v>0</v>
      </c>
      <c r="J160" t="n">
        <v>0</v>
      </c>
      <c r="K160" t="n">
        <v>0</v>
      </c>
      <c r="L160" t="n">
        <v>0</v>
      </c>
      <c r="M160" t="n">
        <v>0</v>
      </c>
      <c r="N160" t="n">
        <v>0</v>
      </c>
      <c r="O160" t="n">
        <v>0</v>
      </c>
      <c r="P160" t="n">
        <v>0</v>
      </c>
      <c r="Q160" t="n">
        <v>0</v>
      </c>
      <c r="R160" s="2" t="inlineStr"/>
    </row>
    <row r="161" ht="15" customHeight="1">
      <c r="A161" t="inlineStr">
        <is>
          <t>A 51093-2025</t>
        </is>
      </c>
      <c r="B161" s="1" t="n">
        <v>45947.4753125</v>
      </c>
      <c r="C161" s="1" t="n">
        <v>46187</v>
      </c>
      <c r="D161" t="inlineStr">
        <is>
          <t>VÄSTERBOTTENS LÄN</t>
        </is>
      </c>
      <c r="E161" t="inlineStr">
        <is>
          <t>ÅSELE</t>
        </is>
      </c>
      <c r="F161" t="inlineStr">
        <is>
          <t>Holmen skog AB</t>
        </is>
      </c>
      <c r="G161" t="n">
        <v>4.6</v>
      </c>
      <c r="H161" t="n">
        <v>0</v>
      </c>
      <c r="I161" t="n">
        <v>0</v>
      </c>
      <c r="J161" t="n">
        <v>0</v>
      </c>
      <c r="K161" t="n">
        <v>0</v>
      </c>
      <c r="L161" t="n">
        <v>0</v>
      </c>
      <c r="M161" t="n">
        <v>0</v>
      </c>
      <c r="N161" t="n">
        <v>0</v>
      </c>
      <c r="O161" t="n">
        <v>0</v>
      </c>
      <c r="P161" t="n">
        <v>0</v>
      </c>
      <c r="Q161" t="n">
        <v>0</v>
      </c>
      <c r="R161" s="2" t="inlineStr"/>
    </row>
    <row r="162" ht="15" customHeight="1">
      <c r="A162" t="inlineStr">
        <is>
          <t>A 51518-2025</t>
        </is>
      </c>
      <c r="B162" s="1" t="n">
        <v>45950.65675925926</v>
      </c>
      <c r="C162" s="1" t="n">
        <v>46187</v>
      </c>
      <c r="D162" t="inlineStr">
        <is>
          <t>VÄSTERBOTTENS LÄN</t>
        </is>
      </c>
      <c r="E162" t="inlineStr">
        <is>
          <t>ÅSELE</t>
        </is>
      </c>
      <c r="F162" t="inlineStr">
        <is>
          <t>SCA</t>
        </is>
      </c>
      <c r="G162" t="n">
        <v>5.4</v>
      </c>
      <c r="H162" t="n">
        <v>0</v>
      </c>
      <c r="I162" t="n">
        <v>0</v>
      </c>
      <c r="J162" t="n">
        <v>0</v>
      </c>
      <c r="K162" t="n">
        <v>0</v>
      </c>
      <c r="L162" t="n">
        <v>0</v>
      </c>
      <c r="M162" t="n">
        <v>0</v>
      </c>
      <c r="N162" t="n">
        <v>0</v>
      </c>
      <c r="O162" t="n">
        <v>0</v>
      </c>
      <c r="P162" t="n">
        <v>0</v>
      </c>
      <c r="Q162" t="n">
        <v>0</v>
      </c>
      <c r="R162" s="2" t="inlineStr"/>
    </row>
    <row r="163" ht="15" customHeight="1">
      <c r="A163" t="inlineStr">
        <is>
          <t>A 41960-2024</t>
        </is>
      </c>
      <c r="B163" s="1" t="n">
        <v>45561</v>
      </c>
      <c r="C163" s="1" t="n">
        <v>46187</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51669-2025</t>
        </is>
      </c>
      <c r="B164" s="1" t="n">
        <v>45951.4962037037</v>
      </c>
      <c r="C164" s="1" t="n">
        <v>46187</v>
      </c>
      <c r="D164" t="inlineStr">
        <is>
          <t>VÄSTERBOTTENS LÄN</t>
        </is>
      </c>
      <c r="E164" t="inlineStr">
        <is>
          <t>ÅSELE</t>
        </is>
      </c>
      <c r="G164" t="n">
        <v>0.3</v>
      </c>
      <c r="H164" t="n">
        <v>0</v>
      </c>
      <c r="I164" t="n">
        <v>0</v>
      </c>
      <c r="J164" t="n">
        <v>0</v>
      </c>
      <c r="K164" t="n">
        <v>0</v>
      </c>
      <c r="L164" t="n">
        <v>0</v>
      </c>
      <c r="M164" t="n">
        <v>0</v>
      </c>
      <c r="N164" t="n">
        <v>0</v>
      </c>
      <c r="O164" t="n">
        <v>0</v>
      </c>
      <c r="P164" t="n">
        <v>0</v>
      </c>
      <c r="Q164" t="n">
        <v>0</v>
      </c>
      <c r="R164" s="2" t="inlineStr"/>
    </row>
    <row r="165" ht="15" customHeight="1">
      <c r="A165" t="inlineStr">
        <is>
          <t>A 52139-2025</t>
        </is>
      </c>
      <c r="B165" s="1" t="n">
        <v>45953.32070601852</v>
      </c>
      <c r="C165" s="1" t="n">
        <v>46187</v>
      </c>
      <c r="D165" t="inlineStr">
        <is>
          <t>VÄSTERBOTTENS LÄN</t>
        </is>
      </c>
      <c r="E165" t="inlineStr">
        <is>
          <t>ÅSELE</t>
        </is>
      </c>
      <c r="G165" t="n">
        <v>4.2</v>
      </c>
      <c r="H165" t="n">
        <v>0</v>
      </c>
      <c r="I165" t="n">
        <v>0</v>
      </c>
      <c r="J165" t="n">
        <v>0</v>
      </c>
      <c r="K165" t="n">
        <v>0</v>
      </c>
      <c r="L165" t="n">
        <v>0</v>
      </c>
      <c r="M165" t="n">
        <v>0</v>
      </c>
      <c r="N165" t="n">
        <v>0</v>
      </c>
      <c r="O165" t="n">
        <v>0</v>
      </c>
      <c r="P165" t="n">
        <v>0</v>
      </c>
      <c r="Q165" t="n">
        <v>0</v>
      </c>
      <c r="R165" s="2" t="inlineStr"/>
    </row>
    <row r="166" ht="15" customHeight="1">
      <c r="A166" t="inlineStr">
        <is>
          <t>A 52192-2025</t>
        </is>
      </c>
      <c r="B166" s="1" t="n">
        <v>45953.38861111111</v>
      </c>
      <c r="C166" s="1" t="n">
        <v>46187</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39437-2025</t>
        </is>
      </c>
      <c r="B167" s="1" t="n">
        <v>45889.67877314815</v>
      </c>
      <c r="C167" s="1" t="n">
        <v>46187</v>
      </c>
      <c r="D167" t="inlineStr">
        <is>
          <t>VÄSTERBOTTENS LÄN</t>
        </is>
      </c>
      <c r="E167" t="inlineStr">
        <is>
          <t>ÅSELE</t>
        </is>
      </c>
      <c r="F167" t="inlineStr">
        <is>
          <t>SCA</t>
        </is>
      </c>
      <c r="G167" t="n">
        <v>4.6</v>
      </c>
      <c r="H167" t="n">
        <v>0</v>
      </c>
      <c r="I167" t="n">
        <v>0</v>
      </c>
      <c r="J167" t="n">
        <v>0</v>
      </c>
      <c r="K167" t="n">
        <v>0</v>
      </c>
      <c r="L167" t="n">
        <v>0</v>
      </c>
      <c r="M167" t="n">
        <v>0</v>
      </c>
      <c r="N167" t="n">
        <v>0</v>
      </c>
      <c r="O167" t="n">
        <v>0</v>
      </c>
      <c r="P167" t="n">
        <v>0</v>
      </c>
      <c r="Q167" t="n">
        <v>0</v>
      </c>
      <c r="R167" s="2" t="inlineStr"/>
    </row>
    <row r="168" ht="15" customHeight="1">
      <c r="A168" t="inlineStr">
        <is>
          <t>A 52143-2025</t>
        </is>
      </c>
      <c r="B168" s="1" t="n">
        <v>45953.3316550926</v>
      </c>
      <c r="C168" s="1" t="n">
        <v>46187</v>
      </c>
      <c r="D168" t="inlineStr">
        <is>
          <t>VÄSTERBOTTENS LÄN</t>
        </is>
      </c>
      <c r="E168" t="inlineStr">
        <is>
          <t>ÅSELE</t>
        </is>
      </c>
      <c r="G168" t="n">
        <v>4.9</v>
      </c>
      <c r="H168" t="n">
        <v>0</v>
      </c>
      <c r="I168" t="n">
        <v>0</v>
      </c>
      <c r="J168" t="n">
        <v>0</v>
      </c>
      <c r="K168" t="n">
        <v>0</v>
      </c>
      <c r="L168" t="n">
        <v>0</v>
      </c>
      <c r="M168" t="n">
        <v>0</v>
      </c>
      <c r="N168" t="n">
        <v>0</v>
      </c>
      <c r="O168" t="n">
        <v>0</v>
      </c>
      <c r="P168" t="n">
        <v>0</v>
      </c>
      <c r="Q168" t="n">
        <v>0</v>
      </c>
      <c r="R168" s="2" t="inlineStr"/>
    </row>
    <row r="169" ht="15" customHeight="1">
      <c r="A169" t="inlineStr">
        <is>
          <t>A 52165-2025</t>
        </is>
      </c>
      <c r="B169" s="1" t="n">
        <v>45953.36392361111</v>
      </c>
      <c r="C169" s="1" t="n">
        <v>46187</v>
      </c>
      <c r="D169" t="inlineStr">
        <is>
          <t>VÄSTERBOTTENS LÄN</t>
        </is>
      </c>
      <c r="E169" t="inlineStr">
        <is>
          <t>ÅSELE</t>
        </is>
      </c>
      <c r="G169" t="n">
        <v>12.6</v>
      </c>
      <c r="H169" t="n">
        <v>0</v>
      </c>
      <c r="I169" t="n">
        <v>0</v>
      </c>
      <c r="J169" t="n">
        <v>0</v>
      </c>
      <c r="K169" t="n">
        <v>0</v>
      </c>
      <c r="L169" t="n">
        <v>0</v>
      </c>
      <c r="M169" t="n">
        <v>0</v>
      </c>
      <c r="N169" t="n">
        <v>0</v>
      </c>
      <c r="O169" t="n">
        <v>0</v>
      </c>
      <c r="P169" t="n">
        <v>0</v>
      </c>
      <c r="Q169" t="n">
        <v>0</v>
      </c>
      <c r="R169" s="2" t="inlineStr"/>
    </row>
    <row r="170" ht="15" customHeight="1">
      <c r="A170" t="inlineStr">
        <is>
          <t>A 39431-2025</t>
        </is>
      </c>
      <c r="B170" s="1" t="n">
        <v>45889</v>
      </c>
      <c r="C170" s="1" t="n">
        <v>46187</v>
      </c>
      <c r="D170" t="inlineStr">
        <is>
          <t>VÄSTERBOTTENS LÄN</t>
        </is>
      </c>
      <c r="E170" t="inlineStr">
        <is>
          <t>ÅSELE</t>
        </is>
      </c>
      <c r="F170" t="inlineStr">
        <is>
          <t>SCA</t>
        </is>
      </c>
      <c r="G170" t="n">
        <v>14.4</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46187</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30167-2025</t>
        </is>
      </c>
      <c r="B172" s="1" t="n">
        <v>45827</v>
      </c>
      <c r="C172" s="1" t="n">
        <v>46187</v>
      </c>
      <c r="D172" t="inlineStr">
        <is>
          <t>VÄSTERBOTTENS LÄN</t>
        </is>
      </c>
      <c r="E172" t="inlineStr">
        <is>
          <t>ÅSELE</t>
        </is>
      </c>
      <c r="G172" t="n">
        <v>3.1</v>
      </c>
      <c r="H172" t="n">
        <v>0</v>
      </c>
      <c r="I172" t="n">
        <v>0</v>
      </c>
      <c r="J172" t="n">
        <v>0</v>
      </c>
      <c r="K172" t="n">
        <v>0</v>
      </c>
      <c r="L172" t="n">
        <v>0</v>
      </c>
      <c r="M172" t="n">
        <v>0</v>
      </c>
      <c r="N172" t="n">
        <v>0</v>
      </c>
      <c r="O172" t="n">
        <v>0</v>
      </c>
      <c r="P172" t="n">
        <v>0</v>
      </c>
      <c r="Q172" t="n">
        <v>0</v>
      </c>
      <c r="R172" s="2" t="inlineStr"/>
    </row>
    <row r="173" ht="15" customHeight="1">
      <c r="A173" t="inlineStr">
        <is>
          <t>A 52064-2025</t>
        </is>
      </c>
      <c r="B173" s="1" t="n">
        <v>45952.63707175926</v>
      </c>
      <c r="C173" s="1" t="n">
        <v>46187</v>
      </c>
      <c r="D173" t="inlineStr">
        <is>
          <t>VÄSTERBOTTENS LÄN</t>
        </is>
      </c>
      <c r="E173" t="inlineStr">
        <is>
          <t>ÅSELE</t>
        </is>
      </c>
      <c r="G173" t="n">
        <v>14.7</v>
      </c>
      <c r="H173" t="n">
        <v>0</v>
      </c>
      <c r="I173" t="n">
        <v>0</v>
      </c>
      <c r="J173" t="n">
        <v>0</v>
      </c>
      <c r="K173" t="n">
        <v>0</v>
      </c>
      <c r="L173" t="n">
        <v>0</v>
      </c>
      <c r="M173" t="n">
        <v>0</v>
      </c>
      <c r="N173" t="n">
        <v>0</v>
      </c>
      <c r="O173" t="n">
        <v>0</v>
      </c>
      <c r="P173" t="n">
        <v>0</v>
      </c>
      <c r="Q173" t="n">
        <v>0</v>
      </c>
      <c r="R173" s="2" t="inlineStr"/>
    </row>
    <row r="174" ht="15" customHeight="1">
      <c r="A174" t="inlineStr">
        <is>
          <t>A 38590-2021</t>
        </is>
      </c>
      <c r="B174" s="1" t="n">
        <v>44407</v>
      </c>
      <c r="C174" s="1" t="n">
        <v>46187</v>
      </c>
      <c r="D174" t="inlineStr">
        <is>
          <t>VÄSTERBOTTENS LÄN</t>
        </is>
      </c>
      <c r="E174" t="inlineStr">
        <is>
          <t>ÅSELE</t>
        </is>
      </c>
      <c r="F174" t="inlineStr">
        <is>
          <t>SCA</t>
        </is>
      </c>
      <c r="G174" t="n">
        <v>107.3</v>
      </c>
      <c r="H174" t="n">
        <v>0</v>
      </c>
      <c r="I174" t="n">
        <v>0</v>
      </c>
      <c r="J174" t="n">
        <v>0</v>
      </c>
      <c r="K174" t="n">
        <v>0</v>
      </c>
      <c r="L174" t="n">
        <v>0</v>
      </c>
      <c r="M174" t="n">
        <v>0</v>
      </c>
      <c r="N174" t="n">
        <v>0</v>
      </c>
      <c r="O174" t="n">
        <v>0</v>
      </c>
      <c r="P174" t="n">
        <v>0</v>
      </c>
      <c r="Q174" t="n">
        <v>0</v>
      </c>
      <c r="R174" s="2" t="inlineStr"/>
    </row>
    <row r="175" ht="15" customHeight="1">
      <c r="A175" t="inlineStr">
        <is>
          <t>A 52663-2025</t>
        </is>
      </c>
      <c r="B175" s="1" t="n">
        <v>45955.49012731481</v>
      </c>
      <c r="C175" s="1" t="n">
        <v>46187</v>
      </c>
      <c r="D175" t="inlineStr">
        <is>
          <t>VÄSTERBOTTENS LÄN</t>
        </is>
      </c>
      <c r="E175" t="inlineStr">
        <is>
          <t>ÅSELE</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52664-2025</t>
        </is>
      </c>
      <c r="B176" s="1" t="n">
        <v>45955.61505787037</v>
      </c>
      <c r="C176" s="1" t="n">
        <v>46187</v>
      </c>
      <c r="D176" t="inlineStr">
        <is>
          <t>VÄSTERBOTTENS LÄN</t>
        </is>
      </c>
      <c r="E176" t="inlineStr">
        <is>
          <t>ÅSELE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52632-2025</t>
        </is>
      </c>
      <c r="B177" s="1" t="n">
        <v>45954.71922453704</v>
      </c>
      <c r="C177" s="1" t="n">
        <v>46187</v>
      </c>
      <c r="D177" t="inlineStr">
        <is>
          <t>VÄSTERBOTTENS LÄN</t>
        </is>
      </c>
      <c r="E177" t="inlineStr">
        <is>
          <t>ÅSELE</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52662-2025</t>
        </is>
      </c>
      <c r="B178" s="1" t="n">
        <v>45955.48998842593</v>
      </c>
      <c r="C178" s="1" t="n">
        <v>46187</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30491-2022</t>
        </is>
      </c>
      <c r="B179" s="1" t="n">
        <v>44761</v>
      </c>
      <c r="C179" s="1" t="n">
        <v>46187</v>
      </c>
      <c r="D179" t="inlineStr">
        <is>
          <t>VÄSTERBOTTENS LÄN</t>
        </is>
      </c>
      <c r="E179" t="inlineStr">
        <is>
          <t>ÅSELE</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17672-2023</t>
        </is>
      </c>
      <c r="B180" s="1" t="n">
        <v>45036</v>
      </c>
      <c r="C180" s="1" t="n">
        <v>46187</v>
      </c>
      <c r="D180" t="inlineStr">
        <is>
          <t>VÄSTERBOTTENS LÄN</t>
        </is>
      </c>
      <c r="E180" t="inlineStr">
        <is>
          <t>ÅSELE</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17698-2023</t>
        </is>
      </c>
      <c r="B181" s="1" t="n">
        <v>45035</v>
      </c>
      <c r="C181" s="1" t="n">
        <v>46187</v>
      </c>
      <c r="D181" t="inlineStr">
        <is>
          <t>VÄSTERBOTTENS LÄN</t>
        </is>
      </c>
      <c r="E181" t="inlineStr">
        <is>
          <t>ÅSELE</t>
        </is>
      </c>
      <c r="G181" t="n">
        <v>7</v>
      </c>
      <c r="H181" t="n">
        <v>0</v>
      </c>
      <c r="I181" t="n">
        <v>0</v>
      </c>
      <c r="J181" t="n">
        <v>0</v>
      </c>
      <c r="K181" t="n">
        <v>0</v>
      </c>
      <c r="L181" t="n">
        <v>0</v>
      </c>
      <c r="M181" t="n">
        <v>0</v>
      </c>
      <c r="N181" t="n">
        <v>0</v>
      </c>
      <c r="O181" t="n">
        <v>0</v>
      </c>
      <c r="P181" t="n">
        <v>0</v>
      </c>
      <c r="Q181" t="n">
        <v>0</v>
      </c>
      <c r="R181" s="2" t="inlineStr"/>
    </row>
    <row r="182" ht="15" customHeight="1">
      <c r="A182" t="inlineStr">
        <is>
          <t>A 39557-2025</t>
        </is>
      </c>
      <c r="B182" s="1" t="n">
        <v>45890</v>
      </c>
      <c r="C182" s="1" t="n">
        <v>46187</v>
      </c>
      <c r="D182" t="inlineStr">
        <is>
          <t>VÄSTERBOTTENS LÄN</t>
        </is>
      </c>
      <c r="E182" t="inlineStr">
        <is>
          <t>ÅSELE</t>
        </is>
      </c>
      <c r="F182" t="inlineStr">
        <is>
          <t>SCA</t>
        </is>
      </c>
      <c r="G182" t="n">
        <v>5.8</v>
      </c>
      <c r="H182" t="n">
        <v>0</v>
      </c>
      <c r="I182" t="n">
        <v>0</v>
      </c>
      <c r="J182" t="n">
        <v>0</v>
      </c>
      <c r="K182" t="n">
        <v>0</v>
      </c>
      <c r="L182" t="n">
        <v>0</v>
      </c>
      <c r="M182" t="n">
        <v>0</v>
      </c>
      <c r="N182" t="n">
        <v>0</v>
      </c>
      <c r="O182" t="n">
        <v>0</v>
      </c>
      <c r="P182" t="n">
        <v>0</v>
      </c>
      <c r="Q182" t="n">
        <v>0</v>
      </c>
      <c r="R182" s="2" t="inlineStr"/>
    </row>
    <row r="183" ht="15" customHeight="1">
      <c r="A183" t="inlineStr">
        <is>
          <t>A 40479-2025</t>
        </is>
      </c>
      <c r="B183" s="1" t="n">
        <v>45895.72991898148</v>
      </c>
      <c r="C183" s="1" t="n">
        <v>46187</v>
      </c>
      <c r="D183" t="inlineStr">
        <is>
          <t>VÄSTERBOTTENS LÄN</t>
        </is>
      </c>
      <c r="E183" t="inlineStr">
        <is>
          <t>ÅSELE</t>
        </is>
      </c>
      <c r="F183" t="inlineStr">
        <is>
          <t>Naturvårdsverket</t>
        </is>
      </c>
      <c r="G183" t="n">
        <v>4.4</v>
      </c>
      <c r="H183" t="n">
        <v>0</v>
      </c>
      <c r="I183" t="n">
        <v>0</v>
      </c>
      <c r="J183" t="n">
        <v>0</v>
      </c>
      <c r="K183" t="n">
        <v>0</v>
      </c>
      <c r="L183" t="n">
        <v>0</v>
      </c>
      <c r="M183" t="n">
        <v>0</v>
      </c>
      <c r="N183" t="n">
        <v>0</v>
      </c>
      <c r="O183" t="n">
        <v>0</v>
      </c>
      <c r="P183" t="n">
        <v>0</v>
      </c>
      <c r="Q183" t="n">
        <v>0</v>
      </c>
      <c r="R183" s="2" t="inlineStr"/>
    </row>
    <row r="184" ht="15" customHeight="1">
      <c r="A184" t="inlineStr">
        <is>
          <t>A 53239-2025</t>
        </is>
      </c>
      <c r="B184" s="1" t="n">
        <v>45958.63582175926</v>
      </c>
      <c r="C184" s="1" t="n">
        <v>46187</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40035-2025</t>
        </is>
      </c>
      <c r="B185" s="1" t="n">
        <v>45894.38201388889</v>
      </c>
      <c r="C185" s="1" t="n">
        <v>46187</v>
      </c>
      <c r="D185" t="inlineStr">
        <is>
          <t>VÄSTERBOTTENS LÄN</t>
        </is>
      </c>
      <c r="E185" t="inlineStr">
        <is>
          <t>ÅSELE</t>
        </is>
      </c>
      <c r="G185" t="n">
        <v>3.3</v>
      </c>
      <c r="H185" t="n">
        <v>0</v>
      </c>
      <c r="I185" t="n">
        <v>0</v>
      </c>
      <c r="J185" t="n">
        <v>0</v>
      </c>
      <c r="K185" t="n">
        <v>0</v>
      </c>
      <c r="L185" t="n">
        <v>0</v>
      </c>
      <c r="M185" t="n">
        <v>0</v>
      </c>
      <c r="N185" t="n">
        <v>0</v>
      </c>
      <c r="O185" t="n">
        <v>0</v>
      </c>
      <c r="P185" t="n">
        <v>0</v>
      </c>
      <c r="Q185" t="n">
        <v>0</v>
      </c>
      <c r="R185" s="2" t="inlineStr"/>
    </row>
    <row r="186" ht="15" customHeight="1">
      <c r="A186" t="inlineStr">
        <is>
          <t>A 39971-2025</t>
        </is>
      </c>
      <c r="B186" s="1" t="n">
        <v>45892.69835648148</v>
      </c>
      <c r="C186" s="1" t="n">
        <v>46187</v>
      </c>
      <c r="D186" t="inlineStr">
        <is>
          <t>VÄSTERBOTTENS LÄN</t>
        </is>
      </c>
      <c r="E186" t="inlineStr">
        <is>
          <t>ÅSELE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40349-2025</t>
        </is>
      </c>
      <c r="B187" s="1" t="n">
        <v>45895.48251157408</v>
      </c>
      <c r="C187" s="1" t="n">
        <v>46187</v>
      </c>
      <c r="D187" t="inlineStr">
        <is>
          <t>VÄSTERBOTTENS LÄN</t>
        </is>
      </c>
      <c r="E187" t="inlineStr">
        <is>
          <t>ÅSELE</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53779-2025</t>
        </is>
      </c>
      <c r="B188" s="1" t="n">
        <v>45960.69875</v>
      </c>
      <c r="C188" s="1" t="n">
        <v>46187</v>
      </c>
      <c r="D188" t="inlineStr">
        <is>
          <t>VÄSTERBOTTENS LÄN</t>
        </is>
      </c>
      <c r="E188" t="inlineStr">
        <is>
          <t>ÅSELE</t>
        </is>
      </c>
      <c r="F188" t="inlineStr">
        <is>
          <t>Holmen skog AB</t>
        </is>
      </c>
      <c r="G188" t="n">
        <v>25.8</v>
      </c>
      <c r="H188" t="n">
        <v>0</v>
      </c>
      <c r="I188" t="n">
        <v>0</v>
      </c>
      <c r="J188" t="n">
        <v>0</v>
      </c>
      <c r="K188" t="n">
        <v>0</v>
      </c>
      <c r="L188" t="n">
        <v>0</v>
      </c>
      <c r="M188" t="n">
        <v>0</v>
      </c>
      <c r="N188" t="n">
        <v>0</v>
      </c>
      <c r="O188" t="n">
        <v>0</v>
      </c>
      <c r="P188" t="n">
        <v>0</v>
      </c>
      <c r="Q188" t="n">
        <v>0</v>
      </c>
      <c r="R188" s="2" t="inlineStr"/>
    </row>
    <row r="189" ht="15" customHeight="1">
      <c r="A189" t="inlineStr">
        <is>
          <t>A 40028-2025</t>
        </is>
      </c>
      <c r="B189" s="1" t="n">
        <v>45894.37039351852</v>
      </c>
      <c r="C189" s="1" t="n">
        <v>46187</v>
      </c>
      <c r="D189" t="inlineStr">
        <is>
          <t>VÄSTERBOTTENS LÄN</t>
        </is>
      </c>
      <c r="E189" t="inlineStr">
        <is>
          <t>ÅSELE</t>
        </is>
      </c>
      <c r="G189" t="n">
        <v>5.3</v>
      </c>
      <c r="H189" t="n">
        <v>0</v>
      </c>
      <c r="I189" t="n">
        <v>0</v>
      </c>
      <c r="J189" t="n">
        <v>0</v>
      </c>
      <c r="K189" t="n">
        <v>0</v>
      </c>
      <c r="L189" t="n">
        <v>0</v>
      </c>
      <c r="M189" t="n">
        <v>0</v>
      </c>
      <c r="N189" t="n">
        <v>0</v>
      </c>
      <c r="O189" t="n">
        <v>0</v>
      </c>
      <c r="P189" t="n">
        <v>0</v>
      </c>
      <c r="Q189" t="n">
        <v>0</v>
      </c>
      <c r="R189" s="2" t="inlineStr"/>
    </row>
    <row r="190" ht="15" customHeight="1">
      <c r="A190" t="inlineStr">
        <is>
          <t>A 39978-2025</t>
        </is>
      </c>
      <c r="B190" s="1" t="n">
        <v>45893.69837962963</v>
      </c>
      <c r="C190" s="1" t="n">
        <v>46187</v>
      </c>
      <c r="D190" t="inlineStr">
        <is>
          <t>VÄSTERBOTTENS LÄN</t>
        </is>
      </c>
      <c r="E190" t="inlineStr">
        <is>
          <t>ÅSELE</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40124-2025</t>
        </is>
      </c>
      <c r="B191" s="1" t="n">
        <v>45894.53172453704</v>
      </c>
      <c r="C191" s="1" t="n">
        <v>46187</v>
      </c>
      <c r="D191" t="inlineStr">
        <is>
          <t>VÄSTERBOTTENS LÄN</t>
        </is>
      </c>
      <c r="E191" t="inlineStr">
        <is>
          <t>ÅSELE</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40223-2025</t>
        </is>
      </c>
      <c r="B192" s="1" t="n">
        <v>45894.69829861111</v>
      </c>
      <c r="C192" s="1" t="n">
        <v>46187</v>
      </c>
      <c r="D192" t="inlineStr">
        <is>
          <t>VÄSTERBOTTENS LÄN</t>
        </is>
      </c>
      <c r="E192" t="inlineStr">
        <is>
          <t>ÅSELE</t>
        </is>
      </c>
      <c r="F192" t="inlineStr">
        <is>
          <t>SCA</t>
        </is>
      </c>
      <c r="G192" t="n">
        <v>11.6</v>
      </c>
      <c r="H192" t="n">
        <v>0</v>
      </c>
      <c r="I192" t="n">
        <v>0</v>
      </c>
      <c r="J192" t="n">
        <v>0</v>
      </c>
      <c r="K192" t="n">
        <v>0</v>
      </c>
      <c r="L192" t="n">
        <v>0</v>
      </c>
      <c r="M192" t="n">
        <v>0</v>
      </c>
      <c r="N192" t="n">
        <v>0</v>
      </c>
      <c r="O192" t="n">
        <v>0</v>
      </c>
      <c r="P192" t="n">
        <v>0</v>
      </c>
      <c r="Q192" t="n">
        <v>0</v>
      </c>
      <c r="R192" s="2" t="inlineStr"/>
    </row>
    <row r="193" ht="15" customHeight="1">
      <c r="A193" t="inlineStr">
        <is>
          <t>A 40125-2025</t>
        </is>
      </c>
      <c r="B193" s="1" t="n">
        <v>45894.53178240741</v>
      </c>
      <c r="C193" s="1" t="n">
        <v>46187</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40350-2025</t>
        </is>
      </c>
      <c r="B194" s="1" t="n">
        <v>45895.48373842592</v>
      </c>
      <c r="C194" s="1" t="n">
        <v>46187</v>
      </c>
      <c r="D194" t="inlineStr">
        <is>
          <t>VÄSTERBOTTENS LÄN</t>
        </is>
      </c>
      <c r="E194" t="inlineStr">
        <is>
          <t>ÅSELE</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3559-2024</t>
        </is>
      </c>
      <c r="B195" s="1" t="n">
        <v>45320</v>
      </c>
      <c r="C195" s="1" t="n">
        <v>46187</v>
      </c>
      <c r="D195" t="inlineStr">
        <is>
          <t>VÄSTERBOTTENS LÄN</t>
        </is>
      </c>
      <c r="E195" t="inlineStr">
        <is>
          <t>ÅSELE</t>
        </is>
      </c>
      <c r="G195" t="n">
        <v>2.3</v>
      </c>
      <c r="H195" t="n">
        <v>0</v>
      </c>
      <c r="I195" t="n">
        <v>0</v>
      </c>
      <c r="J195" t="n">
        <v>0</v>
      </c>
      <c r="K195" t="n">
        <v>0</v>
      </c>
      <c r="L195" t="n">
        <v>0</v>
      </c>
      <c r="M195" t="n">
        <v>0</v>
      </c>
      <c r="N195" t="n">
        <v>0</v>
      </c>
      <c r="O195" t="n">
        <v>0</v>
      </c>
      <c r="P195" t="n">
        <v>0</v>
      </c>
      <c r="Q195" t="n">
        <v>0</v>
      </c>
      <c r="R195" s="2" t="inlineStr"/>
    </row>
    <row r="196" ht="15" customHeight="1">
      <c r="A196" t="inlineStr">
        <is>
          <t>A 40922-2025</t>
        </is>
      </c>
      <c r="B196" s="1" t="n">
        <v>45897.63563657407</v>
      </c>
      <c r="C196" s="1" t="n">
        <v>46187</v>
      </c>
      <c r="D196" t="inlineStr">
        <is>
          <t>VÄSTERBOTTENS LÄN</t>
        </is>
      </c>
      <c r="E196" t="inlineStr">
        <is>
          <t>ÅSELE</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46187</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41160-2025</t>
        </is>
      </c>
      <c r="B198" s="1" t="n">
        <v>45898.53180555555</v>
      </c>
      <c r="C198" s="1" t="n">
        <v>46187</v>
      </c>
      <c r="D198" t="inlineStr">
        <is>
          <t>VÄSTERBOTTENS LÄN</t>
        </is>
      </c>
      <c r="E198" t="inlineStr">
        <is>
          <t>ÅSELE</t>
        </is>
      </c>
      <c r="F198" t="inlineStr">
        <is>
          <t>SCA</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54977-2025</t>
        </is>
      </c>
      <c r="B199" s="1" t="n">
        <v>45967.51125</v>
      </c>
      <c r="C199" s="1" t="n">
        <v>46187</v>
      </c>
      <c r="D199" t="inlineStr">
        <is>
          <t>VÄSTERBOTTENS LÄN</t>
        </is>
      </c>
      <c r="E199" t="inlineStr">
        <is>
          <t>ÅSELE</t>
        </is>
      </c>
      <c r="F199" t="inlineStr">
        <is>
          <t>SCA</t>
        </is>
      </c>
      <c r="G199" t="n">
        <v>4.8</v>
      </c>
      <c r="H199" t="n">
        <v>0</v>
      </c>
      <c r="I199" t="n">
        <v>0</v>
      </c>
      <c r="J199" t="n">
        <v>0</v>
      </c>
      <c r="K199" t="n">
        <v>0</v>
      </c>
      <c r="L199" t="n">
        <v>0</v>
      </c>
      <c r="M199" t="n">
        <v>0</v>
      </c>
      <c r="N199" t="n">
        <v>0</v>
      </c>
      <c r="O199" t="n">
        <v>0</v>
      </c>
      <c r="P199" t="n">
        <v>0</v>
      </c>
      <c r="Q199" t="n">
        <v>0</v>
      </c>
      <c r="R199" s="2" t="inlineStr"/>
    </row>
    <row r="200" ht="15" customHeight="1">
      <c r="A200" t="inlineStr">
        <is>
          <t>A 41523-2025</t>
        </is>
      </c>
      <c r="B200" s="1" t="n">
        <v>45901.55246527777</v>
      </c>
      <c r="C200" s="1" t="n">
        <v>46187</v>
      </c>
      <c r="D200" t="inlineStr">
        <is>
          <t>VÄSTERBOTTENS LÄN</t>
        </is>
      </c>
      <c r="E200" t="inlineStr">
        <is>
          <t>ÅSELE</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41177-2025</t>
        </is>
      </c>
      <c r="B201" s="1" t="n">
        <v>45898.55245370371</v>
      </c>
      <c r="C201" s="1" t="n">
        <v>46187</v>
      </c>
      <c r="D201" t="inlineStr">
        <is>
          <t>VÄSTERBOTTENS LÄN</t>
        </is>
      </c>
      <c r="E201" t="inlineStr">
        <is>
          <t>ÅSELE</t>
        </is>
      </c>
      <c r="F201" t="inlineStr">
        <is>
          <t>SCA</t>
        </is>
      </c>
      <c r="G201" t="n">
        <v>6.7</v>
      </c>
      <c r="H201" t="n">
        <v>0</v>
      </c>
      <c r="I201" t="n">
        <v>0</v>
      </c>
      <c r="J201" t="n">
        <v>0</v>
      </c>
      <c r="K201" t="n">
        <v>0</v>
      </c>
      <c r="L201" t="n">
        <v>0</v>
      </c>
      <c r="M201" t="n">
        <v>0</v>
      </c>
      <c r="N201" t="n">
        <v>0</v>
      </c>
      <c r="O201" t="n">
        <v>0</v>
      </c>
      <c r="P201" t="n">
        <v>0</v>
      </c>
      <c r="Q201" t="n">
        <v>0</v>
      </c>
      <c r="R201" s="2" t="inlineStr"/>
    </row>
    <row r="202" ht="15" customHeight="1">
      <c r="A202" t="inlineStr">
        <is>
          <t>A 22144-2025</t>
        </is>
      </c>
      <c r="B202" s="1" t="n">
        <v>45785.55258101852</v>
      </c>
      <c r="C202" s="1" t="n">
        <v>46187</v>
      </c>
      <c r="D202" t="inlineStr">
        <is>
          <t>VÄSTERBOTTENS LÄN</t>
        </is>
      </c>
      <c r="E202" t="inlineStr">
        <is>
          <t>ÅSELE</t>
        </is>
      </c>
      <c r="G202" t="n">
        <v>8.4</v>
      </c>
      <c r="H202" t="n">
        <v>0</v>
      </c>
      <c r="I202" t="n">
        <v>0</v>
      </c>
      <c r="J202" t="n">
        <v>0</v>
      </c>
      <c r="K202" t="n">
        <v>0</v>
      </c>
      <c r="L202" t="n">
        <v>0</v>
      </c>
      <c r="M202" t="n">
        <v>0</v>
      </c>
      <c r="N202" t="n">
        <v>0</v>
      </c>
      <c r="O202" t="n">
        <v>0</v>
      </c>
      <c r="P202" t="n">
        <v>0</v>
      </c>
      <c r="Q202" t="n">
        <v>0</v>
      </c>
      <c r="R202" s="2" t="inlineStr"/>
    </row>
    <row r="203" ht="15" customHeight="1">
      <c r="A203" t="inlineStr">
        <is>
          <t>A 54846-2025</t>
        </is>
      </c>
      <c r="B203" s="1" t="n">
        <v>45966.70601851852</v>
      </c>
      <c r="C203" s="1" t="n">
        <v>46187</v>
      </c>
      <c r="D203" t="inlineStr">
        <is>
          <t>VÄSTERBOTTENS LÄN</t>
        </is>
      </c>
      <c r="E203" t="inlineStr">
        <is>
          <t>ÅSELE</t>
        </is>
      </c>
      <c r="F203" t="inlineStr">
        <is>
          <t>Sveaskog</t>
        </is>
      </c>
      <c r="G203" t="n">
        <v>21.9</v>
      </c>
      <c r="H203" t="n">
        <v>0</v>
      </c>
      <c r="I203" t="n">
        <v>0</v>
      </c>
      <c r="J203" t="n">
        <v>0</v>
      </c>
      <c r="K203" t="n">
        <v>0</v>
      </c>
      <c r="L203" t="n">
        <v>0</v>
      </c>
      <c r="M203" t="n">
        <v>0</v>
      </c>
      <c r="N203" t="n">
        <v>0</v>
      </c>
      <c r="O203" t="n">
        <v>0</v>
      </c>
      <c r="P203" t="n">
        <v>0</v>
      </c>
      <c r="Q203" t="n">
        <v>0</v>
      </c>
      <c r="R203" s="2" t="inlineStr"/>
    </row>
    <row r="204" ht="15" customHeight="1">
      <c r="A204" t="inlineStr">
        <is>
          <t>A 54849-2025</t>
        </is>
      </c>
      <c r="B204" s="1" t="n">
        <v>45966.71070601852</v>
      </c>
      <c r="C204" s="1" t="n">
        <v>46187</v>
      </c>
      <c r="D204" t="inlineStr">
        <is>
          <t>VÄSTERBOTTENS LÄN</t>
        </is>
      </c>
      <c r="E204" t="inlineStr">
        <is>
          <t>ÅSELE</t>
        </is>
      </c>
      <c r="F204" t="inlineStr">
        <is>
          <t>Sveaskog</t>
        </is>
      </c>
      <c r="G204" t="n">
        <v>19.3</v>
      </c>
      <c r="H204" t="n">
        <v>0</v>
      </c>
      <c r="I204" t="n">
        <v>0</v>
      </c>
      <c r="J204" t="n">
        <v>0</v>
      </c>
      <c r="K204" t="n">
        <v>0</v>
      </c>
      <c r="L204" t="n">
        <v>0</v>
      </c>
      <c r="M204" t="n">
        <v>0</v>
      </c>
      <c r="N204" t="n">
        <v>0</v>
      </c>
      <c r="O204" t="n">
        <v>0</v>
      </c>
      <c r="P204" t="n">
        <v>0</v>
      </c>
      <c r="Q204" t="n">
        <v>0</v>
      </c>
      <c r="R204" s="2" t="inlineStr"/>
    </row>
    <row r="205" ht="15" customHeight="1">
      <c r="A205" t="inlineStr">
        <is>
          <t>A 32942-2024</t>
        </is>
      </c>
      <c r="B205" s="1" t="n">
        <v>45517</v>
      </c>
      <c r="C205" s="1" t="n">
        <v>46187</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41525-2025</t>
        </is>
      </c>
      <c r="B206" s="1" t="n">
        <v>45901.55268518518</v>
      </c>
      <c r="C206" s="1" t="n">
        <v>46187</v>
      </c>
      <c r="D206" t="inlineStr">
        <is>
          <t>VÄSTERBOTTENS LÄN</t>
        </is>
      </c>
      <c r="E206" t="inlineStr">
        <is>
          <t>ÅSELE</t>
        </is>
      </c>
      <c r="F206" t="inlineStr">
        <is>
          <t>SCA</t>
        </is>
      </c>
      <c r="G206" t="n">
        <v>5.4</v>
      </c>
      <c r="H206" t="n">
        <v>0</v>
      </c>
      <c r="I206" t="n">
        <v>0</v>
      </c>
      <c r="J206" t="n">
        <v>0</v>
      </c>
      <c r="K206" t="n">
        <v>0</v>
      </c>
      <c r="L206" t="n">
        <v>0</v>
      </c>
      <c r="M206" t="n">
        <v>0</v>
      </c>
      <c r="N206" t="n">
        <v>0</v>
      </c>
      <c r="O206" t="n">
        <v>0</v>
      </c>
      <c r="P206" t="n">
        <v>0</v>
      </c>
      <c r="Q206" t="n">
        <v>0</v>
      </c>
      <c r="R206" s="2" t="inlineStr"/>
    </row>
    <row r="207" ht="15" customHeight="1">
      <c r="A207" t="inlineStr">
        <is>
          <t>A 54853-2025</t>
        </is>
      </c>
      <c r="B207" s="1" t="n">
        <v>45966.72503472222</v>
      </c>
      <c r="C207" s="1" t="n">
        <v>46187</v>
      </c>
      <c r="D207" t="inlineStr">
        <is>
          <t>VÄSTERBOTTENS LÄN</t>
        </is>
      </c>
      <c r="E207" t="inlineStr">
        <is>
          <t>ÅSELE</t>
        </is>
      </c>
      <c r="F207" t="inlineStr">
        <is>
          <t>Sveaskog</t>
        </is>
      </c>
      <c r="G207" t="n">
        <v>29.3</v>
      </c>
      <c r="H207" t="n">
        <v>0</v>
      </c>
      <c r="I207" t="n">
        <v>0</v>
      </c>
      <c r="J207" t="n">
        <v>0</v>
      </c>
      <c r="K207" t="n">
        <v>0</v>
      </c>
      <c r="L207" t="n">
        <v>0</v>
      </c>
      <c r="M207" t="n">
        <v>0</v>
      </c>
      <c r="N207" t="n">
        <v>0</v>
      </c>
      <c r="O207" t="n">
        <v>0</v>
      </c>
      <c r="P207" t="n">
        <v>0</v>
      </c>
      <c r="Q207" t="n">
        <v>0</v>
      </c>
      <c r="R207" s="2" t="inlineStr"/>
    </row>
    <row r="208" ht="15" customHeight="1">
      <c r="A208" t="inlineStr">
        <is>
          <t>A 34578-2024</t>
        </is>
      </c>
      <c r="B208" s="1" t="n">
        <v>45526.36461805556</v>
      </c>
      <c r="C208" s="1" t="n">
        <v>46187</v>
      </c>
      <c r="D208" t="inlineStr">
        <is>
          <t>VÄSTERBOTTENS LÄN</t>
        </is>
      </c>
      <c r="E208" t="inlineStr">
        <is>
          <t>ÅSELE</t>
        </is>
      </c>
      <c r="F208" t="inlineStr">
        <is>
          <t>SCA</t>
        </is>
      </c>
      <c r="G208" t="n">
        <v>0.3</v>
      </c>
      <c r="H208" t="n">
        <v>0</v>
      </c>
      <c r="I208" t="n">
        <v>0</v>
      </c>
      <c r="J208" t="n">
        <v>0</v>
      </c>
      <c r="K208" t="n">
        <v>0</v>
      </c>
      <c r="L208" t="n">
        <v>0</v>
      </c>
      <c r="M208" t="n">
        <v>0</v>
      </c>
      <c r="N208" t="n">
        <v>0</v>
      </c>
      <c r="O208" t="n">
        <v>0</v>
      </c>
      <c r="P208" t="n">
        <v>0</v>
      </c>
      <c r="Q208" t="n">
        <v>0</v>
      </c>
      <c r="R208" s="2" t="inlineStr"/>
    </row>
    <row r="209" ht="15" customHeight="1">
      <c r="A209" t="inlineStr">
        <is>
          <t>A 41961-2025</t>
        </is>
      </c>
      <c r="B209" s="1" t="n">
        <v>45903</v>
      </c>
      <c r="C209" s="1" t="n">
        <v>46187</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54832-2025</t>
        </is>
      </c>
      <c r="B210" s="1" t="n">
        <v>45966.67761574074</v>
      </c>
      <c r="C210" s="1" t="n">
        <v>46187</v>
      </c>
      <c r="D210" t="inlineStr">
        <is>
          <t>VÄSTERBOTTENS LÄN</t>
        </is>
      </c>
      <c r="E210" t="inlineStr">
        <is>
          <t>ÅSELE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42066-2025</t>
        </is>
      </c>
      <c r="B211" s="1" t="n">
        <v>45903.65673611111</v>
      </c>
      <c r="C211" s="1" t="n">
        <v>46187</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54811-2025</t>
        </is>
      </c>
      <c r="B212" s="1" t="n">
        <v>45966.64833333333</v>
      </c>
      <c r="C212" s="1" t="n">
        <v>46187</v>
      </c>
      <c r="D212" t="inlineStr">
        <is>
          <t>VÄSTERBOTTENS LÄN</t>
        </is>
      </c>
      <c r="E212" t="inlineStr">
        <is>
          <t>ÅSELE</t>
        </is>
      </c>
      <c r="F212" t="inlineStr">
        <is>
          <t>Kommuner</t>
        </is>
      </c>
      <c r="G212" t="n">
        <v>13.7</v>
      </c>
      <c r="H212" t="n">
        <v>0</v>
      </c>
      <c r="I212" t="n">
        <v>0</v>
      </c>
      <c r="J212" t="n">
        <v>0</v>
      </c>
      <c r="K212" t="n">
        <v>0</v>
      </c>
      <c r="L212" t="n">
        <v>0</v>
      </c>
      <c r="M212" t="n">
        <v>0</v>
      </c>
      <c r="N212" t="n">
        <v>0</v>
      </c>
      <c r="O212" t="n">
        <v>0</v>
      </c>
      <c r="P212" t="n">
        <v>0</v>
      </c>
      <c r="Q212" t="n">
        <v>0</v>
      </c>
      <c r="R212" s="2" t="inlineStr"/>
    </row>
    <row r="213" ht="15" customHeight="1">
      <c r="A213" t="inlineStr">
        <is>
          <t>A 55054-2025</t>
        </is>
      </c>
      <c r="B213" s="1" t="n">
        <v>45967.67780092593</v>
      </c>
      <c r="C213" s="1" t="n">
        <v>46187</v>
      </c>
      <c r="D213" t="inlineStr">
        <is>
          <t>VÄSTERBOTTENS LÄN</t>
        </is>
      </c>
      <c r="E213" t="inlineStr">
        <is>
          <t>ÅSELE</t>
        </is>
      </c>
      <c r="F213" t="inlineStr">
        <is>
          <t>SCA</t>
        </is>
      </c>
      <c r="G213" t="n">
        <v>13.3</v>
      </c>
      <c r="H213" t="n">
        <v>0</v>
      </c>
      <c r="I213" t="n">
        <v>0</v>
      </c>
      <c r="J213" t="n">
        <v>0</v>
      </c>
      <c r="K213" t="n">
        <v>0</v>
      </c>
      <c r="L213" t="n">
        <v>0</v>
      </c>
      <c r="M213" t="n">
        <v>0</v>
      </c>
      <c r="N213" t="n">
        <v>0</v>
      </c>
      <c r="O213" t="n">
        <v>0</v>
      </c>
      <c r="P213" t="n">
        <v>0</v>
      </c>
      <c r="Q213" t="n">
        <v>0</v>
      </c>
      <c r="R213" s="2" t="inlineStr"/>
    </row>
    <row r="214" ht="15" customHeight="1">
      <c r="A214" t="inlineStr">
        <is>
          <t>A 28279-2023</t>
        </is>
      </c>
      <c r="B214" s="1" t="n">
        <v>45099.62826388889</v>
      </c>
      <c r="C214" s="1" t="n">
        <v>46187</v>
      </c>
      <c r="D214" t="inlineStr">
        <is>
          <t>VÄSTERBOTTENS LÄN</t>
        </is>
      </c>
      <c r="E214" t="inlineStr">
        <is>
          <t>ÅSELE</t>
        </is>
      </c>
      <c r="F214" t="inlineStr">
        <is>
          <t>Sveaskog</t>
        </is>
      </c>
      <c r="G214" t="n">
        <v>16.6</v>
      </c>
      <c r="H214" t="n">
        <v>0</v>
      </c>
      <c r="I214" t="n">
        <v>0</v>
      </c>
      <c r="J214" t="n">
        <v>0</v>
      </c>
      <c r="K214" t="n">
        <v>0</v>
      </c>
      <c r="L214" t="n">
        <v>0</v>
      </c>
      <c r="M214" t="n">
        <v>0</v>
      </c>
      <c r="N214" t="n">
        <v>0</v>
      </c>
      <c r="O214" t="n">
        <v>0</v>
      </c>
      <c r="P214" t="n">
        <v>0</v>
      </c>
      <c r="Q214" t="n">
        <v>0</v>
      </c>
      <c r="R214" s="2" t="inlineStr"/>
    </row>
    <row r="215" ht="15" customHeight="1">
      <c r="A215" t="inlineStr">
        <is>
          <t>A 62534-2021</t>
        </is>
      </c>
      <c r="B215" s="1" t="n">
        <v>44503</v>
      </c>
      <c r="C215" s="1" t="n">
        <v>46187</v>
      </c>
      <c r="D215" t="inlineStr">
        <is>
          <t>VÄSTERBOTTENS LÄN</t>
        </is>
      </c>
      <c r="E215" t="inlineStr">
        <is>
          <t>ÅSELE</t>
        </is>
      </c>
      <c r="F215" t="inlineStr">
        <is>
          <t>Holmen skog AB</t>
        </is>
      </c>
      <c r="G215" t="n">
        <v>4.2</v>
      </c>
      <c r="H215" t="n">
        <v>0</v>
      </c>
      <c r="I215" t="n">
        <v>0</v>
      </c>
      <c r="J215" t="n">
        <v>0</v>
      </c>
      <c r="K215" t="n">
        <v>0</v>
      </c>
      <c r="L215" t="n">
        <v>0</v>
      </c>
      <c r="M215" t="n">
        <v>0</v>
      </c>
      <c r="N215" t="n">
        <v>0</v>
      </c>
      <c r="O215" t="n">
        <v>0</v>
      </c>
      <c r="P215" t="n">
        <v>0</v>
      </c>
      <c r="Q215" t="n">
        <v>0</v>
      </c>
      <c r="R215" s="2" t="inlineStr"/>
    </row>
    <row r="216" ht="15" customHeight="1">
      <c r="A216" t="inlineStr">
        <is>
          <t>A 42560-2025</t>
        </is>
      </c>
      <c r="B216" s="1" t="n">
        <v>45905.59663194444</v>
      </c>
      <c r="C216" s="1" t="n">
        <v>46187</v>
      </c>
      <c r="D216" t="inlineStr">
        <is>
          <t>VÄSTERBOTTENS LÄN</t>
        </is>
      </c>
      <c r="E216" t="inlineStr">
        <is>
          <t>ÅSELE</t>
        </is>
      </c>
      <c r="G216" t="n">
        <v>6.3</v>
      </c>
      <c r="H216" t="n">
        <v>0</v>
      </c>
      <c r="I216" t="n">
        <v>0</v>
      </c>
      <c r="J216" t="n">
        <v>0</v>
      </c>
      <c r="K216" t="n">
        <v>0</v>
      </c>
      <c r="L216" t="n">
        <v>0</v>
      </c>
      <c r="M216" t="n">
        <v>0</v>
      </c>
      <c r="N216" t="n">
        <v>0</v>
      </c>
      <c r="O216" t="n">
        <v>0</v>
      </c>
      <c r="P216" t="n">
        <v>0</v>
      </c>
      <c r="Q216" t="n">
        <v>0</v>
      </c>
      <c r="R216" s="2" t="inlineStr"/>
    </row>
    <row r="217" ht="15" customHeight="1">
      <c r="A217" t="inlineStr">
        <is>
          <t>A 35861-2023</t>
        </is>
      </c>
      <c r="B217" s="1" t="n">
        <v>45147</v>
      </c>
      <c r="C217" s="1" t="n">
        <v>46187</v>
      </c>
      <c r="D217" t="inlineStr">
        <is>
          <t>VÄSTERBOTTENS LÄN</t>
        </is>
      </c>
      <c r="E217" t="inlineStr">
        <is>
          <t>ÅSELE</t>
        </is>
      </c>
      <c r="G217" t="n">
        <v>0.6</v>
      </c>
      <c r="H217" t="n">
        <v>0</v>
      </c>
      <c r="I217" t="n">
        <v>0</v>
      </c>
      <c r="J217" t="n">
        <v>0</v>
      </c>
      <c r="K217" t="n">
        <v>0</v>
      </c>
      <c r="L217" t="n">
        <v>0</v>
      </c>
      <c r="M217" t="n">
        <v>0</v>
      </c>
      <c r="N217" t="n">
        <v>0</v>
      </c>
      <c r="O217" t="n">
        <v>0</v>
      </c>
      <c r="P217" t="n">
        <v>0</v>
      </c>
      <c r="Q217" t="n">
        <v>0</v>
      </c>
      <c r="R217" s="2" t="inlineStr"/>
    </row>
    <row r="218" ht="15" customHeight="1">
      <c r="A218" t="inlineStr">
        <is>
          <t>A 42276-2025</t>
        </is>
      </c>
      <c r="B218" s="1" t="n">
        <v>45904.61506944444</v>
      </c>
      <c r="C218" s="1" t="n">
        <v>46187</v>
      </c>
      <c r="D218" t="inlineStr">
        <is>
          <t>VÄSTERBOTTENS LÄN</t>
        </is>
      </c>
      <c r="E218" t="inlineStr">
        <is>
          <t>ÅSELE</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55566-2025</t>
        </is>
      </c>
      <c r="B219" s="1" t="n">
        <v>45971.65574074074</v>
      </c>
      <c r="C219" s="1" t="n">
        <v>46187</v>
      </c>
      <c r="D219" t="inlineStr">
        <is>
          <t>VÄSTERBOTTENS LÄN</t>
        </is>
      </c>
      <c r="E219" t="inlineStr">
        <is>
          <t>ÅSELE</t>
        </is>
      </c>
      <c r="F219" t="inlineStr">
        <is>
          <t>Holmen skog AB</t>
        </is>
      </c>
      <c r="G219" t="n">
        <v>1.3</v>
      </c>
      <c r="H219" t="n">
        <v>0</v>
      </c>
      <c r="I219" t="n">
        <v>0</v>
      </c>
      <c r="J219" t="n">
        <v>0</v>
      </c>
      <c r="K219" t="n">
        <v>0</v>
      </c>
      <c r="L219" t="n">
        <v>0</v>
      </c>
      <c r="M219" t="n">
        <v>0</v>
      </c>
      <c r="N219" t="n">
        <v>0</v>
      </c>
      <c r="O219" t="n">
        <v>0</v>
      </c>
      <c r="P219" t="n">
        <v>0</v>
      </c>
      <c r="Q219" t="n">
        <v>0</v>
      </c>
      <c r="R219" s="2" t="inlineStr"/>
    </row>
    <row r="220" ht="15" customHeight="1">
      <c r="A220" t="inlineStr">
        <is>
          <t>A 22908-2025</t>
        </is>
      </c>
      <c r="B220" s="1" t="n">
        <v>45790</v>
      </c>
      <c r="C220" s="1" t="n">
        <v>46187</v>
      </c>
      <c r="D220" t="inlineStr">
        <is>
          <t>VÄSTERBOTTENS LÄN</t>
        </is>
      </c>
      <c r="E220" t="inlineStr">
        <is>
          <t>ÅSELE</t>
        </is>
      </c>
      <c r="G220" t="n">
        <v>7.3</v>
      </c>
      <c r="H220" t="n">
        <v>0</v>
      </c>
      <c r="I220" t="n">
        <v>0</v>
      </c>
      <c r="J220" t="n">
        <v>0</v>
      </c>
      <c r="K220" t="n">
        <v>0</v>
      </c>
      <c r="L220" t="n">
        <v>0</v>
      </c>
      <c r="M220" t="n">
        <v>0</v>
      </c>
      <c r="N220" t="n">
        <v>0</v>
      </c>
      <c r="O220" t="n">
        <v>0</v>
      </c>
      <c r="P220" t="n">
        <v>0</v>
      </c>
      <c r="Q220" t="n">
        <v>0</v>
      </c>
      <c r="R220" s="2" t="inlineStr"/>
    </row>
    <row r="221" ht="15" customHeight="1">
      <c r="A221" t="inlineStr">
        <is>
          <t>A 55342-2025</t>
        </is>
      </c>
      <c r="B221" s="1" t="n">
        <v>45971.34835648148</v>
      </c>
      <c r="C221" s="1" t="n">
        <v>46187</v>
      </c>
      <c r="D221" t="inlineStr">
        <is>
          <t>VÄSTERBOTTENS LÄN</t>
        </is>
      </c>
      <c r="E221" t="inlineStr">
        <is>
          <t>ÅSELE</t>
        </is>
      </c>
      <c r="F221" t="inlineStr">
        <is>
          <t>Holmen skog AB</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46187</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55169-2025</t>
        </is>
      </c>
      <c r="B223" s="1" t="n">
        <v>45968.49219907408</v>
      </c>
      <c r="C223" s="1" t="n">
        <v>46187</v>
      </c>
      <c r="D223" t="inlineStr">
        <is>
          <t>VÄSTERBOTTENS LÄN</t>
        </is>
      </c>
      <c r="E223" t="inlineStr">
        <is>
          <t>ÅSELE</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27436-2023</t>
        </is>
      </c>
      <c r="B224" s="1" t="n">
        <v>45092</v>
      </c>
      <c r="C224" s="1" t="n">
        <v>46187</v>
      </c>
      <c r="D224" t="inlineStr">
        <is>
          <t>VÄSTERBOTTENS LÄN</t>
        </is>
      </c>
      <c r="E224" t="inlineStr">
        <is>
          <t>ÅSELE</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55161-2025</t>
        </is>
      </c>
      <c r="B225" s="1" t="n">
        <v>45968.47324074074</v>
      </c>
      <c r="C225" s="1" t="n">
        <v>46187</v>
      </c>
      <c r="D225" t="inlineStr">
        <is>
          <t>VÄSTERBOTTENS LÄN</t>
        </is>
      </c>
      <c r="E225" t="inlineStr">
        <is>
          <t>ÅSELE</t>
        </is>
      </c>
      <c r="F225" t="inlineStr">
        <is>
          <t>Holmen skog AB</t>
        </is>
      </c>
      <c r="G225" t="n">
        <v>1.5</v>
      </c>
      <c r="H225" t="n">
        <v>0</v>
      </c>
      <c r="I225" t="n">
        <v>0</v>
      </c>
      <c r="J225" t="n">
        <v>0</v>
      </c>
      <c r="K225" t="n">
        <v>0</v>
      </c>
      <c r="L225" t="n">
        <v>0</v>
      </c>
      <c r="M225" t="n">
        <v>0</v>
      </c>
      <c r="N225" t="n">
        <v>0</v>
      </c>
      <c r="O225" t="n">
        <v>0</v>
      </c>
      <c r="P225" t="n">
        <v>0</v>
      </c>
      <c r="Q225" t="n">
        <v>0</v>
      </c>
      <c r="R225" s="2" t="inlineStr"/>
    </row>
    <row r="226" ht="15" customHeight="1">
      <c r="A226" t="inlineStr">
        <is>
          <t>A 53018-2024</t>
        </is>
      </c>
      <c r="B226" s="1" t="n">
        <v>45611</v>
      </c>
      <c r="C226" s="1" t="n">
        <v>46187</v>
      </c>
      <c r="D226" t="inlineStr">
        <is>
          <t>VÄSTERBOTTENS LÄN</t>
        </is>
      </c>
      <c r="E226" t="inlineStr">
        <is>
          <t>ÅSELE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42935-2025</t>
        </is>
      </c>
      <c r="B227" s="1" t="n">
        <v>45909.32541666667</v>
      </c>
      <c r="C227" s="1" t="n">
        <v>46187</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56018-2025</t>
        </is>
      </c>
      <c r="B228" s="1" t="n">
        <v>45973.59322916667</v>
      </c>
      <c r="C228" s="1" t="n">
        <v>46187</v>
      </c>
      <c r="D228" t="inlineStr">
        <is>
          <t>VÄSTERBOTTENS LÄN</t>
        </is>
      </c>
      <c r="E228" t="inlineStr">
        <is>
          <t>ÅSELE</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65478-2021</t>
        </is>
      </c>
      <c r="B229" s="1" t="n">
        <v>44516.34648148148</v>
      </c>
      <c r="C229" s="1" t="n">
        <v>46187</v>
      </c>
      <c r="D229" t="inlineStr">
        <is>
          <t>VÄSTERBOTTENS LÄN</t>
        </is>
      </c>
      <c r="E229" t="inlineStr">
        <is>
          <t>ÅSELE</t>
        </is>
      </c>
      <c r="F229" t="inlineStr">
        <is>
          <t>Holmen skog AB</t>
        </is>
      </c>
      <c r="G229" t="n">
        <v>1.7</v>
      </c>
      <c r="H229" t="n">
        <v>0</v>
      </c>
      <c r="I229" t="n">
        <v>0</v>
      </c>
      <c r="J229" t="n">
        <v>0</v>
      </c>
      <c r="K229" t="n">
        <v>0</v>
      </c>
      <c r="L229" t="n">
        <v>0</v>
      </c>
      <c r="M229" t="n">
        <v>0</v>
      </c>
      <c r="N229" t="n">
        <v>0</v>
      </c>
      <c r="O229" t="n">
        <v>0</v>
      </c>
      <c r="P229" t="n">
        <v>0</v>
      </c>
      <c r="Q229" t="n">
        <v>0</v>
      </c>
      <c r="R229" s="2" t="inlineStr"/>
    </row>
    <row r="230" ht="15" customHeight="1">
      <c r="A230" t="inlineStr">
        <is>
          <t>A 20140-2022</t>
        </is>
      </c>
      <c r="B230" s="1" t="n">
        <v>44698</v>
      </c>
      <c r="C230" s="1" t="n">
        <v>46187</v>
      </c>
      <c r="D230" t="inlineStr">
        <is>
          <t>VÄSTERBOTTENS LÄN</t>
        </is>
      </c>
      <c r="E230" t="inlineStr">
        <is>
          <t>ÅSELE</t>
        </is>
      </c>
      <c r="F230" t="inlineStr">
        <is>
          <t>Holmen skog AB</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1228-2023</t>
        </is>
      </c>
      <c r="B231" s="1" t="n">
        <v>44935.97217592593</v>
      </c>
      <c r="C231" s="1" t="n">
        <v>46187</v>
      </c>
      <c r="D231" t="inlineStr">
        <is>
          <t>VÄSTERBOTTENS LÄN</t>
        </is>
      </c>
      <c r="E231" t="inlineStr">
        <is>
          <t>ÅSELE</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33204-2021</t>
        </is>
      </c>
      <c r="B232" s="1" t="n">
        <v>44376.93355324074</v>
      </c>
      <c r="C232" s="1" t="n">
        <v>46187</v>
      </c>
      <c r="D232" t="inlineStr">
        <is>
          <t>VÄSTERBOTTENS LÄN</t>
        </is>
      </c>
      <c r="E232" t="inlineStr">
        <is>
          <t>ÅSELE</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43518-2025</t>
        </is>
      </c>
      <c r="B233" s="1" t="n">
        <v>45911.57329861111</v>
      </c>
      <c r="C233" s="1" t="n">
        <v>46187</v>
      </c>
      <c r="D233" t="inlineStr">
        <is>
          <t>VÄSTERBOTTENS LÄN</t>
        </is>
      </c>
      <c r="E233" t="inlineStr">
        <is>
          <t>ÅSELE</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56562-2025</t>
        </is>
      </c>
      <c r="B234" s="1" t="n">
        <v>45975.49438657407</v>
      </c>
      <c r="C234" s="1" t="n">
        <v>46187</v>
      </c>
      <c r="D234" t="inlineStr">
        <is>
          <t>VÄSTERBOTTENS LÄN</t>
        </is>
      </c>
      <c r="E234" t="inlineStr">
        <is>
          <t>ÅSELE</t>
        </is>
      </c>
      <c r="G234" t="n">
        <v>0.8</v>
      </c>
      <c r="H234" t="n">
        <v>0</v>
      </c>
      <c r="I234" t="n">
        <v>0</v>
      </c>
      <c r="J234" t="n">
        <v>0</v>
      </c>
      <c r="K234" t="n">
        <v>0</v>
      </c>
      <c r="L234" t="n">
        <v>0</v>
      </c>
      <c r="M234" t="n">
        <v>0</v>
      </c>
      <c r="N234" t="n">
        <v>0</v>
      </c>
      <c r="O234" t="n">
        <v>0</v>
      </c>
      <c r="P234" t="n">
        <v>0</v>
      </c>
      <c r="Q234" t="n">
        <v>0</v>
      </c>
      <c r="R234" s="2" t="inlineStr"/>
    </row>
    <row r="235" ht="15" customHeight="1">
      <c r="A235" t="inlineStr">
        <is>
          <t>A 43547-2025</t>
        </is>
      </c>
      <c r="B235" s="1" t="n">
        <v>45911.61565972222</v>
      </c>
      <c r="C235" s="1" t="n">
        <v>46187</v>
      </c>
      <c r="D235" t="inlineStr">
        <is>
          <t>VÄSTERBOTTENS LÄN</t>
        </is>
      </c>
      <c r="E235" t="inlineStr">
        <is>
          <t>ÅSELE</t>
        </is>
      </c>
      <c r="F235" t="inlineStr">
        <is>
          <t>SCA</t>
        </is>
      </c>
      <c r="G235" t="n">
        <v>4.8</v>
      </c>
      <c r="H235" t="n">
        <v>0</v>
      </c>
      <c r="I235" t="n">
        <v>0</v>
      </c>
      <c r="J235" t="n">
        <v>0</v>
      </c>
      <c r="K235" t="n">
        <v>0</v>
      </c>
      <c r="L235" t="n">
        <v>0</v>
      </c>
      <c r="M235" t="n">
        <v>0</v>
      </c>
      <c r="N235" t="n">
        <v>0</v>
      </c>
      <c r="O235" t="n">
        <v>0</v>
      </c>
      <c r="P235" t="n">
        <v>0</v>
      </c>
      <c r="Q235" t="n">
        <v>0</v>
      </c>
      <c r="R235" s="2" t="inlineStr"/>
    </row>
    <row r="236" ht="15" customHeight="1">
      <c r="A236" t="inlineStr">
        <is>
          <t>A 56536-2025</t>
        </is>
      </c>
      <c r="B236" s="1" t="n">
        <v>45975.47174768519</v>
      </c>
      <c r="C236" s="1" t="n">
        <v>46187</v>
      </c>
      <c r="D236" t="inlineStr">
        <is>
          <t>VÄSTERBOTTENS LÄN</t>
        </is>
      </c>
      <c r="E236" t="inlineStr">
        <is>
          <t>ÅSELE</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43489-2025</t>
        </is>
      </c>
      <c r="B237" s="1" t="n">
        <v>45911.51107638889</v>
      </c>
      <c r="C237" s="1" t="n">
        <v>46187</v>
      </c>
      <c r="D237" t="inlineStr">
        <is>
          <t>VÄSTERBOTTENS LÄN</t>
        </is>
      </c>
      <c r="E237" t="inlineStr">
        <is>
          <t>ÅSELE</t>
        </is>
      </c>
      <c r="F237" t="inlineStr">
        <is>
          <t>SCA</t>
        </is>
      </c>
      <c r="G237" t="n">
        <v>9.9</v>
      </c>
      <c r="H237" t="n">
        <v>0</v>
      </c>
      <c r="I237" t="n">
        <v>0</v>
      </c>
      <c r="J237" t="n">
        <v>0</v>
      </c>
      <c r="K237" t="n">
        <v>0</v>
      </c>
      <c r="L237" t="n">
        <v>0</v>
      </c>
      <c r="M237" t="n">
        <v>0</v>
      </c>
      <c r="N237" t="n">
        <v>0</v>
      </c>
      <c r="O237" t="n">
        <v>0</v>
      </c>
      <c r="P237" t="n">
        <v>0</v>
      </c>
      <c r="Q237" t="n">
        <v>0</v>
      </c>
      <c r="R237" s="2" t="inlineStr"/>
    </row>
    <row r="238" ht="15" customHeight="1">
      <c r="A238" t="inlineStr">
        <is>
          <t>A 56551-2025</t>
        </is>
      </c>
      <c r="B238" s="1" t="n">
        <v>45975.48168981481</v>
      </c>
      <c r="C238" s="1" t="n">
        <v>46187</v>
      </c>
      <c r="D238" t="inlineStr">
        <is>
          <t>VÄSTERBOTTENS LÄN</t>
        </is>
      </c>
      <c r="E238" t="inlineStr">
        <is>
          <t>ÅSELE</t>
        </is>
      </c>
      <c r="G238" t="n">
        <v>4.3</v>
      </c>
      <c r="H238" t="n">
        <v>0</v>
      </c>
      <c r="I238" t="n">
        <v>0</v>
      </c>
      <c r="J238" t="n">
        <v>0</v>
      </c>
      <c r="K238" t="n">
        <v>0</v>
      </c>
      <c r="L238" t="n">
        <v>0</v>
      </c>
      <c r="M238" t="n">
        <v>0</v>
      </c>
      <c r="N238" t="n">
        <v>0</v>
      </c>
      <c r="O238" t="n">
        <v>0</v>
      </c>
      <c r="P238" t="n">
        <v>0</v>
      </c>
      <c r="Q238" t="n">
        <v>0</v>
      </c>
      <c r="R238" s="2" t="inlineStr"/>
    </row>
    <row r="239" ht="15" customHeight="1">
      <c r="A239" t="inlineStr">
        <is>
          <t>A 22739-2023</t>
        </is>
      </c>
      <c r="B239" s="1" t="n">
        <v>45071.92619212963</v>
      </c>
      <c r="C239" s="1" t="n">
        <v>46187</v>
      </c>
      <c r="D239" t="inlineStr">
        <is>
          <t>VÄSTERBOTTENS LÄN</t>
        </is>
      </c>
      <c r="E239" t="inlineStr">
        <is>
          <t>ÅSELE</t>
        </is>
      </c>
      <c r="G239" t="n">
        <v>4.1</v>
      </c>
      <c r="H239" t="n">
        <v>0</v>
      </c>
      <c r="I239" t="n">
        <v>0</v>
      </c>
      <c r="J239" t="n">
        <v>0</v>
      </c>
      <c r="K239" t="n">
        <v>0</v>
      </c>
      <c r="L239" t="n">
        <v>0</v>
      </c>
      <c r="M239" t="n">
        <v>0</v>
      </c>
      <c r="N239" t="n">
        <v>0</v>
      </c>
      <c r="O239" t="n">
        <v>0</v>
      </c>
      <c r="P239" t="n">
        <v>0</v>
      </c>
      <c r="Q239" t="n">
        <v>0</v>
      </c>
      <c r="R239" s="2" t="inlineStr"/>
    </row>
    <row r="240" ht="15" customHeight="1">
      <c r="A240" t="inlineStr">
        <is>
          <t>A 18031-2025</t>
        </is>
      </c>
      <c r="B240" s="1" t="n">
        <v>45761</v>
      </c>
      <c r="C240" s="1" t="n">
        <v>46187</v>
      </c>
      <c r="D240" t="inlineStr">
        <is>
          <t>VÄSTERBOTTENS LÄN</t>
        </is>
      </c>
      <c r="E240" t="inlineStr">
        <is>
          <t>ÅSELE</t>
        </is>
      </c>
      <c r="G240" t="n">
        <v>7.6</v>
      </c>
      <c r="H240" t="n">
        <v>0</v>
      </c>
      <c r="I240" t="n">
        <v>0</v>
      </c>
      <c r="J240" t="n">
        <v>0</v>
      </c>
      <c r="K240" t="n">
        <v>0</v>
      </c>
      <c r="L240" t="n">
        <v>0</v>
      </c>
      <c r="M240" t="n">
        <v>0</v>
      </c>
      <c r="N240" t="n">
        <v>0</v>
      </c>
      <c r="O240" t="n">
        <v>0</v>
      </c>
      <c r="P240" t="n">
        <v>0</v>
      </c>
      <c r="Q240" t="n">
        <v>0</v>
      </c>
      <c r="R240" s="2" t="inlineStr"/>
    </row>
    <row r="241" ht="15" customHeight="1">
      <c r="A241" t="inlineStr">
        <is>
          <t>A 23170-2025</t>
        </is>
      </c>
      <c r="B241" s="1" t="n">
        <v>45791.42770833334</v>
      </c>
      <c r="C241" s="1" t="n">
        <v>46187</v>
      </c>
      <c r="D241" t="inlineStr">
        <is>
          <t>VÄSTERBOTTENS LÄN</t>
        </is>
      </c>
      <c r="E241" t="inlineStr">
        <is>
          <t>ÅSELE</t>
        </is>
      </c>
      <c r="F241" t="inlineStr">
        <is>
          <t>SCA</t>
        </is>
      </c>
      <c r="G241" t="n">
        <v>6.4</v>
      </c>
      <c r="H241" t="n">
        <v>0</v>
      </c>
      <c r="I241" t="n">
        <v>0</v>
      </c>
      <c r="J241" t="n">
        <v>0</v>
      </c>
      <c r="K241" t="n">
        <v>0</v>
      </c>
      <c r="L241" t="n">
        <v>0</v>
      </c>
      <c r="M241" t="n">
        <v>0</v>
      </c>
      <c r="N241" t="n">
        <v>0</v>
      </c>
      <c r="O241" t="n">
        <v>0</v>
      </c>
      <c r="P241" t="n">
        <v>0</v>
      </c>
      <c r="Q241" t="n">
        <v>0</v>
      </c>
      <c r="R241" s="2" t="inlineStr"/>
    </row>
    <row r="242" ht="15" customHeight="1">
      <c r="A242" t="inlineStr">
        <is>
          <t>A 58472-2024</t>
        </is>
      </c>
      <c r="B242" s="1" t="n">
        <v>45635</v>
      </c>
      <c r="C242" s="1" t="n">
        <v>46187</v>
      </c>
      <c r="D242" t="inlineStr">
        <is>
          <t>VÄSTERBOTTENS LÄN</t>
        </is>
      </c>
      <c r="E242" t="inlineStr">
        <is>
          <t>ÅSELE</t>
        </is>
      </c>
      <c r="G242" t="n">
        <v>6.3</v>
      </c>
      <c r="H242" t="n">
        <v>0</v>
      </c>
      <c r="I242" t="n">
        <v>0</v>
      </c>
      <c r="J242" t="n">
        <v>0</v>
      </c>
      <c r="K242" t="n">
        <v>0</v>
      </c>
      <c r="L242" t="n">
        <v>0</v>
      </c>
      <c r="M242" t="n">
        <v>0</v>
      </c>
      <c r="N242" t="n">
        <v>0</v>
      </c>
      <c r="O242" t="n">
        <v>0</v>
      </c>
      <c r="P242" t="n">
        <v>0</v>
      </c>
      <c r="Q242" t="n">
        <v>0</v>
      </c>
      <c r="R242" s="2" t="inlineStr"/>
    </row>
    <row r="243" ht="15" customHeight="1">
      <c r="A243" t="inlineStr">
        <is>
          <t>A 44005-2025</t>
        </is>
      </c>
      <c r="B243" s="1" t="n">
        <v>45915.45715277778</v>
      </c>
      <c r="C243" s="1" t="n">
        <v>46187</v>
      </c>
      <c r="D243" t="inlineStr">
        <is>
          <t>VÄSTERBOTTENS LÄN</t>
        </is>
      </c>
      <c r="E243" t="inlineStr">
        <is>
          <t>ÅSELE</t>
        </is>
      </c>
      <c r="F243" t="inlineStr">
        <is>
          <t>Holmen skog AB</t>
        </is>
      </c>
      <c r="G243" t="n">
        <v>0.6</v>
      </c>
      <c r="H243" t="n">
        <v>0</v>
      </c>
      <c r="I243" t="n">
        <v>0</v>
      </c>
      <c r="J243" t="n">
        <v>0</v>
      </c>
      <c r="K243" t="n">
        <v>0</v>
      </c>
      <c r="L243" t="n">
        <v>0</v>
      </c>
      <c r="M243" t="n">
        <v>0</v>
      </c>
      <c r="N243" t="n">
        <v>0</v>
      </c>
      <c r="O243" t="n">
        <v>0</v>
      </c>
      <c r="P243" t="n">
        <v>0</v>
      </c>
      <c r="Q243" t="n">
        <v>0</v>
      </c>
      <c r="R243" s="2" t="inlineStr"/>
    </row>
    <row r="244" ht="15" customHeight="1">
      <c r="A244" t="inlineStr">
        <is>
          <t>A 44242-2025</t>
        </is>
      </c>
      <c r="B244" s="1" t="n">
        <v>45915.67774305555</v>
      </c>
      <c r="C244" s="1" t="n">
        <v>46187</v>
      </c>
      <c r="D244" t="inlineStr">
        <is>
          <t>VÄSTERBOTTENS LÄN</t>
        </is>
      </c>
      <c r="E244" t="inlineStr">
        <is>
          <t>ÅSELE</t>
        </is>
      </c>
      <c r="F244" t="inlineStr">
        <is>
          <t>SCA</t>
        </is>
      </c>
      <c r="G244" t="n">
        <v>39.9</v>
      </c>
      <c r="H244" t="n">
        <v>0</v>
      </c>
      <c r="I244" t="n">
        <v>0</v>
      </c>
      <c r="J244" t="n">
        <v>0</v>
      </c>
      <c r="K244" t="n">
        <v>0</v>
      </c>
      <c r="L244" t="n">
        <v>0</v>
      </c>
      <c r="M244" t="n">
        <v>0</v>
      </c>
      <c r="N244" t="n">
        <v>0</v>
      </c>
      <c r="O244" t="n">
        <v>0</v>
      </c>
      <c r="P244" t="n">
        <v>0</v>
      </c>
      <c r="Q244" t="n">
        <v>0</v>
      </c>
      <c r="R244" s="2" t="inlineStr"/>
    </row>
    <row r="245" ht="15" customHeight="1">
      <c r="A245" t="inlineStr">
        <is>
          <t>A 56583-2025</t>
        </is>
      </c>
      <c r="B245" s="1" t="n">
        <v>45975.5490625</v>
      </c>
      <c r="C245" s="1" t="n">
        <v>46187</v>
      </c>
      <c r="D245" t="inlineStr">
        <is>
          <t>VÄSTERBOTTENS LÄN</t>
        </is>
      </c>
      <c r="E245" t="inlineStr">
        <is>
          <t>ÅSELE</t>
        </is>
      </c>
      <c r="G245" t="n">
        <v>11.6</v>
      </c>
      <c r="H245" t="n">
        <v>0</v>
      </c>
      <c r="I245" t="n">
        <v>0</v>
      </c>
      <c r="J245" t="n">
        <v>0</v>
      </c>
      <c r="K245" t="n">
        <v>0</v>
      </c>
      <c r="L245" t="n">
        <v>0</v>
      </c>
      <c r="M245" t="n">
        <v>0</v>
      </c>
      <c r="N245" t="n">
        <v>0</v>
      </c>
      <c r="O245" t="n">
        <v>0</v>
      </c>
      <c r="P245" t="n">
        <v>0</v>
      </c>
      <c r="Q245" t="n">
        <v>0</v>
      </c>
      <c r="R245" s="2" t="inlineStr"/>
    </row>
    <row r="246" ht="15" customHeight="1">
      <c r="A246" t="inlineStr">
        <is>
          <t>A 28854-2023</t>
        </is>
      </c>
      <c r="B246" s="1" t="n">
        <v>45104</v>
      </c>
      <c r="C246" s="1" t="n">
        <v>46187</v>
      </c>
      <c r="D246" t="inlineStr">
        <is>
          <t>VÄSTERBOTTENS LÄN</t>
        </is>
      </c>
      <c r="E246" t="inlineStr">
        <is>
          <t>ÅSELE</t>
        </is>
      </c>
      <c r="F246" t="inlineStr">
        <is>
          <t>Naturvårdsverket</t>
        </is>
      </c>
      <c r="G246" t="n">
        <v>15.8</v>
      </c>
      <c r="H246" t="n">
        <v>0</v>
      </c>
      <c r="I246" t="n">
        <v>0</v>
      </c>
      <c r="J246" t="n">
        <v>0</v>
      </c>
      <c r="K246" t="n">
        <v>0</v>
      </c>
      <c r="L246" t="n">
        <v>0</v>
      </c>
      <c r="M246" t="n">
        <v>0</v>
      </c>
      <c r="N246" t="n">
        <v>0</v>
      </c>
      <c r="O246" t="n">
        <v>0</v>
      </c>
      <c r="P246" t="n">
        <v>0</v>
      </c>
      <c r="Q246" t="n">
        <v>0</v>
      </c>
      <c r="R246" s="2" t="inlineStr"/>
    </row>
    <row r="247" ht="15" customHeight="1">
      <c r="A247" t="inlineStr">
        <is>
          <t>A 56743-2025</t>
        </is>
      </c>
      <c r="B247" s="1" t="n">
        <v>45978.36053240741</v>
      </c>
      <c r="C247" s="1" t="n">
        <v>46187</v>
      </c>
      <c r="D247" t="inlineStr">
        <is>
          <t>VÄSTERBOTTENS LÄN</t>
        </is>
      </c>
      <c r="E247" t="inlineStr">
        <is>
          <t>ÅSELE</t>
        </is>
      </c>
      <c r="G247" t="n">
        <v>2.3</v>
      </c>
      <c r="H247" t="n">
        <v>0</v>
      </c>
      <c r="I247" t="n">
        <v>0</v>
      </c>
      <c r="J247" t="n">
        <v>0</v>
      </c>
      <c r="K247" t="n">
        <v>0</v>
      </c>
      <c r="L247" t="n">
        <v>0</v>
      </c>
      <c r="M247" t="n">
        <v>0</v>
      </c>
      <c r="N247" t="n">
        <v>0</v>
      </c>
      <c r="O247" t="n">
        <v>0</v>
      </c>
      <c r="P247" t="n">
        <v>0</v>
      </c>
      <c r="Q247" t="n">
        <v>0</v>
      </c>
      <c r="R247" s="2" t="inlineStr"/>
    </row>
    <row r="248" ht="15" customHeight="1">
      <c r="A248" t="inlineStr">
        <is>
          <t>A 57118-2025</t>
        </is>
      </c>
      <c r="B248" s="1" t="n">
        <v>45979.4640625</v>
      </c>
      <c r="C248" s="1" t="n">
        <v>46187</v>
      </c>
      <c r="D248" t="inlineStr">
        <is>
          <t>VÄSTERBOTTENS LÄN</t>
        </is>
      </c>
      <c r="E248" t="inlineStr">
        <is>
          <t>ÅSELE</t>
        </is>
      </c>
      <c r="G248" t="n">
        <v>3.4</v>
      </c>
      <c r="H248" t="n">
        <v>0</v>
      </c>
      <c r="I248" t="n">
        <v>0</v>
      </c>
      <c r="J248" t="n">
        <v>0</v>
      </c>
      <c r="K248" t="n">
        <v>0</v>
      </c>
      <c r="L248" t="n">
        <v>0</v>
      </c>
      <c r="M248" t="n">
        <v>0</v>
      </c>
      <c r="N248" t="n">
        <v>0</v>
      </c>
      <c r="O248" t="n">
        <v>0</v>
      </c>
      <c r="P248" t="n">
        <v>0</v>
      </c>
      <c r="Q248" t="n">
        <v>0</v>
      </c>
      <c r="R248" s="2" t="inlineStr"/>
    </row>
    <row r="249" ht="15" customHeight="1">
      <c r="A249" t="inlineStr">
        <is>
          <t>A 56974-2025</t>
        </is>
      </c>
      <c r="B249" s="1" t="n">
        <v>45978.68910879629</v>
      </c>
      <c r="C249" s="1" t="n">
        <v>46187</v>
      </c>
      <c r="D249" t="inlineStr">
        <is>
          <t>VÄSTERBOTTENS LÄN</t>
        </is>
      </c>
      <c r="E249" t="inlineStr">
        <is>
          <t>ÅSELE</t>
        </is>
      </c>
      <c r="F249" t="inlineStr">
        <is>
          <t>Holmen skog AB</t>
        </is>
      </c>
      <c r="G249" t="n">
        <v>15.5</v>
      </c>
      <c r="H249" t="n">
        <v>0</v>
      </c>
      <c r="I249" t="n">
        <v>0</v>
      </c>
      <c r="J249" t="n">
        <v>0</v>
      </c>
      <c r="K249" t="n">
        <v>0</v>
      </c>
      <c r="L249" t="n">
        <v>0</v>
      </c>
      <c r="M249" t="n">
        <v>0</v>
      </c>
      <c r="N249" t="n">
        <v>0</v>
      </c>
      <c r="O249" t="n">
        <v>0</v>
      </c>
      <c r="P249" t="n">
        <v>0</v>
      </c>
      <c r="Q249" t="n">
        <v>0</v>
      </c>
      <c r="R249" s="2" t="inlineStr"/>
    </row>
    <row r="250" ht="15" customHeight="1">
      <c r="A250" t="inlineStr">
        <is>
          <t>A 43657-2025</t>
        </is>
      </c>
      <c r="B250" s="1" t="n">
        <v>45912.34260416667</v>
      </c>
      <c r="C250" s="1" t="n">
        <v>46187</v>
      </c>
      <c r="D250" t="inlineStr">
        <is>
          <t>VÄSTERBOTTENS LÄN</t>
        </is>
      </c>
      <c r="E250" t="inlineStr">
        <is>
          <t>ÅSELE</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57895-2025</t>
        </is>
      </c>
      <c r="B251" s="1" t="n">
        <v>45981.70042824074</v>
      </c>
      <c r="C251" s="1" t="n">
        <v>46187</v>
      </c>
      <c r="D251" t="inlineStr">
        <is>
          <t>VÄSTERBOTTENS LÄN</t>
        </is>
      </c>
      <c r="E251" t="inlineStr">
        <is>
          <t>ÅSELE</t>
        </is>
      </c>
      <c r="F251" t="inlineStr">
        <is>
          <t>Holmen skog AB</t>
        </is>
      </c>
      <c r="G251" t="n">
        <v>10.3</v>
      </c>
      <c r="H251" t="n">
        <v>0</v>
      </c>
      <c r="I251" t="n">
        <v>0</v>
      </c>
      <c r="J251" t="n">
        <v>0</v>
      </c>
      <c r="K251" t="n">
        <v>0</v>
      </c>
      <c r="L251" t="n">
        <v>0</v>
      </c>
      <c r="M251" t="n">
        <v>0</v>
      </c>
      <c r="N251" t="n">
        <v>0</v>
      </c>
      <c r="O251" t="n">
        <v>0</v>
      </c>
      <c r="P251" t="n">
        <v>0</v>
      </c>
      <c r="Q251" t="n">
        <v>0</v>
      </c>
      <c r="R251" s="2" t="inlineStr"/>
    </row>
    <row r="252" ht="15" customHeight="1">
      <c r="A252" t="inlineStr">
        <is>
          <t>A 57339-2025</t>
        </is>
      </c>
      <c r="B252" s="1" t="n">
        <v>45980.345625</v>
      </c>
      <c r="C252" s="1" t="n">
        <v>46187</v>
      </c>
      <c r="D252" t="inlineStr">
        <is>
          <t>VÄSTERBOTTENS LÄN</t>
        </is>
      </c>
      <c r="E252" t="inlineStr">
        <is>
          <t>ÅSELE</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44488-2025</t>
        </is>
      </c>
      <c r="B253" s="1" t="n">
        <v>45916.65673611111</v>
      </c>
      <c r="C253" s="1" t="n">
        <v>46187</v>
      </c>
      <c r="D253" t="inlineStr">
        <is>
          <t>VÄSTERBOTTENS LÄN</t>
        </is>
      </c>
      <c r="E253" t="inlineStr">
        <is>
          <t>ÅSELE</t>
        </is>
      </c>
      <c r="G253" t="n">
        <v>7</v>
      </c>
      <c r="H253" t="n">
        <v>0</v>
      </c>
      <c r="I253" t="n">
        <v>0</v>
      </c>
      <c r="J253" t="n">
        <v>0</v>
      </c>
      <c r="K253" t="n">
        <v>0</v>
      </c>
      <c r="L253" t="n">
        <v>0</v>
      </c>
      <c r="M253" t="n">
        <v>0</v>
      </c>
      <c r="N253" t="n">
        <v>0</v>
      </c>
      <c r="O253" t="n">
        <v>0</v>
      </c>
      <c r="P253" t="n">
        <v>0</v>
      </c>
      <c r="Q253" t="n">
        <v>0</v>
      </c>
      <c r="R253" s="2" t="inlineStr"/>
    </row>
    <row r="254" ht="15" customHeight="1">
      <c r="A254" t="inlineStr">
        <is>
          <t>A 44279-2025</t>
        </is>
      </c>
      <c r="B254" s="1" t="n">
        <v>45916.34494212963</v>
      </c>
      <c r="C254" s="1" t="n">
        <v>46187</v>
      </c>
      <c r="D254" t="inlineStr">
        <is>
          <t>VÄSTERBOTTENS LÄN</t>
        </is>
      </c>
      <c r="E254" t="inlineStr">
        <is>
          <t>ÅSELE</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44435-2025</t>
        </is>
      </c>
      <c r="B255" s="1" t="n">
        <v>45916.58086805556</v>
      </c>
      <c r="C255" s="1" t="n">
        <v>46187</v>
      </c>
      <c r="D255" t="inlineStr">
        <is>
          <t>VÄSTERBOTTENS LÄN</t>
        </is>
      </c>
      <c r="E255" t="inlineStr">
        <is>
          <t>ÅSELE</t>
        </is>
      </c>
      <c r="F255" t="inlineStr">
        <is>
          <t>Holmen skog AB</t>
        </is>
      </c>
      <c r="G255" t="n">
        <v>1.8</v>
      </c>
      <c r="H255" t="n">
        <v>0</v>
      </c>
      <c r="I255" t="n">
        <v>0</v>
      </c>
      <c r="J255" t="n">
        <v>0</v>
      </c>
      <c r="K255" t="n">
        <v>0</v>
      </c>
      <c r="L255" t="n">
        <v>0</v>
      </c>
      <c r="M255" t="n">
        <v>0</v>
      </c>
      <c r="N255" t="n">
        <v>0</v>
      </c>
      <c r="O255" t="n">
        <v>0</v>
      </c>
      <c r="P255" t="n">
        <v>0</v>
      </c>
      <c r="Q255" t="n">
        <v>0</v>
      </c>
      <c r="R255" s="2" t="inlineStr"/>
    </row>
    <row r="256" ht="15" customHeight="1">
      <c r="A256" t="inlineStr">
        <is>
          <t>A 32308-2023</t>
        </is>
      </c>
      <c r="B256" s="1" t="n">
        <v>45120.43883101852</v>
      </c>
      <c r="C256" s="1" t="n">
        <v>46187</v>
      </c>
      <c r="D256" t="inlineStr">
        <is>
          <t>VÄSTERBOTTENS LÄN</t>
        </is>
      </c>
      <c r="E256" t="inlineStr">
        <is>
          <t>ÅSELE</t>
        </is>
      </c>
      <c r="F256" t="inlineStr">
        <is>
          <t>Sveaskog</t>
        </is>
      </c>
      <c r="G256" t="n">
        <v>22.9</v>
      </c>
      <c r="H256" t="n">
        <v>0</v>
      </c>
      <c r="I256" t="n">
        <v>0</v>
      </c>
      <c r="J256" t="n">
        <v>0</v>
      </c>
      <c r="K256" t="n">
        <v>0</v>
      </c>
      <c r="L256" t="n">
        <v>0</v>
      </c>
      <c r="M256" t="n">
        <v>0</v>
      </c>
      <c r="N256" t="n">
        <v>0</v>
      </c>
      <c r="O256" t="n">
        <v>0</v>
      </c>
      <c r="P256" t="n">
        <v>0</v>
      </c>
      <c r="Q256" t="n">
        <v>0</v>
      </c>
      <c r="R256" s="2" t="inlineStr"/>
    </row>
    <row r="257" ht="15" customHeight="1">
      <c r="A257" t="inlineStr">
        <is>
          <t>A 4612-2022</t>
        </is>
      </c>
      <c r="B257" s="1" t="n">
        <v>44592.37475694445</v>
      </c>
      <c r="C257" s="1" t="n">
        <v>46187</v>
      </c>
      <c r="D257" t="inlineStr">
        <is>
          <t>VÄSTERBOTTENS LÄN</t>
        </is>
      </c>
      <c r="E257" t="inlineStr">
        <is>
          <t>ÅSELE</t>
        </is>
      </c>
      <c r="G257" t="n">
        <v>3.7</v>
      </c>
      <c r="H257" t="n">
        <v>0</v>
      </c>
      <c r="I257" t="n">
        <v>0</v>
      </c>
      <c r="J257" t="n">
        <v>0</v>
      </c>
      <c r="K257" t="n">
        <v>0</v>
      </c>
      <c r="L257" t="n">
        <v>0</v>
      </c>
      <c r="M257" t="n">
        <v>0</v>
      </c>
      <c r="N257" t="n">
        <v>0</v>
      </c>
      <c r="O257" t="n">
        <v>0</v>
      </c>
      <c r="P257" t="n">
        <v>0</v>
      </c>
      <c r="Q257" t="n">
        <v>0</v>
      </c>
      <c r="R257" s="2" t="inlineStr"/>
    </row>
    <row r="258" ht="15" customHeight="1">
      <c r="A258" t="inlineStr">
        <is>
          <t>A 58441-2025</t>
        </is>
      </c>
      <c r="B258" s="1" t="n">
        <v>45985.61600694444</v>
      </c>
      <c r="C258" s="1" t="n">
        <v>46187</v>
      </c>
      <c r="D258" t="inlineStr">
        <is>
          <t>VÄSTERBOTTENS LÄN</t>
        </is>
      </c>
      <c r="E258" t="inlineStr">
        <is>
          <t>ÅSELE</t>
        </is>
      </c>
      <c r="F258" t="inlineStr">
        <is>
          <t>Sveaskog</t>
        </is>
      </c>
      <c r="G258" t="n">
        <v>7.4</v>
      </c>
      <c r="H258" t="n">
        <v>0</v>
      </c>
      <c r="I258" t="n">
        <v>0</v>
      </c>
      <c r="J258" t="n">
        <v>0</v>
      </c>
      <c r="K258" t="n">
        <v>0</v>
      </c>
      <c r="L258" t="n">
        <v>0</v>
      </c>
      <c r="M258" t="n">
        <v>0</v>
      </c>
      <c r="N258" t="n">
        <v>0</v>
      </c>
      <c r="O258" t="n">
        <v>0</v>
      </c>
      <c r="P258" t="n">
        <v>0</v>
      </c>
      <c r="Q258" t="n">
        <v>0</v>
      </c>
      <c r="R258" s="2" t="inlineStr"/>
    </row>
    <row r="259" ht="15" customHeight="1">
      <c r="A259" t="inlineStr">
        <is>
          <t>A 58423-2025</t>
        </is>
      </c>
      <c r="B259" s="1" t="n">
        <v>45985.59456018519</v>
      </c>
      <c r="C259" s="1" t="n">
        <v>46187</v>
      </c>
      <c r="D259" t="inlineStr">
        <is>
          <t>VÄSTERBOTTENS LÄN</t>
        </is>
      </c>
      <c r="E259" t="inlineStr">
        <is>
          <t>ÅSELE</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58465-2025</t>
        </is>
      </c>
      <c r="B260" s="1" t="n">
        <v>45985.63663194444</v>
      </c>
      <c r="C260" s="1" t="n">
        <v>46187</v>
      </c>
      <c r="D260" t="inlineStr">
        <is>
          <t>VÄSTERBOTTENS LÄN</t>
        </is>
      </c>
      <c r="E260" t="inlineStr">
        <is>
          <t>ÅSELE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58460-2025</t>
        </is>
      </c>
      <c r="B261" s="1" t="n">
        <v>45985.63626157407</v>
      </c>
      <c r="C261" s="1" t="n">
        <v>46187</v>
      </c>
      <c r="D261" t="inlineStr">
        <is>
          <t>VÄSTERBOTTENS LÄN</t>
        </is>
      </c>
      <c r="E261" t="inlineStr">
        <is>
          <t>ÅSELE</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62109-2023</t>
        </is>
      </c>
      <c r="B262" s="1" t="n">
        <v>45266.95105324074</v>
      </c>
      <c r="C262" s="1" t="n">
        <v>46187</v>
      </c>
      <c r="D262" t="inlineStr">
        <is>
          <t>VÄSTERBOTTENS LÄN</t>
        </is>
      </c>
      <c r="E262" t="inlineStr">
        <is>
          <t>ÅSELE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45257-2025</t>
        </is>
      </c>
      <c r="B263" s="1" t="n">
        <v>45919.62422453704</v>
      </c>
      <c r="C263" s="1" t="n">
        <v>46187</v>
      </c>
      <c r="D263" t="inlineStr">
        <is>
          <t>VÄSTERBOTTENS LÄN</t>
        </is>
      </c>
      <c r="E263" t="inlineStr">
        <is>
          <t>ÅSELE</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44992-2025</t>
        </is>
      </c>
      <c r="B264" s="1" t="n">
        <v>45918.65660879629</v>
      </c>
      <c r="C264" s="1" t="n">
        <v>46187</v>
      </c>
      <c r="D264" t="inlineStr">
        <is>
          <t>VÄSTERBOTTENS LÄN</t>
        </is>
      </c>
      <c r="E264" t="inlineStr">
        <is>
          <t>ÅSELE</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45399-2025</t>
        </is>
      </c>
      <c r="B265" s="1" t="n">
        <v>45922.42104166667</v>
      </c>
      <c r="C265" s="1" t="n">
        <v>46187</v>
      </c>
      <c r="D265" t="inlineStr">
        <is>
          <t>VÄSTERBOTTENS LÄN</t>
        </is>
      </c>
      <c r="E265" t="inlineStr">
        <is>
          <t>ÅSELE</t>
        </is>
      </c>
      <c r="F265" t="inlineStr">
        <is>
          <t>Holmen skog AB</t>
        </is>
      </c>
      <c r="G265" t="n">
        <v>17.7</v>
      </c>
      <c r="H265" t="n">
        <v>0</v>
      </c>
      <c r="I265" t="n">
        <v>0</v>
      </c>
      <c r="J265" t="n">
        <v>0</v>
      </c>
      <c r="K265" t="n">
        <v>0</v>
      </c>
      <c r="L265" t="n">
        <v>0</v>
      </c>
      <c r="M265" t="n">
        <v>0</v>
      </c>
      <c r="N265" t="n">
        <v>0</v>
      </c>
      <c r="O265" t="n">
        <v>0</v>
      </c>
      <c r="P265" t="n">
        <v>0</v>
      </c>
      <c r="Q265" t="n">
        <v>0</v>
      </c>
      <c r="R265" s="2" t="inlineStr"/>
    </row>
    <row r="266" ht="15" customHeight="1">
      <c r="A266" t="inlineStr">
        <is>
          <t>A 45745-2025</t>
        </is>
      </c>
      <c r="B266" s="1" t="n">
        <v>45923.4768287037</v>
      </c>
      <c r="C266" s="1" t="n">
        <v>46187</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18792-2024</t>
        </is>
      </c>
      <c r="B267" s="1" t="n">
        <v>45426</v>
      </c>
      <c r="C267" s="1" t="n">
        <v>46187</v>
      </c>
      <c r="D267" t="inlineStr">
        <is>
          <t>VÄSTERBOTTENS LÄN</t>
        </is>
      </c>
      <c r="E267" t="inlineStr">
        <is>
          <t>ÅSELE</t>
        </is>
      </c>
      <c r="G267" t="n">
        <v>7.2</v>
      </c>
      <c r="H267" t="n">
        <v>0</v>
      </c>
      <c r="I267" t="n">
        <v>0</v>
      </c>
      <c r="J267" t="n">
        <v>0</v>
      </c>
      <c r="K267" t="n">
        <v>0</v>
      </c>
      <c r="L267" t="n">
        <v>0</v>
      </c>
      <c r="M267" t="n">
        <v>0</v>
      </c>
      <c r="N267" t="n">
        <v>0</v>
      </c>
      <c r="O267" t="n">
        <v>0</v>
      </c>
      <c r="P267" t="n">
        <v>0</v>
      </c>
      <c r="Q267" t="n">
        <v>0</v>
      </c>
      <c r="R267" s="2" t="inlineStr"/>
    </row>
    <row r="268" ht="15" customHeight="1">
      <c r="A268" t="inlineStr">
        <is>
          <t>A 45746-2025</t>
        </is>
      </c>
      <c r="B268" s="1" t="n">
        <v>45923.47857638889</v>
      </c>
      <c r="C268" s="1" t="n">
        <v>46187</v>
      </c>
      <c r="D268" t="inlineStr">
        <is>
          <t>VÄSTERBOTTENS LÄN</t>
        </is>
      </c>
      <c r="E268" t="inlineStr">
        <is>
          <t>ÅSELE</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58434-2025</t>
        </is>
      </c>
      <c r="B269" s="1" t="n">
        <v>45985.61247685185</v>
      </c>
      <c r="C269" s="1" t="n">
        <v>46187</v>
      </c>
      <c r="D269" t="inlineStr">
        <is>
          <t>VÄSTERBOTTENS LÄN</t>
        </is>
      </c>
      <c r="E269" t="inlineStr">
        <is>
          <t>ÅSELE</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58622-2025</t>
        </is>
      </c>
      <c r="B270" s="1" t="n">
        <v>45986.46958333333</v>
      </c>
      <c r="C270" s="1" t="n">
        <v>46187</v>
      </c>
      <c r="D270" t="inlineStr">
        <is>
          <t>VÄSTERBOTTENS LÄN</t>
        </is>
      </c>
      <c r="E270" t="inlineStr">
        <is>
          <t>ÅSELE</t>
        </is>
      </c>
      <c r="G270" t="n">
        <v>1.2</v>
      </c>
      <c r="H270" t="n">
        <v>0</v>
      </c>
      <c r="I270" t="n">
        <v>0</v>
      </c>
      <c r="J270" t="n">
        <v>0</v>
      </c>
      <c r="K270" t="n">
        <v>0</v>
      </c>
      <c r="L270" t="n">
        <v>0</v>
      </c>
      <c r="M270" t="n">
        <v>0</v>
      </c>
      <c r="N270" t="n">
        <v>0</v>
      </c>
      <c r="O270" t="n">
        <v>0</v>
      </c>
      <c r="P270" t="n">
        <v>0</v>
      </c>
      <c r="Q270" t="n">
        <v>0</v>
      </c>
      <c r="R270" s="2" t="inlineStr"/>
    </row>
    <row r="271" ht="15" customHeight="1">
      <c r="A271" t="inlineStr">
        <is>
          <t>A 16527-2022</t>
        </is>
      </c>
      <c r="B271" s="1" t="n">
        <v>44671.94822916666</v>
      </c>
      <c r="C271" s="1" t="n">
        <v>46187</v>
      </c>
      <c r="D271" t="inlineStr">
        <is>
          <t>VÄSTERBOTTENS LÄN</t>
        </is>
      </c>
      <c r="E271" t="inlineStr">
        <is>
          <t>ÅSELE</t>
        </is>
      </c>
      <c r="G271" t="n">
        <v>6.6</v>
      </c>
      <c r="H271" t="n">
        <v>0</v>
      </c>
      <c r="I271" t="n">
        <v>0</v>
      </c>
      <c r="J271" t="n">
        <v>0</v>
      </c>
      <c r="K271" t="n">
        <v>0</v>
      </c>
      <c r="L271" t="n">
        <v>0</v>
      </c>
      <c r="M271" t="n">
        <v>0</v>
      </c>
      <c r="N271" t="n">
        <v>0</v>
      </c>
      <c r="O271" t="n">
        <v>0</v>
      </c>
      <c r="P271" t="n">
        <v>0</v>
      </c>
      <c r="Q271" t="n">
        <v>0</v>
      </c>
      <c r="R271" s="2" t="inlineStr"/>
    </row>
    <row r="272" ht="15" customHeight="1">
      <c r="A272" t="inlineStr">
        <is>
          <t>A 46251-2025</t>
        </is>
      </c>
      <c r="B272" s="1" t="n">
        <v>45925.34475694445</v>
      </c>
      <c r="C272" s="1" t="n">
        <v>46187</v>
      </c>
      <c r="D272" t="inlineStr">
        <is>
          <t>VÄSTERBOTTENS LÄN</t>
        </is>
      </c>
      <c r="E272" t="inlineStr">
        <is>
          <t>ÅSELE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59912-2025</t>
        </is>
      </c>
      <c r="B273" s="1" t="n">
        <v>45993.36509259259</v>
      </c>
      <c r="C273" s="1" t="n">
        <v>46187</v>
      </c>
      <c r="D273" t="inlineStr">
        <is>
          <t>VÄSTERBOTTENS LÄN</t>
        </is>
      </c>
      <c r="E273" t="inlineStr">
        <is>
          <t>ÅSELE</t>
        </is>
      </c>
      <c r="G273" t="n">
        <v>5.1</v>
      </c>
      <c r="H273" t="n">
        <v>0</v>
      </c>
      <c r="I273" t="n">
        <v>0</v>
      </c>
      <c r="J273" t="n">
        <v>0</v>
      </c>
      <c r="K273" t="n">
        <v>0</v>
      </c>
      <c r="L273" t="n">
        <v>0</v>
      </c>
      <c r="M273" t="n">
        <v>0</v>
      </c>
      <c r="N273" t="n">
        <v>0</v>
      </c>
      <c r="O273" t="n">
        <v>0</v>
      </c>
      <c r="P273" t="n">
        <v>0</v>
      </c>
      <c r="Q273" t="n">
        <v>0</v>
      </c>
      <c r="R273" s="2" t="inlineStr"/>
    </row>
    <row r="274" ht="15" customHeight="1">
      <c r="A274" t="inlineStr">
        <is>
          <t>A 60469-2025</t>
        </is>
      </c>
      <c r="B274" s="1" t="n">
        <v>45995.56527777778</v>
      </c>
      <c r="C274" s="1" t="n">
        <v>46187</v>
      </c>
      <c r="D274" t="inlineStr">
        <is>
          <t>VÄSTERBOTTENS LÄN</t>
        </is>
      </c>
      <c r="E274" t="inlineStr">
        <is>
          <t>ÅSELE</t>
        </is>
      </c>
      <c r="G274" t="n">
        <v>0.1</v>
      </c>
      <c r="H274" t="n">
        <v>0</v>
      </c>
      <c r="I274" t="n">
        <v>0</v>
      </c>
      <c r="J274" t="n">
        <v>0</v>
      </c>
      <c r="K274" t="n">
        <v>0</v>
      </c>
      <c r="L274" t="n">
        <v>0</v>
      </c>
      <c r="M274" t="n">
        <v>0</v>
      </c>
      <c r="N274" t="n">
        <v>0</v>
      </c>
      <c r="O274" t="n">
        <v>0</v>
      </c>
      <c r="P274" t="n">
        <v>0</v>
      </c>
      <c r="Q274" t="n">
        <v>0</v>
      </c>
      <c r="R274" s="2" t="inlineStr"/>
    </row>
    <row r="275" ht="15" customHeight="1">
      <c r="A275" t="inlineStr">
        <is>
          <t>A 47027-2025</t>
        </is>
      </c>
      <c r="B275" s="1" t="n">
        <v>45929.58471064815</v>
      </c>
      <c r="C275" s="1" t="n">
        <v>46187</v>
      </c>
      <c r="D275" t="inlineStr">
        <is>
          <t>VÄSTERBOTTENS LÄN</t>
        </is>
      </c>
      <c r="E275" t="inlineStr">
        <is>
          <t>ÅSELE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60723-2025</t>
        </is>
      </c>
      <c r="B276" s="1" t="n">
        <v>45996.65587962963</v>
      </c>
      <c r="C276" s="1" t="n">
        <v>46187</v>
      </c>
      <c r="D276" t="inlineStr">
        <is>
          <t>VÄSTERBOTTENS LÄN</t>
        </is>
      </c>
      <c r="E276" t="inlineStr">
        <is>
          <t>ÅSELE</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46541-2025</t>
        </is>
      </c>
      <c r="B277" s="1" t="n">
        <v>45926.34449074074</v>
      </c>
      <c r="C277" s="1" t="n">
        <v>46187</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61450-2025</t>
        </is>
      </c>
      <c r="B278" s="1" t="n">
        <v>46001.57803240741</v>
      </c>
      <c r="C278" s="1" t="n">
        <v>46187</v>
      </c>
      <c r="D278" t="inlineStr">
        <is>
          <t>VÄSTERBOTTENS LÄN</t>
        </is>
      </c>
      <c r="E278" t="inlineStr">
        <is>
          <t>ÅSELE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46754-2025</t>
        </is>
      </c>
      <c r="B279" s="1" t="n">
        <v>45926.61768518519</v>
      </c>
      <c r="C279" s="1" t="n">
        <v>46187</v>
      </c>
      <c r="D279" t="inlineStr">
        <is>
          <t>VÄSTERBOTTENS LÄN</t>
        </is>
      </c>
      <c r="E279" t="inlineStr">
        <is>
          <t>ÅSELE</t>
        </is>
      </c>
      <c r="F279" t="inlineStr">
        <is>
          <t>Holmen skog AB</t>
        </is>
      </c>
      <c r="G279" t="n">
        <v>20.5</v>
      </c>
      <c r="H279" t="n">
        <v>0</v>
      </c>
      <c r="I279" t="n">
        <v>0</v>
      </c>
      <c r="J279" t="n">
        <v>0</v>
      </c>
      <c r="K279" t="n">
        <v>0</v>
      </c>
      <c r="L279" t="n">
        <v>0</v>
      </c>
      <c r="M279" t="n">
        <v>0</v>
      </c>
      <c r="N279" t="n">
        <v>0</v>
      </c>
      <c r="O279" t="n">
        <v>0</v>
      </c>
      <c r="P279" t="n">
        <v>0</v>
      </c>
      <c r="Q279" t="n">
        <v>0</v>
      </c>
      <c r="R279" s="2" t="inlineStr"/>
    </row>
    <row r="280" ht="15" customHeight="1">
      <c r="A280" t="inlineStr">
        <is>
          <t>A 61506-2025</t>
        </is>
      </c>
      <c r="B280" s="1" t="n">
        <v>46001.68094907407</v>
      </c>
      <c r="C280" s="1" t="n">
        <v>46187</v>
      </c>
      <c r="D280" t="inlineStr">
        <is>
          <t>VÄSTERBOTTENS LÄN</t>
        </is>
      </c>
      <c r="E280" t="inlineStr">
        <is>
          <t>ÅSELE</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46187</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61462-2025</t>
        </is>
      </c>
      <c r="B282" s="1" t="n">
        <v>46001.59894675926</v>
      </c>
      <c r="C282" s="1" t="n">
        <v>46187</v>
      </c>
      <c r="D282" t="inlineStr">
        <is>
          <t>VÄSTERBOTTENS LÄN</t>
        </is>
      </c>
      <c r="E282" t="inlineStr">
        <is>
          <t>ÅSELE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47341-2025</t>
        </is>
      </c>
      <c r="B283" s="1" t="n">
        <v>45930.56827546296</v>
      </c>
      <c r="C283" s="1" t="n">
        <v>46187</v>
      </c>
      <c r="D283" t="inlineStr">
        <is>
          <t>VÄSTERBOTTENS LÄN</t>
        </is>
      </c>
      <c r="E283" t="inlineStr">
        <is>
          <t>ÅSELE</t>
        </is>
      </c>
      <c r="F283" t="inlineStr">
        <is>
          <t>Holmen skog AB</t>
        </is>
      </c>
      <c r="G283" t="n">
        <v>5.3</v>
      </c>
      <c r="H283" t="n">
        <v>0</v>
      </c>
      <c r="I283" t="n">
        <v>0</v>
      </c>
      <c r="J283" t="n">
        <v>0</v>
      </c>
      <c r="K283" t="n">
        <v>0</v>
      </c>
      <c r="L283" t="n">
        <v>0</v>
      </c>
      <c r="M283" t="n">
        <v>0</v>
      </c>
      <c r="N283" t="n">
        <v>0</v>
      </c>
      <c r="O283" t="n">
        <v>0</v>
      </c>
      <c r="P283" t="n">
        <v>0</v>
      </c>
      <c r="Q283" t="n">
        <v>0</v>
      </c>
      <c r="R283" s="2" t="inlineStr"/>
    </row>
    <row r="284" ht="15" customHeight="1">
      <c r="A284" t="inlineStr">
        <is>
          <t>A 18578-2022</t>
        </is>
      </c>
      <c r="B284" s="1" t="n">
        <v>44687.30193287037</v>
      </c>
      <c r="C284" s="1" t="n">
        <v>46187</v>
      </c>
      <c r="D284" t="inlineStr">
        <is>
          <t>VÄSTERBOTTENS LÄN</t>
        </is>
      </c>
      <c r="E284" t="inlineStr">
        <is>
          <t>ÅSELE</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61457-2025</t>
        </is>
      </c>
      <c r="B285" s="1" t="n">
        <v>46001.59224537037</v>
      </c>
      <c r="C285" s="1" t="n">
        <v>46187</v>
      </c>
      <c r="D285" t="inlineStr">
        <is>
          <t>VÄSTERBOTTENS LÄN</t>
        </is>
      </c>
      <c r="E285" t="inlineStr">
        <is>
          <t>ÅSELE</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62179-2025</t>
        </is>
      </c>
      <c r="B286" s="1" t="n">
        <v>46006.52695601852</v>
      </c>
      <c r="C286" s="1" t="n">
        <v>46187</v>
      </c>
      <c r="D286" t="inlineStr">
        <is>
          <t>VÄSTERBOTTENS LÄN</t>
        </is>
      </c>
      <c r="E286" t="inlineStr">
        <is>
          <t>ÅSELE</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62309-2025</t>
        </is>
      </c>
      <c r="B287" s="1" t="n">
        <v>46006.67302083333</v>
      </c>
      <c r="C287" s="1" t="n">
        <v>46187</v>
      </c>
      <c r="D287" t="inlineStr">
        <is>
          <t>VÄSTERBOTTENS LÄN</t>
        </is>
      </c>
      <c r="E287" t="inlineStr">
        <is>
          <t>ÅSELE</t>
        </is>
      </c>
      <c r="F287" t="inlineStr">
        <is>
          <t>Naturvårdsverket</t>
        </is>
      </c>
      <c r="G287" t="n">
        <v>4.5</v>
      </c>
      <c r="H287" t="n">
        <v>0</v>
      </c>
      <c r="I287" t="n">
        <v>0</v>
      </c>
      <c r="J287" t="n">
        <v>0</v>
      </c>
      <c r="K287" t="n">
        <v>0</v>
      </c>
      <c r="L287" t="n">
        <v>0</v>
      </c>
      <c r="M287" t="n">
        <v>0</v>
      </c>
      <c r="N287" t="n">
        <v>0</v>
      </c>
      <c r="O287" t="n">
        <v>0</v>
      </c>
      <c r="P287" t="n">
        <v>0</v>
      </c>
      <c r="Q287" t="n">
        <v>0</v>
      </c>
      <c r="R287" s="2" t="inlineStr"/>
    </row>
    <row r="288" ht="15" customHeight="1">
      <c r="A288" t="inlineStr">
        <is>
          <t>A 62259-2022</t>
        </is>
      </c>
      <c r="B288" s="1" t="n">
        <v>44922.94351851852</v>
      </c>
      <c r="C288" s="1" t="n">
        <v>46187</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23737-2025</t>
        </is>
      </c>
      <c r="B289" s="1" t="n">
        <v>45793.42809027778</v>
      </c>
      <c r="C289" s="1" t="n">
        <v>46187</v>
      </c>
      <c r="D289" t="inlineStr">
        <is>
          <t>VÄSTERBOTTENS LÄN</t>
        </is>
      </c>
      <c r="E289" t="inlineStr">
        <is>
          <t>ÅSELE</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28881-2024</t>
        </is>
      </c>
      <c r="B290" s="1" t="n">
        <v>45479</v>
      </c>
      <c r="C290" s="1" t="n">
        <v>46187</v>
      </c>
      <c r="D290" t="inlineStr">
        <is>
          <t>VÄSTERBOTTENS LÄN</t>
        </is>
      </c>
      <c r="E290" t="inlineStr">
        <is>
          <t>ÅSELE</t>
        </is>
      </c>
      <c r="G290" t="n">
        <v>3.6</v>
      </c>
      <c r="H290" t="n">
        <v>0</v>
      </c>
      <c r="I290" t="n">
        <v>0</v>
      </c>
      <c r="J290" t="n">
        <v>0</v>
      </c>
      <c r="K290" t="n">
        <v>0</v>
      </c>
      <c r="L290" t="n">
        <v>0</v>
      </c>
      <c r="M290" t="n">
        <v>0</v>
      </c>
      <c r="N290" t="n">
        <v>0</v>
      </c>
      <c r="O290" t="n">
        <v>0</v>
      </c>
      <c r="P290" t="n">
        <v>0</v>
      </c>
      <c r="Q290" t="n">
        <v>0</v>
      </c>
      <c r="R290" s="2" t="inlineStr"/>
    </row>
    <row r="291" ht="15" customHeight="1">
      <c r="A291" t="inlineStr">
        <is>
          <t>A 28936-2024</t>
        </is>
      </c>
      <c r="B291" s="1" t="n">
        <v>45481</v>
      </c>
      <c r="C291" s="1" t="n">
        <v>46187</v>
      </c>
      <c r="D291" t="inlineStr">
        <is>
          <t>VÄSTERBOTTENS LÄN</t>
        </is>
      </c>
      <c r="E291" t="inlineStr">
        <is>
          <t>ÅSELE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35950-2023</t>
        </is>
      </c>
      <c r="B292" s="1" t="n">
        <v>45148</v>
      </c>
      <c r="C292" s="1" t="n">
        <v>46187</v>
      </c>
      <c r="D292" t="inlineStr">
        <is>
          <t>VÄSTERBOTTENS LÄN</t>
        </is>
      </c>
      <c r="E292" t="inlineStr">
        <is>
          <t>ÅSELE</t>
        </is>
      </c>
      <c r="G292" t="n">
        <v>1.9</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46187</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46187</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46187</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46187</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22114-2024</t>
        </is>
      </c>
      <c r="B297" s="1" t="n">
        <v>45443</v>
      </c>
      <c r="C297" s="1" t="n">
        <v>46187</v>
      </c>
      <c r="D297" t="inlineStr">
        <is>
          <t>VÄSTERBOTTENS LÄN</t>
        </is>
      </c>
      <c r="E297" t="inlineStr">
        <is>
          <t>ÅSELE</t>
        </is>
      </c>
      <c r="F297" t="inlineStr">
        <is>
          <t>SCA</t>
        </is>
      </c>
      <c r="G297" t="n">
        <v>30.2</v>
      </c>
      <c r="H297" t="n">
        <v>0</v>
      </c>
      <c r="I297" t="n">
        <v>0</v>
      </c>
      <c r="J297" t="n">
        <v>0</v>
      </c>
      <c r="K297" t="n">
        <v>0</v>
      </c>
      <c r="L297" t="n">
        <v>0</v>
      </c>
      <c r="M297" t="n">
        <v>0</v>
      </c>
      <c r="N297" t="n">
        <v>0</v>
      </c>
      <c r="O297" t="n">
        <v>0</v>
      </c>
      <c r="P297" t="n">
        <v>0</v>
      </c>
      <c r="Q297" t="n">
        <v>0</v>
      </c>
      <c r="R297" s="2" t="inlineStr"/>
    </row>
    <row r="298" ht="15" customHeight="1">
      <c r="A298" t="inlineStr">
        <is>
          <t>A 4915-2024</t>
        </is>
      </c>
      <c r="B298" s="1" t="n">
        <v>45329</v>
      </c>
      <c r="C298" s="1" t="n">
        <v>46187</v>
      </c>
      <c r="D298" t="inlineStr">
        <is>
          <t>VÄSTERBOTTENS LÄN</t>
        </is>
      </c>
      <c r="E298" t="inlineStr">
        <is>
          <t>ÅSELE</t>
        </is>
      </c>
      <c r="F298" t="inlineStr">
        <is>
          <t>Övriga Aktiebolag</t>
        </is>
      </c>
      <c r="G298" t="n">
        <v>7.5</v>
      </c>
      <c r="H298" t="n">
        <v>0</v>
      </c>
      <c r="I298" t="n">
        <v>0</v>
      </c>
      <c r="J298" t="n">
        <v>0</v>
      </c>
      <c r="K298" t="n">
        <v>0</v>
      </c>
      <c r="L298" t="n">
        <v>0</v>
      </c>
      <c r="M298" t="n">
        <v>0</v>
      </c>
      <c r="N298" t="n">
        <v>0</v>
      </c>
      <c r="O298" t="n">
        <v>0</v>
      </c>
      <c r="P298" t="n">
        <v>0</v>
      </c>
      <c r="Q298" t="n">
        <v>0</v>
      </c>
      <c r="R298" s="2" t="inlineStr"/>
    </row>
    <row r="299" ht="15" customHeight="1">
      <c r="A299" t="inlineStr">
        <is>
          <t>A 5022-2024</t>
        </is>
      </c>
      <c r="B299" s="1" t="n">
        <v>45329</v>
      </c>
      <c r="C299" s="1" t="n">
        <v>46187</v>
      </c>
      <c r="D299" t="inlineStr">
        <is>
          <t>VÄSTERBOTTENS LÄN</t>
        </is>
      </c>
      <c r="E299" t="inlineStr">
        <is>
          <t>ÅSELE</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10582-2023</t>
        </is>
      </c>
      <c r="B300" s="1" t="n">
        <v>44984</v>
      </c>
      <c r="C300" s="1" t="n">
        <v>46187</v>
      </c>
      <c r="D300" t="inlineStr">
        <is>
          <t>VÄSTERBOTTENS LÄN</t>
        </is>
      </c>
      <c r="E300" t="inlineStr">
        <is>
          <t>ÅSELE</t>
        </is>
      </c>
      <c r="G300" t="n">
        <v>1.9</v>
      </c>
      <c r="H300" t="n">
        <v>0</v>
      </c>
      <c r="I300" t="n">
        <v>0</v>
      </c>
      <c r="J300" t="n">
        <v>0</v>
      </c>
      <c r="K300" t="n">
        <v>0</v>
      </c>
      <c r="L300" t="n">
        <v>0</v>
      </c>
      <c r="M300" t="n">
        <v>0</v>
      </c>
      <c r="N300" t="n">
        <v>0</v>
      </c>
      <c r="O300" t="n">
        <v>0</v>
      </c>
      <c r="P300" t="n">
        <v>0</v>
      </c>
      <c r="Q300" t="n">
        <v>0</v>
      </c>
      <c r="R300" s="2" t="inlineStr"/>
    </row>
    <row r="301" ht="15" customHeight="1">
      <c r="A301" t="inlineStr">
        <is>
          <t>A 61874-2023</t>
        </is>
      </c>
      <c r="B301" s="1" t="n">
        <v>45266</v>
      </c>
      <c r="C301" s="1" t="n">
        <v>46187</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46187</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45770.61505787037</v>
      </c>
      <c r="C303" s="1" t="n">
        <v>46187</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46187</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35453-2025</t>
        </is>
      </c>
      <c r="B305" s="1" t="n">
        <v>45855</v>
      </c>
      <c r="C305" s="1" t="n">
        <v>46187</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413-2026</t>
        </is>
      </c>
      <c r="B306" s="1" t="n">
        <v>46028.75300925926</v>
      </c>
      <c r="C306" s="1" t="n">
        <v>46187</v>
      </c>
      <c r="D306" t="inlineStr">
        <is>
          <t>VÄSTERBOTTENS LÄN</t>
        </is>
      </c>
      <c r="E306" t="inlineStr">
        <is>
          <t>ÅSELE</t>
        </is>
      </c>
      <c r="G306" t="n">
        <v>3.8</v>
      </c>
      <c r="H306" t="n">
        <v>0</v>
      </c>
      <c r="I306" t="n">
        <v>0</v>
      </c>
      <c r="J306" t="n">
        <v>0</v>
      </c>
      <c r="K306" t="n">
        <v>0</v>
      </c>
      <c r="L306" t="n">
        <v>0</v>
      </c>
      <c r="M306" t="n">
        <v>0</v>
      </c>
      <c r="N306" t="n">
        <v>0</v>
      </c>
      <c r="O306" t="n">
        <v>0</v>
      </c>
      <c r="P306" t="n">
        <v>0</v>
      </c>
      <c r="Q306" t="n">
        <v>0</v>
      </c>
      <c r="R306" s="2" t="inlineStr"/>
    </row>
    <row r="307" ht="15" customHeight="1">
      <c r="A307" t="inlineStr">
        <is>
          <t>A 59282-2024</t>
        </is>
      </c>
      <c r="B307" s="1" t="n">
        <v>45637</v>
      </c>
      <c r="C307" s="1" t="n">
        <v>46187</v>
      </c>
      <c r="D307" t="inlineStr">
        <is>
          <t>VÄSTERBOTTENS LÄN</t>
        </is>
      </c>
      <c r="E307" t="inlineStr">
        <is>
          <t>ÅSELE</t>
        </is>
      </c>
      <c r="G307" t="n">
        <v>6.9</v>
      </c>
      <c r="H307" t="n">
        <v>0</v>
      </c>
      <c r="I307" t="n">
        <v>0</v>
      </c>
      <c r="J307" t="n">
        <v>0</v>
      </c>
      <c r="K307" t="n">
        <v>0</v>
      </c>
      <c r="L307" t="n">
        <v>0</v>
      </c>
      <c r="M307" t="n">
        <v>0</v>
      </c>
      <c r="N307" t="n">
        <v>0</v>
      </c>
      <c r="O307" t="n">
        <v>0</v>
      </c>
      <c r="P307" t="n">
        <v>0</v>
      </c>
      <c r="Q307" t="n">
        <v>0</v>
      </c>
      <c r="R307" s="2" t="inlineStr"/>
    </row>
    <row r="308" ht="15" customHeight="1">
      <c r="A308" t="inlineStr">
        <is>
          <t>A 24208-2025</t>
        </is>
      </c>
      <c r="B308" s="1" t="n">
        <v>45797.34456018519</v>
      </c>
      <c r="C308" s="1" t="n">
        <v>46187</v>
      </c>
      <c r="D308" t="inlineStr">
        <is>
          <t>VÄSTERBOTTENS LÄN</t>
        </is>
      </c>
      <c r="E308" t="inlineStr">
        <is>
          <t>ÅSELE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16175-2025</t>
        </is>
      </c>
      <c r="B309" s="1" t="n">
        <v>45750.5587962963</v>
      </c>
      <c r="C309" s="1" t="n">
        <v>46187</v>
      </c>
      <c r="D309" t="inlineStr">
        <is>
          <t>VÄSTERBOTTENS LÄN</t>
        </is>
      </c>
      <c r="E309" t="inlineStr">
        <is>
          <t>ÅSELE</t>
        </is>
      </c>
      <c r="G309" t="n">
        <v>15.4</v>
      </c>
      <c r="H309" t="n">
        <v>0</v>
      </c>
      <c r="I309" t="n">
        <v>0</v>
      </c>
      <c r="J309" t="n">
        <v>0</v>
      </c>
      <c r="K309" t="n">
        <v>0</v>
      </c>
      <c r="L309" t="n">
        <v>0</v>
      </c>
      <c r="M309" t="n">
        <v>0</v>
      </c>
      <c r="N309" t="n">
        <v>0</v>
      </c>
      <c r="O309" t="n">
        <v>0</v>
      </c>
      <c r="P309" t="n">
        <v>0</v>
      </c>
      <c r="Q309" t="n">
        <v>0</v>
      </c>
      <c r="R309" s="2" t="inlineStr"/>
    </row>
    <row r="310" ht="15" customHeight="1">
      <c r="A310" t="inlineStr">
        <is>
          <t>A 20617-2024</t>
        </is>
      </c>
      <c r="B310" s="1" t="n">
        <v>45436</v>
      </c>
      <c r="C310" s="1" t="n">
        <v>46187</v>
      </c>
      <c r="D310" t="inlineStr">
        <is>
          <t>VÄSTERBOTTENS LÄN</t>
        </is>
      </c>
      <c r="E310" t="inlineStr">
        <is>
          <t>ÅSELE</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46187</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2485-2023</t>
        </is>
      </c>
      <c r="B312" s="1" t="n">
        <v>44943.50074074074</v>
      </c>
      <c r="C312" s="1" t="n">
        <v>46187</v>
      </c>
      <c r="D312" t="inlineStr">
        <is>
          <t>VÄSTERBOTTENS LÄN</t>
        </is>
      </c>
      <c r="E312" t="inlineStr">
        <is>
          <t>ÅSELE</t>
        </is>
      </c>
      <c r="G312" t="n">
        <v>1.2</v>
      </c>
      <c r="H312" t="n">
        <v>0</v>
      </c>
      <c r="I312" t="n">
        <v>0</v>
      </c>
      <c r="J312" t="n">
        <v>0</v>
      </c>
      <c r="K312" t="n">
        <v>0</v>
      </c>
      <c r="L312" t="n">
        <v>0</v>
      </c>
      <c r="M312" t="n">
        <v>0</v>
      </c>
      <c r="N312" t="n">
        <v>0</v>
      </c>
      <c r="O312" t="n">
        <v>0</v>
      </c>
      <c r="P312" t="n">
        <v>0</v>
      </c>
      <c r="Q312" t="n">
        <v>0</v>
      </c>
      <c r="R312" s="2" t="inlineStr"/>
    </row>
    <row r="313" ht="15" customHeight="1">
      <c r="A313" t="inlineStr">
        <is>
          <t>A 26540-2022</t>
        </is>
      </c>
      <c r="B313" s="1" t="n">
        <v>44739</v>
      </c>
      <c r="C313" s="1" t="n">
        <v>46187</v>
      </c>
      <c r="D313" t="inlineStr">
        <is>
          <t>VÄSTERBOTTENS LÄN</t>
        </is>
      </c>
      <c r="E313" t="inlineStr">
        <is>
          <t>ÅSELE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2892-2025</t>
        </is>
      </c>
      <c r="B314" s="1" t="n">
        <v>45677</v>
      </c>
      <c r="C314" s="1" t="n">
        <v>46187</v>
      </c>
      <c r="D314" t="inlineStr">
        <is>
          <t>VÄSTERBOTTENS LÄN</t>
        </is>
      </c>
      <c r="E314" t="inlineStr">
        <is>
          <t>ÅSELE</t>
        </is>
      </c>
      <c r="G314" t="n">
        <v>3.1</v>
      </c>
      <c r="H314" t="n">
        <v>0</v>
      </c>
      <c r="I314" t="n">
        <v>0</v>
      </c>
      <c r="J314" t="n">
        <v>0</v>
      </c>
      <c r="K314" t="n">
        <v>0</v>
      </c>
      <c r="L314" t="n">
        <v>0</v>
      </c>
      <c r="M314" t="n">
        <v>0</v>
      </c>
      <c r="N314" t="n">
        <v>0</v>
      </c>
      <c r="O314" t="n">
        <v>0</v>
      </c>
      <c r="P314" t="n">
        <v>0</v>
      </c>
      <c r="Q314" t="n">
        <v>0</v>
      </c>
      <c r="R314" s="2" t="inlineStr"/>
    </row>
    <row r="315" ht="15" customHeight="1">
      <c r="A315" t="inlineStr">
        <is>
          <t>A 50308-2025</t>
        </is>
      </c>
      <c r="B315" s="1" t="n">
        <v>45944</v>
      </c>
      <c r="C315" s="1" t="n">
        <v>46187</v>
      </c>
      <c r="D315" t="inlineStr">
        <is>
          <t>VÄSTERBOTTENS LÄN</t>
        </is>
      </c>
      <c r="E315" t="inlineStr">
        <is>
          <t>ÅSELE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31475-2024</t>
        </is>
      </c>
      <c r="B316" s="1" t="n">
        <v>45505.95209490741</v>
      </c>
      <c r="C316" s="1" t="n">
        <v>46187</v>
      </c>
      <c r="D316" t="inlineStr">
        <is>
          <t>VÄSTERBOTTENS LÄN</t>
        </is>
      </c>
      <c r="E316" t="inlineStr">
        <is>
          <t>ÅSELE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24744-2025</t>
        </is>
      </c>
      <c r="B317" s="1" t="n">
        <v>45799</v>
      </c>
      <c r="C317" s="1" t="n">
        <v>46187</v>
      </c>
      <c r="D317" t="inlineStr">
        <is>
          <t>VÄSTERBOTTENS LÄN</t>
        </is>
      </c>
      <c r="E317" t="inlineStr">
        <is>
          <t>ÅSELE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1863-2026</t>
        </is>
      </c>
      <c r="B318" s="1" t="n">
        <v>46035.44826388889</v>
      </c>
      <c r="C318" s="1" t="n">
        <v>46187</v>
      </c>
      <c r="D318" t="inlineStr">
        <is>
          <t>VÄSTERBOTTENS LÄN</t>
        </is>
      </c>
      <c r="E318" t="inlineStr">
        <is>
          <t>ÅSELE</t>
        </is>
      </c>
      <c r="G318" t="n">
        <v>7</v>
      </c>
      <c r="H318" t="n">
        <v>0</v>
      </c>
      <c r="I318" t="n">
        <v>0</v>
      </c>
      <c r="J318" t="n">
        <v>0</v>
      </c>
      <c r="K318" t="n">
        <v>0</v>
      </c>
      <c r="L318" t="n">
        <v>0</v>
      </c>
      <c r="M318" t="n">
        <v>0</v>
      </c>
      <c r="N318" t="n">
        <v>0</v>
      </c>
      <c r="O318" t="n">
        <v>0</v>
      </c>
      <c r="P318" t="n">
        <v>0</v>
      </c>
      <c r="Q318" t="n">
        <v>0</v>
      </c>
      <c r="R318" s="2" t="inlineStr"/>
    </row>
    <row r="319" ht="15" customHeight="1">
      <c r="A319" t="inlineStr">
        <is>
          <t>A 25394-2025</t>
        </is>
      </c>
      <c r="B319" s="1" t="n">
        <v>45800.64912037037</v>
      </c>
      <c r="C319" s="1" t="n">
        <v>46187</v>
      </c>
      <c r="D319" t="inlineStr">
        <is>
          <t>VÄSTERBOTTENS LÄN</t>
        </is>
      </c>
      <c r="E319" t="inlineStr">
        <is>
          <t>ÅSELE</t>
        </is>
      </c>
      <c r="F319" t="inlineStr">
        <is>
          <t>Sveaskog</t>
        </is>
      </c>
      <c r="G319" t="n">
        <v>10.9</v>
      </c>
      <c r="H319" t="n">
        <v>0</v>
      </c>
      <c r="I319" t="n">
        <v>0</v>
      </c>
      <c r="J319" t="n">
        <v>0</v>
      </c>
      <c r="K319" t="n">
        <v>0</v>
      </c>
      <c r="L319" t="n">
        <v>0</v>
      </c>
      <c r="M319" t="n">
        <v>0</v>
      </c>
      <c r="N319" t="n">
        <v>0</v>
      </c>
      <c r="O319" t="n">
        <v>0</v>
      </c>
      <c r="P319" t="n">
        <v>0</v>
      </c>
      <c r="Q319" t="n">
        <v>0</v>
      </c>
      <c r="R319" s="2" t="inlineStr"/>
    </row>
    <row r="320" ht="15" customHeight="1">
      <c r="A320" t="inlineStr">
        <is>
          <t>A 10770-2024</t>
        </is>
      </c>
      <c r="B320" s="1" t="n">
        <v>45369</v>
      </c>
      <c r="C320" s="1" t="n">
        <v>46187</v>
      </c>
      <c r="D320" t="inlineStr">
        <is>
          <t>VÄSTERBOTTENS LÄN</t>
        </is>
      </c>
      <c r="E320" t="inlineStr">
        <is>
          <t>ÅSELE</t>
        </is>
      </c>
      <c r="F320" t="inlineStr">
        <is>
          <t>Holmen skog AB</t>
        </is>
      </c>
      <c r="G320" t="n">
        <v>4.2</v>
      </c>
      <c r="H320" t="n">
        <v>0</v>
      </c>
      <c r="I320" t="n">
        <v>0</v>
      </c>
      <c r="J320" t="n">
        <v>0</v>
      </c>
      <c r="K320" t="n">
        <v>0</v>
      </c>
      <c r="L320" t="n">
        <v>0</v>
      </c>
      <c r="M320" t="n">
        <v>0</v>
      </c>
      <c r="N320" t="n">
        <v>0</v>
      </c>
      <c r="O320" t="n">
        <v>0</v>
      </c>
      <c r="P320" t="n">
        <v>0</v>
      </c>
      <c r="Q320" t="n">
        <v>0</v>
      </c>
      <c r="R320" s="2" t="inlineStr"/>
    </row>
    <row r="321" ht="15" customHeight="1">
      <c r="A321" t="inlineStr">
        <is>
          <t>A 25411-2025</t>
        </is>
      </c>
      <c r="B321" s="1" t="n">
        <v>45800.66145833334</v>
      </c>
      <c r="C321" s="1" t="n">
        <v>46187</v>
      </c>
      <c r="D321" t="inlineStr">
        <is>
          <t>VÄSTERBOTTENS LÄN</t>
        </is>
      </c>
      <c r="E321" t="inlineStr">
        <is>
          <t>ÅSELE</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25417-2025</t>
        </is>
      </c>
      <c r="B322" s="1" t="n">
        <v>45800.67762731481</v>
      </c>
      <c r="C322" s="1" t="n">
        <v>46187</v>
      </c>
      <c r="D322" t="inlineStr">
        <is>
          <t>VÄSTERBOTTENS LÄN</t>
        </is>
      </c>
      <c r="E322" t="inlineStr">
        <is>
          <t>ÅSELE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2321-2026</t>
        </is>
      </c>
      <c r="B323" s="1" t="n">
        <v>46036.603125</v>
      </c>
      <c r="C323" s="1" t="n">
        <v>46187</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48051-2024</t>
        </is>
      </c>
      <c r="B324" s="1" t="n">
        <v>45589</v>
      </c>
      <c r="C324" s="1" t="n">
        <v>46187</v>
      </c>
      <c r="D324" t="inlineStr">
        <is>
          <t>VÄSTERBOTTENS LÄN</t>
        </is>
      </c>
      <c r="E324" t="inlineStr">
        <is>
          <t>ÅSELE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17683-2025</t>
        </is>
      </c>
      <c r="B325" s="1" t="n">
        <v>45758.3859375</v>
      </c>
      <c r="C325" s="1" t="n">
        <v>46187</v>
      </c>
      <c r="D325" t="inlineStr">
        <is>
          <t>VÄSTERBOTTENS LÄN</t>
        </is>
      </c>
      <c r="E325" t="inlineStr">
        <is>
          <t>ÅSELE</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2100-2026</t>
        </is>
      </c>
      <c r="B326" s="1" t="n">
        <v>46036.37225694444</v>
      </c>
      <c r="C326" s="1" t="n">
        <v>46187</v>
      </c>
      <c r="D326" t="inlineStr">
        <is>
          <t>VÄSTERBOTTENS LÄN</t>
        </is>
      </c>
      <c r="E326" t="inlineStr">
        <is>
          <t>ÅSELE</t>
        </is>
      </c>
      <c r="F326" t="inlineStr">
        <is>
          <t>Sveaskog</t>
        </is>
      </c>
      <c r="G326" t="n">
        <v>12.3</v>
      </c>
      <c r="H326" t="n">
        <v>0</v>
      </c>
      <c r="I326" t="n">
        <v>0</v>
      </c>
      <c r="J326" t="n">
        <v>0</v>
      </c>
      <c r="K326" t="n">
        <v>0</v>
      </c>
      <c r="L326" t="n">
        <v>0</v>
      </c>
      <c r="M326" t="n">
        <v>0</v>
      </c>
      <c r="N326" t="n">
        <v>0</v>
      </c>
      <c r="O326" t="n">
        <v>0</v>
      </c>
      <c r="P326" t="n">
        <v>0</v>
      </c>
      <c r="Q326" t="n">
        <v>0</v>
      </c>
      <c r="R326" s="2" t="inlineStr"/>
    </row>
    <row r="327" ht="15" customHeight="1">
      <c r="A327" t="inlineStr">
        <is>
          <t>A 28724-2023</t>
        </is>
      </c>
      <c r="B327" s="1" t="n">
        <v>45103</v>
      </c>
      <c r="C327" s="1" t="n">
        <v>46187</v>
      </c>
      <c r="D327" t="inlineStr">
        <is>
          <t>VÄSTERBOTTENS LÄN</t>
        </is>
      </c>
      <c r="E327" t="inlineStr">
        <is>
          <t>ÅSELE</t>
        </is>
      </c>
      <c r="F327" t="inlineStr">
        <is>
          <t>Sveaskog</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2378-2026</t>
        </is>
      </c>
      <c r="B328" s="1" t="n">
        <v>46036.65756944445</v>
      </c>
      <c r="C328" s="1" t="n">
        <v>46187</v>
      </c>
      <c r="D328" t="inlineStr">
        <is>
          <t>VÄSTERBOTTENS LÄN</t>
        </is>
      </c>
      <c r="E328" t="inlineStr">
        <is>
          <t>ÅSELE</t>
        </is>
      </c>
      <c r="F328" t="inlineStr">
        <is>
          <t>Sveaskog</t>
        </is>
      </c>
      <c r="G328" t="n">
        <v>17.1</v>
      </c>
      <c r="H328" t="n">
        <v>0</v>
      </c>
      <c r="I328" t="n">
        <v>0</v>
      </c>
      <c r="J328" t="n">
        <v>0</v>
      </c>
      <c r="K328" t="n">
        <v>0</v>
      </c>
      <c r="L328" t="n">
        <v>0</v>
      </c>
      <c r="M328" t="n">
        <v>0</v>
      </c>
      <c r="N328" t="n">
        <v>0</v>
      </c>
      <c r="O328" t="n">
        <v>0</v>
      </c>
      <c r="P328" t="n">
        <v>0</v>
      </c>
      <c r="Q328" t="n">
        <v>0</v>
      </c>
      <c r="R328" s="2" t="inlineStr"/>
    </row>
    <row r="329" ht="15" customHeight="1">
      <c r="A329" t="inlineStr">
        <is>
          <t>A 2294-2026</t>
        </is>
      </c>
      <c r="B329" s="1" t="n">
        <v>46036.58723379629</v>
      </c>
      <c r="C329" s="1" t="n">
        <v>46187</v>
      </c>
      <c r="D329" t="inlineStr">
        <is>
          <t>VÄSTERBOTTENS LÄN</t>
        </is>
      </c>
      <c r="E329" t="inlineStr">
        <is>
          <t>ÅSELE</t>
        </is>
      </c>
      <c r="F329" t="inlineStr">
        <is>
          <t>Sveaskog</t>
        </is>
      </c>
      <c r="G329" t="n">
        <v>7.4</v>
      </c>
      <c r="H329" t="n">
        <v>0</v>
      </c>
      <c r="I329" t="n">
        <v>0</v>
      </c>
      <c r="J329" t="n">
        <v>0</v>
      </c>
      <c r="K329" t="n">
        <v>0</v>
      </c>
      <c r="L329" t="n">
        <v>0</v>
      </c>
      <c r="M329" t="n">
        <v>0</v>
      </c>
      <c r="N329" t="n">
        <v>0</v>
      </c>
      <c r="O329" t="n">
        <v>0</v>
      </c>
      <c r="P329" t="n">
        <v>0</v>
      </c>
      <c r="Q329" t="n">
        <v>0</v>
      </c>
      <c r="R329" s="2" t="inlineStr"/>
    </row>
    <row r="330" ht="15" customHeight="1">
      <c r="A330" t="inlineStr">
        <is>
          <t>A 48044-2024</t>
        </is>
      </c>
      <c r="B330" s="1" t="n">
        <v>45589</v>
      </c>
      <c r="C330" s="1" t="n">
        <v>46187</v>
      </c>
      <c r="D330" t="inlineStr">
        <is>
          <t>VÄSTERBOTTENS LÄN</t>
        </is>
      </c>
      <c r="E330" t="inlineStr">
        <is>
          <t>ÅSELE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51405-2024</t>
        </is>
      </c>
      <c r="B331" s="1" t="n">
        <v>45604</v>
      </c>
      <c r="C331" s="1" t="n">
        <v>46187</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41399-2023</t>
        </is>
      </c>
      <c r="B332" s="1" t="n">
        <v>45174.93857638889</v>
      </c>
      <c r="C332" s="1" t="n">
        <v>46187</v>
      </c>
      <c r="D332" t="inlineStr">
        <is>
          <t>VÄSTERBOTTENS LÄN</t>
        </is>
      </c>
      <c r="E332" t="inlineStr">
        <is>
          <t>ÅSELE</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46187</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5641-2022</t>
        </is>
      </c>
      <c r="B334" s="1" t="n">
        <v>44595.92319444445</v>
      </c>
      <c r="C334" s="1" t="n">
        <v>46187</v>
      </c>
      <c r="D334" t="inlineStr">
        <is>
          <t>VÄSTERBOTTENS LÄN</t>
        </is>
      </c>
      <c r="E334" t="inlineStr">
        <is>
          <t>ÅSELE</t>
        </is>
      </c>
      <c r="G334" t="n">
        <v>0.9</v>
      </c>
      <c r="H334" t="n">
        <v>0</v>
      </c>
      <c r="I334" t="n">
        <v>0</v>
      </c>
      <c r="J334" t="n">
        <v>0</v>
      </c>
      <c r="K334" t="n">
        <v>0</v>
      </c>
      <c r="L334" t="n">
        <v>0</v>
      </c>
      <c r="M334" t="n">
        <v>0</v>
      </c>
      <c r="N334" t="n">
        <v>0</v>
      </c>
      <c r="O334" t="n">
        <v>0</v>
      </c>
      <c r="P334" t="n">
        <v>0</v>
      </c>
      <c r="Q334" t="n">
        <v>0</v>
      </c>
      <c r="R334" s="2" t="inlineStr"/>
    </row>
    <row r="335" ht="15" customHeight="1">
      <c r="A335" t="inlineStr">
        <is>
          <t>A 26104-2025</t>
        </is>
      </c>
      <c r="B335" s="1" t="n">
        <v>45805.36008101852</v>
      </c>
      <c r="C335" s="1" t="n">
        <v>46187</v>
      </c>
      <c r="D335" t="inlineStr">
        <is>
          <t>VÄSTERBOTTENS LÄN</t>
        </is>
      </c>
      <c r="E335" t="inlineStr">
        <is>
          <t>ÅSELE</t>
        </is>
      </c>
      <c r="F335" t="inlineStr">
        <is>
          <t>Sveaskog</t>
        </is>
      </c>
      <c r="G335" t="n">
        <v>5.9</v>
      </c>
      <c r="H335" t="n">
        <v>0</v>
      </c>
      <c r="I335" t="n">
        <v>0</v>
      </c>
      <c r="J335" t="n">
        <v>0</v>
      </c>
      <c r="K335" t="n">
        <v>0</v>
      </c>
      <c r="L335" t="n">
        <v>0</v>
      </c>
      <c r="M335" t="n">
        <v>0</v>
      </c>
      <c r="N335" t="n">
        <v>0</v>
      </c>
      <c r="O335" t="n">
        <v>0</v>
      </c>
      <c r="P335" t="n">
        <v>0</v>
      </c>
      <c r="Q335" t="n">
        <v>0</v>
      </c>
      <c r="R335" s="2" t="inlineStr"/>
    </row>
    <row r="336" ht="15" customHeight="1">
      <c r="A336" t="inlineStr">
        <is>
          <t>A 26113-2025</t>
        </is>
      </c>
      <c r="B336" s="1" t="n">
        <v>45805.36946759259</v>
      </c>
      <c r="C336" s="1" t="n">
        <v>46187</v>
      </c>
      <c r="D336" t="inlineStr">
        <is>
          <t>VÄSTERBOTTENS LÄN</t>
        </is>
      </c>
      <c r="E336" t="inlineStr">
        <is>
          <t>ÅSELE</t>
        </is>
      </c>
      <c r="F336" t="inlineStr">
        <is>
          <t>Sveaskog</t>
        </is>
      </c>
      <c r="G336" t="n">
        <v>45.5</v>
      </c>
      <c r="H336" t="n">
        <v>0</v>
      </c>
      <c r="I336" t="n">
        <v>0</v>
      </c>
      <c r="J336" t="n">
        <v>0</v>
      </c>
      <c r="K336" t="n">
        <v>0</v>
      </c>
      <c r="L336" t="n">
        <v>0</v>
      </c>
      <c r="M336" t="n">
        <v>0</v>
      </c>
      <c r="N336" t="n">
        <v>0</v>
      </c>
      <c r="O336" t="n">
        <v>0</v>
      </c>
      <c r="P336" t="n">
        <v>0</v>
      </c>
      <c r="Q336" t="n">
        <v>0</v>
      </c>
      <c r="R336" s="2" t="inlineStr"/>
    </row>
    <row r="337" ht="15" customHeight="1">
      <c r="A337" t="inlineStr">
        <is>
          <t>A 45298-2024</t>
        </is>
      </c>
      <c r="B337" s="1" t="n">
        <v>45576</v>
      </c>
      <c r="C337" s="1" t="n">
        <v>46187</v>
      </c>
      <c r="D337" t="inlineStr">
        <is>
          <t>VÄSTERBOTTENS LÄN</t>
        </is>
      </c>
      <c r="E337" t="inlineStr">
        <is>
          <t>ÅSELE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2763-2026</t>
        </is>
      </c>
      <c r="B338" s="1" t="n">
        <v>46038.34892361111</v>
      </c>
      <c r="C338" s="1" t="n">
        <v>46187</v>
      </c>
      <c r="D338" t="inlineStr">
        <is>
          <t>VÄSTERBOTTENS LÄN</t>
        </is>
      </c>
      <c r="E338" t="inlineStr">
        <is>
          <t>ÅSELE</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7475-2025</t>
        </is>
      </c>
      <c r="B339" s="1" t="n">
        <v>45705.46724537037</v>
      </c>
      <c r="C339" s="1" t="n">
        <v>46187</v>
      </c>
      <c r="D339" t="inlineStr">
        <is>
          <t>VÄSTERBOTTENS LÄN</t>
        </is>
      </c>
      <c r="E339" t="inlineStr">
        <is>
          <t>ÅSELE</t>
        </is>
      </c>
      <c r="G339" t="n">
        <v>4.4</v>
      </c>
      <c r="H339" t="n">
        <v>0</v>
      </c>
      <c r="I339" t="n">
        <v>0</v>
      </c>
      <c r="J339" t="n">
        <v>0</v>
      </c>
      <c r="K339" t="n">
        <v>0</v>
      </c>
      <c r="L339" t="n">
        <v>0</v>
      </c>
      <c r="M339" t="n">
        <v>0</v>
      </c>
      <c r="N339" t="n">
        <v>0</v>
      </c>
      <c r="O339" t="n">
        <v>0</v>
      </c>
      <c r="P339" t="n">
        <v>0</v>
      </c>
      <c r="Q339" t="n">
        <v>0</v>
      </c>
      <c r="R339" s="2" t="inlineStr"/>
    </row>
    <row r="340" ht="15" customHeight="1">
      <c r="A340" t="inlineStr">
        <is>
          <t>A 41408-2023</t>
        </is>
      </c>
      <c r="B340" s="1" t="n">
        <v>45174</v>
      </c>
      <c r="C340" s="1" t="n">
        <v>46187</v>
      </c>
      <c r="D340" t="inlineStr">
        <is>
          <t>VÄSTERBOTTENS LÄN</t>
        </is>
      </c>
      <c r="E340" t="inlineStr">
        <is>
          <t>ÅSELE</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28955-2024</t>
        </is>
      </c>
      <c r="B341" s="1" t="n">
        <v>45481</v>
      </c>
      <c r="C341" s="1" t="n">
        <v>46187</v>
      </c>
      <c r="D341" t="inlineStr">
        <is>
          <t>VÄSTERBOTTENS LÄN</t>
        </is>
      </c>
      <c r="E341" t="inlineStr">
        <is>
          <t>ÅSELE</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28961-2024</t>
        </is>
      </c>
      <c r="B342" s="1" t="n">
        <v>45481</v>
      </c>
      <c r="C342" s="1" t="n">
        <v>46187</v>
      </c>
      <c r="D342" t="inlineStr">
        <is>
          <t>VÄSTERBOTTENS LÄN</t>
        </is>
      </c>
      <c r="E342" t="inlineStr">
        <is>
          <t>ÅSELE</t>
        </is>
      </c>
      <c r="F342" t="inlineStr">
        <is>
          <t>Sveaskog</t>
        </is>
      </c>
      <c r="G342" t="n">
        <v>4.1</v>
      </c>
      <c r="H342" t="n">
        <v>0</v>
      </c>
      <c r="I342" t="n">
        <v>0</v>
      </c>
      <c r="J342" t="n">
        <v>0</v>
      </c>
      <c r="K342" t="n">
        <v>0</v>
      </c>
      <c r="L342" t="n">
        <v>0</v>
      </c>
      <c r="M342" t="n">
        <v>0</v>
      </c>
      <c r="N342" t="n">
        <v>0</v>
      </c>
      <c r="O342" t="n">
        <v>0</v>
      </c>
      <c r="P342" t="n">
        <v>0</v>
      </c>
      <c r="Q342" t="n">
        <v>0</v>
      </c>
      <c r="R342" s="2" t="inlineStr"/>
    </row>
    <row r="343" ht="15" customHeight="1">
      <c r="A343" t="inlineStr">
        <is>
          <t>A 3558-2026</t>
        </is>
      </c>
      <c r="B343" s="1" t="n">
        <v>46042.67096064815</v>
      </c>
      <c r="C343" s="1" t="n">
        <v>46187</v>
      </c>
      <c r="D343" t="inlineStr">
        <is>
          <t>VÄSTERBOTTENS LÄN</t>
        </is>
      </c>
      <c r="E343" t="inlineStr">
        <is>
          <t>ÅSELE</t>
        </is>
      </c>
      <c r="F343" t="inlineStr">
        <is>
          <t>SCA</t>
        </is>
      </c>
      <c r="G343" t="n">
        <v>6.1</v>
      </c>
      <c r="H343" t="n">
        <v>0</v>
      </c>
      <c r="I343" t="n">
        <v>0</v>
      </c>
      <c r="J343" t="n">
        <v>0</v>
      </c>
      <c r="K343" t="n">
        <v>0</v>
      </c>
      <c r="L343" t="n">
        <v>0</v>
      </c>
      <c r="M343" t="n">
        <v>0</v>
      </c>
      <c r="N343" t="n">
        <v>0</v>
      </c>
      <c r="O343" t="n">
        <v>0</v>
      </c>
      <c r="P343" t="n">
        <v>0</v>
      </c>
      <c r="Q343" t="n">
        <v>0</v>
      </c>
      <c r="R343" s="2" t="inlineStr"/>
    </row>
    <row r="344" ht="15" customHeight="1">
      <c r="A344" t="inlineStr">
        <is>
          <t>A 13348-2023</t>
        </is>
      </c>
      <c r="B344" s="1" t="n">
        <v>45005</v>
      </c>
      <c r="C344" s="1" t="n">
        <v>46187</v>
      </c>
      <c r="D344" t="inlineStr">
        <is>
          <t>VÄSTERBOTTENS LÄN</t>
        </is>
      </c>
      <c r="E344" t="inlineStr">
        <is>
          <t>ÅSELE</t>
        </is>
      </c>
      <c r="G344" t="n">
        <v>4.5</v>
      </c>
      <c r="H344" t="n">
        <v>0</v>
      </c>
      <c r="I344" t="n">
        <v>0</v>
      </c>
      <c r="J344" t="n">
        <v>0</v>
      </c>
      <c r="K344" t="n">
        <v>0</v>
      </c>
      <c r="L344" t="n">
        <v>0</v>
      </c>
      <c r="M344" t="n">
        <v>0</v>
      </c>
      <c r="N344" t="n">
        <v>0</v>
      </c>
      <c r="O344" t="n">
        <v>0</v>
      </c>
      <c r="P344" t="n">
        <v>0</v>
      </c>
      <c r="Q344" t="n">
        <v>0</v>
      </c>
      <c r="R344" s="2" t="inlineStr"/>
    </row>
    <row r="345" ht="15" customHeight="1">
      <c r="A345" t="inlineStr">
        <is>
          <t>A 48209-2024</t>
        </is>
      </c>
      <c r="B345" s="1" t="n">
        <v>45590</v>
      </c>
      <c r="C345" s="1" t="n">
        <v>46187</v>
      </c>
      <c r="D345" t="inlineStr">
        <is>
          <t>VÄSTERBOTTENS LÄN</t>
        </is>
      </c>
      <c r="E345" t="inlineStr">
        <is>
          <t>ÅSELE</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51544-2024</t>
        </is>
      </c>
      <c r="B346" s="1" t="n">
        <v>45604</v>
      </c>
      <c r="C346" s="1" t="n">
        <v>46187</v>
      </c>
      <c r="D346" t="inlineStr">
        <is>
          <t>VÄSTERBOTTENS LÄN</t>
        </is>
      </c>
      <c r="E346" t="inlineStr">
        <is>
          <t>ÅSELE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20384-2025</t>
        </is>
      </c>
      <c r="B347" s="1" t="n">
        <v>45775.44128472222</v>
      </c>
      <c r="C347" s="1" t="n">
        <v>46187</v>
      </c>
      <c r="D347" t="inlineStr">
        <is>
          <t>VÄSTERBOTTENS LÄN</t>
        </is>
      </c>
      <c r="E347" t="inlineStr">
        <is>
          <t>ÅSELE</t>
        </is>
      </c>
      <c r="G347" t="n">
        <v>12.6</v>
      </c>
      <c r="H347" t="n">
        <v>0</v>
      </c>
      <c r="I347" t="n">
        <v>0</v>
      </c>
      <c r="J347" t="n">
        <v>0</v>
      </c>
      <c r="K347" t="n">
        <v>0</v>
      </c>
      <c r="L347" t="n">
        <v>0</v>
      </c>
      <c r="M347" t="n">
        <v>0</v>
      </c>
      <c r="N347" t="n">
        <v>0</v>
      </c>
      <c r="O347" t="n">
        <v>0</v>
      </c>
      <c r="P347" t="n">
        <v>0</v>
      </c>
      <c r="Q347" t="n">
        <v>0</v>
      </c>
      <c r="R347" s="2" t="inlineStr"/>
    </row>
    <row r="348" ht="15" customHeight="1">
      <c r="A348" t="inlineStr">
        <is>
          <t>A 48206-2024</t>
        </is>
      </c>
      <c r="B348" s="1" t="n">
        <v>45590</v>
      </c>
      <c r="C348" s="1" t="n">
        <v>46187</v>
      </c>
      <c r="D348" t="inlineStr">
        <is>
          <t>VÄSTERBOTTENS LÄN</t>
        </is>
      </c>
      <c r="E348" t="inlineStr">
        <is>
          <t>ÅSELE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50539-2022</t>
        </is>
      </c>
      <c r="B349" s="1" t="n">
        <v>44866</v>
      </c>
      <c r="C349" s="1" t="n">
        <v>46187</v>
      </c>
      <c r="D349" t="inlineStr">
        <is>
          <t>VÄSTERBOTTENS LÄN</t>
        </is>
      </c>
      <c r="E349" t="inlineStr">
        <is>
          <t>ÅSELE</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61800-2023</t>
        </is>
      </c>
      <c r="B350" s="1" t="n">
        <v>45265.95873842593</v>
      </c>
      <c r="C350" s="1" t="n">
        <v>46187</v>
      </c>
      <c r="D350" t="inlineStr">
        <is>
          <t>VÄSTERBOTTENS LÄN</t>
        </is>
      </c>
      <c r="E350" t="inlineStr">
        <is>
          <t>ÅSELE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61801-2023</t>
        </is>
      </c>
      <c r="B351" s="1" t="n">
        <v>45265.95881944444</v>
      </c>
      <c r="C351" s="1" t="n">
        <v>46187</v>
      </c>
      <c r="D351" t="inlineStr">
        <is>
          <t>VÄSTERBOTTENS LÄN</t>
        </is>
      </c>
      <c r="E351" t="inlineStr">
        <is>
          <t>ÅSELE</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4311-2026</t>
        </is>
      </c>
      <c r="B352" s="1" t="n">
        <v>46045.44380787037</v>
      </c>
      <c r="C352" s="1" t="n">
        <v>46187</v>
      </c>
      <c r="D352" t="inlineStr">
        <is>
          <t>VÄSTERBOTTENS LÄN</t>
        </is>
      </c>
      <c r="E352" t="inlineStr">
        <is>
          <t>ÅSELE</t>
        </is>
      </c>
      <c r="G352" t="n">
        <v>7.9</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46187</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22078-2023</t>
        </is>
      </c>
      <c r="B354" s="1" t="n">
        <v>45068</v>
      </c>
      <c r="C354" s="1" t="n">
        <v>46187</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25553-2024</t>
        </is>
      </c>
      <c r="B355" s="1" t="n">
        <v>45463.57846064815</v>
      </c>
      <c r="C355" s="1" t="n">
        <v>46187</v>
      </c>
      <c r="D355" t="inlineStr">
        <is>
          <t>VÄSTERBOTTENS LÄN</t>
        </is>
      </c>
      <c r="E355" t="inlineStr">
        <is>
          <t>ÅSELE</t>
        </is>
      </c>
      <c r="F355" t="inlineStr">
        <is>
          <t>Sveaskog</t>
        </is>
      </c>
      <c r="G355" t="n">
        <v>13.5</v>
      </c>
      <c r="H355" t="n">
        <v>0</v>
      </c>
      <c r="I355" t="n">
        <v>0</v>
      </c>
      <c r="J355" t="n">
        <v>0</v>
      </c>
      <c r="K355" t="n">
        <v>0</v>
      </c>
      <c r="L355" t="n">
        <v>0</v>
      </c>
      <c r="M355" t="n">
        <v>0</v>
      </c>
      <c r="N355" t="n">
        <v>0</v>
      </c>
      <c r="O355" t="n">
        <v>0</v>
      </c>
      <c r="P355" t="n">
        <v>0</v>
      </c>
      <c r="Q355" t="n">
        <v>0</v>
      </c>
      <c r="R355" s="2" t="inlineStr"/>
    </row>
    <row r="356" ht="15" customHeight="1">
      <c r="A356" t="inlineStr">
        <is>
          <t>A 5008-2026</t>
        </is>
      </c>
      <c r="B356" s="1" t="n">
        <v>46049.42824074074</v>
      </c>
      <c r="C356" s="1" t="n">
        <v>46187</v>
      </c>
      <c r="D356" t="inlineStr">
        <is>
          <t>VÄSTERBOTTENS LÄN</t>
        </is>
      </c>
      <c r="E356" t="inlineStr">
        <is>
          <t>ÅSELE</t>
        </is>
      </c>
      <c r="F356" t="inlineStr">
        <is>
          <t>SCA</t>
        </is>
      </c>
      <c r="G356" t="n">
        <v>6.4</v>
      </c>
      <c r="H356" t="n">
        <v>0</v>
      </c>
      <c r="I356" t="n">
        <v>0</v>
      </c>
      <c r="J356" t="n">
        <v>0</v>
      </c>
      <c r="K356" t="n">
        <v>0</v>
      </c>
      <c r="L356" t="n">
        <v>0</v>
      </c>
      <c r="M356" t="n">
        <v>0</v>
      </c>
      <c r="N356" t="n">
        <v>0</v>
      </c>
      <c r="O356" t="n">
        <v>0</v>
      </c>
      <c r="P356" t="n">
        <v>0</v>
      </c>
      <c r="Q356" t="n">
        <v>0</v>
      </c>
      <c r="R356" s="2" t="inlineStr"/>
    </row>
    <row r="357" ht="15" customHeight="1">
      <c r="A357" t="inlineStr">
        <is>
          <t>A 48440-2023</t>
        </is>
      </c>
      <c r="B357" s="1" t="n">
        <v>45205</v>
      </c>
      <c r="C357" s="1" t="n">
        <v>46187</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61351-2024</t>
        </is>
      </c>
      <c r="B358" s="1" t="n">
        <v>45646</v>
      </c>
      <c r="C358" s="1" t="n">
        <v>46187</v>
      </c>
      <c r="D358" t="inlineStr">
        <is>
          <t>VÄSTERBOTTENS LÄN</t>
        </is>
      </c>
      <c r="E358" t="inlineStr">
        <is>
          <t>ÅSELE</t>
        </is>
      </c>
      <c r="G358" t="n">
        <v>9.6</v>
      </c>
      <c r="H358" t="n">
        <v>0</v>
      </c>
      <c r="I358" t="n">
        <v>0</v>
      </c>
      <c r="J358" t="n">
        <v>0</v>
      </c>
      <c r="K358" t="n">
        <v>0</v>
      </c>
      <c r="L358" t="n">
        <v>0</v>
      </c>
      <c r="M358" t="n">
        <v>0</v>
      </c>
      <c r="N358" t="n">
        <v>0</v>
      </c>
      <c r="O358" t="n">
        <v>0</v>
      </c>
      <c r="P358" t="n">
        <v>0</v>
      </c>
      <c r="Q358" t="n">
        <v>0</v>
      </c>
      <c r="R358" s="2" t="inlineStr"/>
    </row>
    <row r="359" ht="15" customHeight="1">
      <c r="A359" t="inlineStr">
        <is>
          <t>A 5145-2026</t>
        </is>
      </c>
      <c r="B359" s="1" t="n">
        <v>46048</v>
      </c>
      <c r="C359" s="1" t="n">
        <v>46187</v>
      </c>
      <c r="D359" t="inlineStr">
        <is>
          <t>VÄSTERBOTTENS LÄN</t>
        </is>
      </c>
      <c r="E359" t="inlineStr">
        <is>
          <t>ÅSELE</t>
        </is>
      </c>
      <c r="G359" t="n">
        <v>0.7</v>
      </c>
      <c r="H359" t="n">
        <v>0</v>
      </c>
      <c r="I359" t="n">
        <v>0</v>
      </c>
      <c r="J359" t="n">
        <v>0</v>
      </c>
      <c r="K359" t="n">
        <v>0</v>
      </c>
      <c r="L359" t="n">
        <v>0</v>
      </c>
      <c r="M359" t="n">
        <v>0</v>
      </c>
      <c r="N359" t="n">
        <v>0</v>
      </c>
      <c r="O359" t="n">
        <v>0</v>
      </c>
      <c r="P359" t="n">
        <v>0</v>
      </c>
      <c r="Q359" t="n">
        <v>0</v>
      </c>
      <c r="R359" s="2" t="inlineStr"/>
    </row>
    <row r="360" ht="15" customHeight="1">
      <c r="A360" t="inlineStr">
        <is>
          <t>A 5604-2026</t>
        </is>
      </c>
      <c r="B360" s="1" t="n">
        <v>46051.3494212963</v>
      </c>
      <c r="C360" s="1" t="n">
        <v>46187</v>
      </c>
      <c r="D360" t="inlineStr">
        <is>
          <t>VÄSTERBOTTENS LÄN</t>
        </is>
      </c>
      <c r="E360" t="inlineStr">
        <is>
          <t>ÅSELE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3063-2024</t>
        </is>
      </c>
      <c r="B361" s="1" t="n">
        <v>45316</v>
      </c>
      <c r="C361" s="1" t="n">
        <v>46187</v>
      </c>
      <c r="D361" t="inlineStr">
        <is>
          <t>VÄSTERBOTTENS LÄN</t>
        </is>
      </c>
      <c r="E361" t="inlineStr">
        <is>
          <t>ÅSELE</t>
        </is>
      </c>
      <c r="G361" t="n">
        <v>0.5</v>
      </c>
      <c r="H361" t="n">
        <v>0</v>
      </c>
      <c r="I361" t="n">
        <v>0</v>
      </c>
      <c r="J361" t="n">
        <v>0</v>
      </c>
      <c r="K361" t="n">
        <v>0</v>
      </c>
      <c r="L361" t="n">
        <v>0</v>
      </c>
      <c r="M361" t="n">
        <v>0</v>
      </c>
      <c r="N361" t="n">
        <v>0</v>
      </c>
      <c r="O361" t="n">
        <v>0</v>
      </c>
      <c r="P361" t="n">
        <v>0</v>
      </c>
      <c r="Q361" t="n">
        <v>0</v>
      </c>
      <c r="R361" s="2" t="inlineStr"/>
    </row>
    <row r="362" ht="15" customHeight="1">
      <c r="A362" t="inlineStr">
        <is>
          <t>A 33219-2021</t>
        </is>
      </c>
      <c r="B362" s="1" t="n">
        <v>44376.93453703704</v>
      </c>
      <c r="C362" s="1" t="n">
        <v>46187</v>
      </c>
      <c r="D362" t="inlineStr">
        <is>
          <t>VÄSTERBOTTENS LÄN</t>
        </is>
      </c>
      <c r="E362" t="inlineStr">
        <is>
          <t>ÅSELE</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5613-2026</t>
        </is>
      </c>
      <c r="B363" s="1" t="n">
        <v>46051.36532407408</v>
      </c>
      <c r="C363" s="1" t="n">
        <v>46187</v>
      </c>
      <c r="D363" t="inlineStr">
        <is>
          <t>VÄSTERBOTTENS LÄN</t>
        </is>
      </c>
      <c r="E363" t="inlineStr">
        <is>
          <t>ÅSELE</t>
        </is>
      </c>
      <c r="G363" t="n">
        <v>5</v>
      </c>
      <c r="H363" t="n">
        <v>0</v>
      </c>
      <c r="I363" t="n">
        <v>0</v>
      </c>
      <c r="J363" t="n">
        <v>0</v>
      </c>
      <c r="K363" t="n">
        <v>0</v>
      </c>
      <c r="L363" t="n">
        <v>0</v>
      </c>
      <c r="M363" t="n">
        <v>0</v>
      </c>
      <c r="N363" t="n">
        <v>0</v>
      </c>
      <c r="O363" t="n">
        <v>0</v>
      </c>
      <c r="P363" t="n">
        <v>0</v>
      </c>
      <c r="Q363" t="n">
        <v>0</v>
      </c>
      <c r="R363" s="2" t="inlineStr"/>
    </row>
    <row r="364" ht="15" customHeight="1">
      <c r="A364" t="inlineStr">
        <is>
          <t>A 5614-2026</t>
        </is>
      </c>
      <c r="B364" s="1" t="n">
        <v>46051.36545138889</v>
      </c>
      <c r="C364" s="1" t="n">
        <v>46187</v>
      </c>
      <c r="D364" t="inlineStr">
        <is>
          <t>VÄSTERBOTTENS LÄN</t>
        </is>
      </c>
      <c r="E364" t="inlineStr">
        <is>
          <t>ÅSELE</t>
        </is>
      </c>
      <c r="G364" t="n">
        <v>2.7</v>
      </c>
      <c r="H364" t="n">
        <v>0</v>
      </c>
      <c r="I364" t="n">
        <v>0</v>
      </c>
      <c r="J364" t="n">
        <v>0</v>
      </c>
      <c r="K364" t="n">
        <v>0</v>
      </c>
      <c r="L364" t="n">
        <v>0</v>
      </c>
      <c r="M364" t="n">
        <v>0</v>
      </c>
      <c r="N364" t="n">
        <v>0</v>
      </c>
      <c r="O364" t="n">
        <v>0</v>
      </c>
      <c r="P364" t="n">
        <v>0</v>
      </c>
      <c r="Q364" t="n">
        <v>0</v>
      </c>
      <c r="R364" s="2" t="inlineStr"/>
    </row>
    <row r="365" ht="15" customHeight="1">
      <c r="A365" t="inlineStr">
        <is>
          <t>A 61985-2023</t>
        </is>
      </c>
      <c r="B365" s="1" t="n">
        <v>45266.6125</v>
      </c>
      <c r="C365" s="1" t="n">
        <v>46187</v>
      </c>
      <c r="D365" t="inlineStr">
        <is>
          <t>VÄSTERBOTTENS LÄN</t>
        </is>
      </c>
      <c r="E365" t="inlineStr">
        <is>
          <t>ÅSELE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6335-2026</t>
        </is>
      </c>
      <c r="B366" s="1" t="n">
        <v>46055.59488425926</v>
      </c>
      <c r="C366" s="1" t="n">
        <v>46187</v>
      </c>
      <c r="D366" t="inlineStr">
        <is>
          <t>VÄSTERBOTTENS LÄN</t>
        </is>
      </c>
      <c r="E366" t="inlineStr">
        <is>
          <t>ÅSELE</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48488-2023</t>
        </is>
      </c>
      <c r="B367" s="1" t="n">
        <v>45206</v>
      </c>
      <c r="C367" s="1" t="n">
        <v>46187</v>
      </c>
      <c r="D367" t="inlineStr">
        <is>
          <t>VÄSTERBOTTENS LÄN</t>
        </is>
      </c>
      <c r="E367" t="inlineStr">
        <is>
          <t>ÅSELE</t>
        </is>
      </c>
      <c r="F367" t="inlineStr">
        <is>
          <t>SCA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52103-2023</t>
        </is>
      </c>
      <c r="B368" s="1" t="n">
        <v>45223</v>
      </c>
      <c r="C368" s="1" t="n">
        <v>46187</v>
      </c>
      <c r="D368" t="inlineStr">
        <is>
          <t>VÄSTERBOTTENS LÄN</t>
        </is>
      </c>
      <c r="E368" t="inlineStr">
        <is>
          <t>ÅSELE</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6185-2026</t>
        </is>
      </c>
      <c r="B369" s="1" t="n">
        <v>46055.36503472222</v>
      </c>
      <c r="C369" s="1" t="n">
        <v>46187</v>
      </c>
      <c r="D369" t="inlineStr">
        <is>
          <t>VÄSTERBOTTENS LÄN</t>
        </is>
      </c>
      <c r="E369" t="inlineStr">
        <is>
          <t>ÅSELE</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46187</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60873-2022</t>
        </is>
      </c>
      <c r="B371" s="1" t="n">
        <v>44908</v>
      </c>
      <c r="C371" s="1" t="n">
        <v>46187</v>
      </c>
      <c r="D371" t="inlineStr">
        <is>
          <t>VÄSTERBOTTENS LÄN</t>
        </is>
      </c>
      <c r="E371" t="inlineStr">
        <is>
          <t>ÅSELE</t>
        </is>
      </c>
      <c r="G371" t="n">
        <v>1.6</v>
      </c>
      <c r="H371" t="n">
        <v>0</v>
      </c>
      <c r="I371" t="n">
        <v>0</v>
      </c>
      <c r="J371" t="n">
        <v>0</v>
      </c>
      <c r="K371" t="n">
        <v>0</v>
      </c>
      <c r="L371" t="n">
        <v>0</v>
      </c>
      <c r="M371" t="n">
        <v>0</v>
      </c>
      <c r="N371" t="n">
        <v>0</v>
      </c>
      <c r="O371" t="n">
        <v>0</v>
      </c>
      <c r="P371" t="n">
        <v>0</v>
      </c>
      <c r="Q371" t="n">
        <v>0</v>
      </c>
      <c r="R371" s="2" t="inlineStr"/>
    </row>
    <row r="372" ht="15" customHeight="1">
      <c r="A372" t="inlineStr">
        <is>
          <t>A 25713-2024</t>
        </is>
      </c>
      <c r="B372" s="1" t="n">
        <v>45463</v>
      </c>
      <c r="C372" s="1" t="n">
        <v>46187</v>
      </c>
      <c r="D372" t="inlineStr">
        <is>
          <t>VÄSTERBOTTENS LÄN</t>
        </is>
      </c>
      <c r="E372" t="inlineStr">
        <is>
          <t>ÅSELE</t>
        </is>
      </c>
      <c r="F372" t="inlineStr">
        <is>
          <t>SCA</t>
        </is>
      </c>
      <c r="G372" t="n">
        <v>7.7</v>
      </c>
      <c r="H372" t="n">
        <v>0</v>
      </c>
      <c r="I372" t="n">
        <v>0</v>
      </c>
      <c r="J372" t="n">
        <v>0</v>
      </c>
      <c r="K372" t="n">
        <v>0</v>
      </c>
      <c r="L372" t="n">
        <v>0</v>
      </c>
      <c r="M372" t="n">
        <v>0</v>
      </c>
      <c r="N372" t="n">
        <v>0</v>
      </c>
      <c r="O372" t="n">
        <v>0</v>
      </c>
      <c r="P372" t="n">
        <v>0</v>
      </c>
      <c r="Q372" t="n">
        <v>0</v>
      </c>
      <c r="R372" s="2" t="inlineStr"/>
    </row>
    <row r="373" ht="15" customHeight="1">
      <c r="A373" t="inlineStr">
        <is>
          <t>A 6902-2026</t>
        </is>
      </c>
      <c r="B373" s="1" t="n">
        <v>46057.49060185185</v>
      </c>
      <c r="C373" s="1" t="n">
        <v>46187</v>
      </c>
      <c r="D373" t="inlineStr">
        <is>
          <t>VÄSTERBOTTENS LÄN</t>
        </is>
      </c>
      <c r="E373" t="inlineStr">
        <is>
          <t>ÅSELE</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6553-2026</t>
        </is>
      </c>
      <c r="B374" s="1" t="n">
        <v>46056.42962962963</v>
      </c>
      <c r="C374" s="1" t="n">
        <v>46187</v>
      </c>
      <c r="D374" t="inlineStr">
        <is>
          <t>VÄSTERBOTTENS LÄN</t>
        </is>
      </c>
      <c r="E374" t="inlineStr">
        <is>
          <t>ÅSELE</t>
        </is>
      </c>
      <c r="G374" t="n">
        <v>2.5</v>
      </c>
      <c r="H374" t="n">
        <v>0</v>
      </c>
      <c r="I374" t="n">
        <v>0</v>
      </c>
      <c r="J374" t="n">
        <v>0</v>
      </c>
      <c r="K374" t="n">
        <v>0</v>
      </c>
      <c r="L374" t="n">
        <v>0</v>
      </c>
      <c r="M374" t="n">
        <v>0</v>
      </c>
      <c r="N374" t="n">
        <v>0</v>
      </c>
      <c r="O374" t="n">
        <v>0</v>
      </c>
      <c r="P374" t="n">
        <v>0</v>
      </c>
      <c r="Q374" t="n">
        <v>0</v>
      </c>
      <c r="R374" s="2" t="inlineStr"/>
    </row>
    <row r="375" ht="15" customHeight="1">
      <c r="A375" t="inlineStr">
        <is>
          <t>A 37576-2024</t>
        </is>
      </c>
      <c r="B375" s="1" t="n">
        <v>45541</v>
      </c>
      <c r="C375" s="1" t="n">
        <v>46187</v>
      </c>
      <c r="D375" t="inlineStr">
        <is>
          <t>VÄSTERBOTTENS LÄN</t>
        </is>
      </c>
      <c r="E375" t="inlineStr">
        <is>
          <t>ÅSELE</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6565-2026</t>
        </is>
      </c>
      <c r="B376" s="1" t="n">
        <v>46056.4393287037</v>
      </c>
      <c r="C376" s="1" t="n">
        <v>46187</v>
      </c>
      <c r="D376" t="inlineStr">
        <is>
          <t>VÄSTERBOTTENS LÄN</t>
        </is>
      </c>
      <c r="E376" t="inlineStr">
        <is>
          <t>ÅSELE</t>
        </is>
      </c>
      <c r="G376" t="n">
        <v>2.3</v>
      </c>
      <c r="H376" t="n">
        <v>0</v>
      </c>
      <c r="I376" t="n">
        <v>0</v>
      </c>
      <c r="J376" t="n">
        <v>0</v>
      </c>
      <c r="K376" t="n">
        <v>0</v>
      </c>
      <c r="L376" t="n">
        <v>0</v>
      </c>
      <c r="M376" t="n">
        <v>0</v>
      </c>
      <c r="N376" t="n">
        <v>0</v>
      </c>
      <c r="O376" t="n">
        <v>0</v>
      </c>
      <c r="P376" t="n">
        <v>0</v>
      </c>
      <c r="Q376" t="n">
        <v>0</v>
      </c>
      <c r="R376" s="2" t="inlineStr"/>
    </row>
    <row r="377" ht="15" customHeight="1">
      <c r="A377" t="inlineStr">
        <is>
          <t>A 27722-2025</t>
        </is>
      </c>
      <c r="B377" s="1" t="n">
        <v>45814</v>
      </c>
      <c r="C377" s="1" t="n">
        <v>46187</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6911-2026</t>
        </is>
      </c>
      <c r="B378" s="1" t="n">
        <v>46057.51104166666</v>
      </c>
      <c r="C378" s="1" t="n">
        <v>46187</v>
      </c>
      <c r="D378" t="inlineStr">
        <is>
          <t>VÄSTERBOTTENS LÄN</t>
        </is>
      </c>
      <c r="E378" t="inlineStr">
        <is>
          <t>ÅSELE</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31541-2024</t>
        </is>
      </c>
      <c r="B379" s="1" t="n">
        <v>45505</v>
      </c>
      <c r="C379" s="1" t="n">
        <v>46187</v>
      </c>
      <c r="D379" t="inlineStr">
        <is>
          <t>VÄSTERBOTTENS LÄN</t>
        </is>
      </c>
      <c r="E379" t="inlineStr">
        <is>
          <t>ÅSELE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6900-2026</t>
        </is>
      </c>
      <c r="B380" s="1" t="n">
        <v>46057.49017361111</v>
      </c>
      <c r="C380" s="1" t="n">
        <v>46187</v>
      </c>
      <c r="D380" t="inlineStr">
        <is>
          <t>VÄSTERBOTTENS LÄN</t>
        </is>
      </c>
      <c r="E380" t="inlineStr">
        <is>
          <t>ÅSELE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6903-2026</t>
        </is>
      </c>
      <c r="B381" s="1" t="n">
        <v>46057.490625</v>
      </c>
      <c r="C381" s="1" t="n">
        <v>46187</v>
      </c>
      <c r="D381" t="inlineStr">
        <is>
          <t>VÄSTERBOTTENS LÄN</t>
        </is>
      </c>
      <c r="E381" t="inlineStr">
        <is>
          <t>ÅSELE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28066-2025</t>
        </is>
      </c>
      <c r="B382" s="1" t="n">
        <v>45817</v>
      </c>
      <c r="C382" s="1" t="n">
        <v>46187</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27720-2025</t>
        </is>
      </c>
      <c r="B383" s="1" t="n">
        <v>45814</v>
      </c>
      <c r="C383" s="1" t="n">
        <v>46187</v>
      </c>
      <c r="D383" t="inlineStr">
        <is>
          <t>VÄSTERBOTTENS LÄN</t>
        </is>
      </c>
      <c r="E383" t="inlineStr">
        <is>
          <t>ÅSELE</t>
        </is>
      </c>
      <c r="G383" t="n">
        <v>4.7</v>
      </c>
      <c r="H383" t="n">
        <v>0</v>
      </c>
      <c r="I383" t="n">
        <v>0</v>
      </c>
      <c r="J383" t="n">
        <v>0</v>
      </c>
      <c r="K383" t="n">
        <v>0</v>
      </c>
      <c r="L383" t="n">
        <v>0</v>
      </c>
      <c r="M383" t="n">
        <v>0</v>
      </c>
      <c r="N383" t="n">
        <v>0</v>
      </c>
      <c r="O383" t="n">
        <v>0</v>
      </c>
      <c r="P383" t="n">
        <v>0</v>
      </c>
      <c r="Q383" t="n">
        <v>0</v>
      </c>
      <c r="R383" s="2" t="inlineStr"/>
    </row>
    <row r="384" ht="15" customHeight="1">
      <c r="A384" t="inlineStr">
        <is>
          <t>A 6888-2026</t>
        </is>
      </c>
      <c r="B384" s="1" t="n">
        <v>46057.46924768519</v>
      </c>
      <c r="C384" s="1" t="n">
        <v>46187</v>
      </c>
      <c r="D384" t="inlineStr">
        <is>
          <t>VÄSTERBOTTENS LÄN</t>
        </is>
      </c>
      <c r="E384" t="inlineStr">
        <is>
          <t>ÅSELE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6910-2026</t>
        </is>
      </c>
      <c r="B385" s="1" t="n">
        <v>46057.51086805556</v>
      </c>
      <c r="C385" s="1" t="n">
        <v>46187</v>
      </c>
      <c r="D385" t="inlineStr">
        <is>
          <t>VÄSTERBOTTENS LÄN</t>
        </is>
      </c>
      <c r="E385" t="inlineStr">
        <is>
          <t>ÅSELE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27721-2025</t>
        </is>
      </c>
      <c r="B386" s="1" t="n">
        <v>45814</v>
      </c>
      <c r="C386" s="1" t="n">
        <v>46187</v>
      </c>
      <c r="D386" t="inlineStr">
        <is>
          <t>VÄSTERBOTTENS LÄN</t>
        </is>
      </c>
      <c r="E386" t="inlineStr">
        <is>
          <t>ÅSELE</t>
        </is>
      </c>
      <c r="G386" t="n">
        <v>3.7</v>
      </c>
      <c r="H386" t="n">
        <v>0</v>
      </c>
      <c r="I386" t="n">
        <v>0</v>
      </c>
      <c r="J386" t="n">
        <v>0</v>
      </c>
      <c r="K386" t="n">
        <v>0</v>
      </c>
      <c r="L386" t="n">
        <v>0</v>
      </c>
      <c r="M386" t="n">
        <v>0</v>
      </c>
      <c r="N386" t="n">
        <v>0</v>
      </c>
      <c r="O386" t="n">
        <v>0</v>
      </c>
      <c r="P386" t="n">
        <v>0</v>
      </c>
      <c r="Q386" t="n">
        <v>0</v>
      </c>
      <c r="R386" s="2" t="inlineStr"/>
    </row>
    <row r="387" ht="15" customHeight="1">
      <c r="A387" t="inlineStr">
        <is>
          <t>A 27723-2025</t>
        </is>
      </c>
      <c r="B387" s="1" t="n">
        <v>45814.39700231481</v>
      </c>
      <c r="C387" s="1" t="n">
        <v>46187</v>
      </c>
      <c r="D387" t="inlineStr">
        <is>
          <t>VÄSTERBOTTENS LÄN</t>
        </is>
      </c>
      <c r="E387" t="inlineStr">
        <is>
          <t>ÅSELE</t>
        </is>
      </c>
      <c r="G387" t="n">
        <v>3.6</v>
      </c>
      <c r="H387" t="n">
        <v>0</v>
      </c>
      <c r="I387" t="n">
        <v>0</v>
      </c>
      <c r="J387" t="n">
        <v>0</v>
      </c>
      <c r="K387" t="n">
        <v>0</v>
      </c>
      <c r="L387" t="n">
        <v>0</v>
      </c>
      <c r="M387" t="n">
        <v>0</v>
      </c>
      <c r="N387" t="n">
        <v>0</v>
      </c>
      <c r="O387" t="n">
        <v>0</v>
      </c>
      <c r="P387" t="n">
        <v>0</v>
      </c>
      <c r="Q387" t="n">
        <v>0</v>
      </c>
      <c r="R387" s="2" t="inlineStr"/>
    </row>
    <row r="388" ht="15" customHeight="1">
      <c r="A388" t="inlineStr">
        <is>
          <t>A 31193-2023</t>
        </is>
      </c>
      <c r="B388" s="1" t="n">
        <v>45113.94976851852</v>
      </c>
      <c r="C388" s="1" t="n">
        <v>46187</v>
      </c>
      <c r="D388" t="inlineStr">
        <is>
          <t>VÄSTERBOTTENS LÄN</t>
        </is>
      </c>
      <c r="E388" t="inlineStr">
        <is>
          <t>ÅSELE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7029-2026</t>
        </is>
      </c>
      <c r="B389" s="1" t="n">
        <v>46057.67790509259</v>
      </c>
      <c r="C389" s="1" t="n">
        <v>46187</v>
      </c>
      <c r="D389" t="inlineStr">
        <is>
          <t>VÄSTERBOTTENS LÄN</t>
        </is>
      </c>
      <c r="E389" t="inlineStr">
        <is>
          <t>ÅSELE</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28495-2025</t>
        </is>
      </c>
      <c r="B390" s="1" t="n">
        <v>45818</v>
      </c>
      <c r="C390" s="1" t="n">
        <v>46187</v>
      </c>
      <c r="D390" t="inlineStr">
        <is>
          <t>VÄSTERBOTTENS LÄN</t>
        </is>
      </c>
      <c r="E390" t="inlineStr">
        <is>
          <t>ÅSELE</t>
        </is>
      </c>
      <c r="G390" t="n">
        <v>37.6</v>
      </c>
      <c r="H390" t="n">
        <v>0</v>
      </c>
      <c r="I390" t="n">
        <v>0</v>
      </c>
      <c r="J390" t="n">
        <v>0</v>
      </c>
      <c r="K390" t="n">
        <v>0</v>
      </c>
      <c r="L390" t="n">
        <v>0</v>
      </c>
      <c r="M390" t="n">
        <v>0</v>
      </c>
      <c r="N390" t="n">
        <v>0</v>
      </c>
      <c r="O390" t="n">
        <v>0</v>
      </c>
      <c r="P390" t="n">
        <v>0</v>
      </c>
      <c r="Q390" t="n">
        <v>0</v>
      </c>
      <c r="R390" s="2" t="inlineStr"/>
    </row>
    <row r="391" ht="15" customHeight="1">
      <c r="A391" t="inlineStr">
        <is>
          <t>A 4093-2023</t>
        </is>
      </c>
      <c r="B391" s="1" t="n">
        <v>44952</v>
      </c>
      <c r="C391" s="1" t="n">
        <v>46187</v>
      </c>
      <c r="D391" t="inlineStr">
        <is>
          <t>VÄSTERBOTTENS LÄN</t>
        </is>
      </c>
      <c r="E391" t="inlineStr">
        <is>
          <t>ÅSELE</t>
        </is>
      </c>
      <c r="G391" t="n">
        <v>1.6</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46187</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28929-2025</t>
        </is>
      </c>
      <c r="B393" s="1" t="n">
        <v>45820.6775</v>
      </c>
      <c r="C393" s="1" t="n">
        <v>46187</v>
      </c>
      <c r="D393" t="inlineStr">
        <is>
          <t>VÄSTERBOTTENS LÄN</t>
        </is>
      </c>
      <c r="E393" t="inlineStr">
        <is>
          <t>ÅSELE</t>
        </is>
      </c>
      <c r="F393" t="inlineStr">
        <is>
          <t>SCA</t>
        </is>
      </c>
      <c r="G393" t="n">
        <v>11.4</v>
      </c>
      <c r="H393" t="n">
        <v>0</v>
      </c>
      <c r="I393" t="n">
        <v>0</v>
      </c>
      <c r="J393" t="n">
        <v>0</v>
      </c>
      <c r="K393" t="n">
        <v>0</v>
      </c>
      <c r="L393" t="n">
        <v>0</v>
      </c>
      <c r="M393" t="n">
        <v>0</v>
      </c>
      <c r="N393" t="n">
        <v>0</v>
      </c>
      <c r="O393" t="n">
        <v>0</v>
      </c>
      <c r="P393" t="n">
        <v>0</v>
      </c>
      <c r="Q393" t="n">
        <v>0</v>
      </c>
      <c r="R393" s="2" t="inlineStr"/>
    </row>
    <row r="394" ht="15" customHeight="1">
      <c r="A394" t="inlineStr">
        <is>
          <t>A 28581-2025</t>
        </is>
      </c>
      <c r="B394" s="1" t="n">
        <v>45819</v>
      </c>
      <c r="C394" s="1" t="n">
        <v>46187</v>
      </c>
      <c r="D394" t="inlineStr">
        <is>
          <t>VÄSTERBOTTENS LÄN</t>
        </is>
      </c>
      <c r="E394" t="inlineStr">
        <is>
          <t>ÅSELE</t>
        </is>
      </c>
      <c r="G394" t="n">
        <v>3.9</v>
      </c>
      <c r="H394" t="n">
        <v>0</v>
      </c>
      <c r="I394" t="n">
        <v>0</v>
      </c>
      <c r="J394" t="n">
        <v>0</v>
      </c>
      <c r="K394" t="n">
        <v>0</v>
      </c>
      <c r="L394" t="n">
        <v>0</v>
      </c>
      <c r="M394" t="n">
        <v>0</v>
      </c>
      <c r="N394" t="n">
        <v>0</v>
      </c>
      <c r="O394" t="n">
        <v>0</v>
      </c>
      <c r="P394" t="n">
        <v>0</v>
      </c>
      <c r="Q394" t="n">
        <v>0</v>
      </c>
      <c r="R394" s="2" t="inlineStr"/>
    </row>
    <row r="395" ht="15" customHeight="1">
      <c r="A395" t="inlineStr">
        <is>
          <t>A 29531-2025</t>
        </is>
      </c>
      <c r="B395" s="1" t="n">
        <v>45825.34444444445</v>
      </c>
      <c r="C395" s="1" t="n">
        <v>46187</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28977-2024</t>
        </is>
      </c>
      <c r="B396" s="1" t="n">
        <v>45481.46547453704</v>
      </c>
      <c r="C396" s="1" t="n">
        <v>46187</v>
      </c>
      <c r="D396" t="inlineStr">
        <is>
          <t>VÄSTERBOTTENS LÄN</t>
        </is>
      </c>
      <c r="E396" t="inlineStr">
        <is>
          <t>ÅSELE</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46693-2023</t>
        </is>
      </c>
      <c r="B397" s="1" t="n">
        <v>45198</v>
      </c>
      <c r="C397" s="1" t="n">
        <v>46187</v>
      </c>
      <c r="D397" t="inlineStr">
        <is>
          <t>VÄSTERBOTTENS LÄN</t>
        </is>
      </c>
      <c r="E397" t="inlineStr">
        <is>
          <t>ÅSELE</t>
        </is>
      </c>
      <c r="F397" t="inlineStr">
        <is>
          <t>Sveaskog</t>
        </is>
      </c>
      <c r="G397" t="n">
        <v>14.8</v>
      </c>
      <c r="H397" t="n">
        <v>0</v>
      </c>
      <c r="I397" t="n">
        <v>0</v>
      </c>
      <c r="J397" t="n">
        <v>0</v>
      </c>
      <c r="K397" t="n">
        <v>0</v>
      </c>
      <c r="L397" t="n">
        <v>0</v>
      </c>
      <c r="M397" t="n">
        <v>0</v>
      </c>
      <c r="N397" t="n">
        <v>0</v>
      </c>
      <c r="O397" t="n">
        <v>0</v>
      </c>
      <c r="P397" t="n">
        <v>0</v>
      </c>
      <c r="Q397" t="n">
        <v>0</v>
      </c>
      <c r="R397" s="2" t="inlineStr"/>
    </row>
    <row r="398" ht="15" customHeight="1">
      <c r="A398" t="inlineStr">
        <is>
          <t>A 1225-2023</t>
        </is>
      </c>
      <c r="B398" s="1" t="n">
        <v>44935.97194444444</v>
      </c>
      <c r="C398" s="1" t="n">
        <v>46187</v>
      </c>
      <c r="D398" t="inlineStr">
        <is>
          <t>VÄSTERBOTTENS LÄN</t>
        </is>
      </c>
      <c r="E398" t="inlineStr">
        <is>
          <t>ÅSELE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29947-2025</t>
        </is>
      </c>
      <c r="B399" s="1" t="n">
        <v>45826</v>
      </c>
      <c r="C399" s="1" t="n">
        <v>46187</v>
      </c>
      <c r="D399" t="inlineStr">
        <is>
          <t>VÄSTERBOTTENS LÄN</t>
        </is>
      </c>
      <c r="E399" t="inlineStr">
        <is>
          <t>ÅSELE</t>
        </is>
      </c>
      <c r="F399" t="inlineStr">
        <is>
          <t>Sveaskog</t>
        </is>
      </c>
      <c r="G399" t="n">
        <v>15.4</v>
      </c>
      <c r="H399" t="n">
        <v>0</v>
      </c>
      <c r="I399" t="n">
        <v>0</v>
      </c>
      <c r="J399" t="n">
        <v>0</v>
      </c>
      <c r="K399" t="n">
        <v>0</v>
      </c>
      <c r="L399" t="n">
        <v>0</v>
      </c>
      <c r="M399" t="n">
        <v>0</v>
      </c>
      <c r="N399" t="n">
        <v>0</v>
      </c>
      <c r="O399" t="n">
        <v>0</v>
      </c>
      <c r="P399" t="n">
        <v>0</v>
      </c>
      <c r="Q399" t="n">
        <v>0</v>
      </c>
      <c r="R399" s="2" t="inlineStr"/>
    </row>
    <row r="400" ht="15" customHeight="1">
      <c r="A400" t="inlineStr">
        <is>
          <t>A 29983-2025</t>
        </is>
      </c>
      <c r="B400" s="1" t="n">
        <v>45826.49555555556</v>
      </c>
      <c r="C400" s="1" t="n">
        <v>46187</v>
      </c>
      <c r="D400" t="inlineStr">
        <is>
          <t>VÄSTERBOTTENS LÄN</t>
        </is>
      </c>
      <c r="E400" t="inlineStr">
        <is>
          <t>ÅSELE</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30043-2025</t>
        </is>
      </c>
      <c r="B401" s="1" t="n">
        <v>45826</v>
      </c>
      <c r="C401" s="1" t="n">
        <v>46187</v>
      </c>
      <c r="D401" t="inlineStr">
        <is>
          <t>VÄSTERBOTTENS LÄN</t>
        </is>
      </c>
      <c r="E401" t="inlineStr">
        <is>
          <t>ÅSELE</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4626-2022</t>
        </is>
      </c>
      <c r="B402" s="1" t="n">
        <v>44592</v>
      </c>
      <c r="C402" s="1" t="n">
        <v>46187</v>
      </c>
      <c r="D402" t="inlineStr">
        <is>
          <t>VÄSTERBOTTENS LÄN</t>
        </is>
      </c>
      <c r="E402" t="inlineStr">
        <is>
          <t>ÅSELE</t>
        </is>
      </c>
      <c r="G402" t="n">
        <v>6.2</v>
      </c>
      <c r="H402" t="n">
        <v>0</v>
      </c>
      <c r="I402" t="n">
        <v>0</v>
      </c>
      <c r="J402" t="n">
        <v>0</v>
      </c>
      <c r="K402" t="n">
        <v>0</v>
      </c>
      <c r="L402" t="n">
        <v>0</v>
      </c>
      <c r="M402" t="n">
        <v>0</v>
      </c>
      <c r="N402" t="n">
        <v>0</v>
      </c>
      <c r="O402" t="n">
        <v>0</v>
      </c>
      <c r="P402" t="n">
        <v>0</v>
      </c>
      <c r="Q402" t="n">
        <v>0</v>
      </c>
      <c r="R402" s="2" t="inlineStr"/>
    </row>
    <row r="403" ht="15" customHeight="1">
      <c r="A403" t="inlineStr">
        <is>
          <t>A 29978-2025</t>
        </is>
      </c>
      <c r="B403" s="1" t="n">
        <v>45826.49273148148</v>
      </c>
      <c r="C403" s="1" t="n">
        <v>46187</v>
      </c>
      <c r="D403" t="inlineStr">
        <is>
          <t>VÄSTERBOTTENS LÄN</t>
        </is>
      </c>
      <c r="E403" t="inlineStr">
        <is>
          <t>ÅSELE</t>
        </is>
      </c>
      <c r="F403" t="inlineStr">
        <is>
          <t>Sveaskog</t>
        </is>
      </c>
      <c r="G403" t="n">
        <v>4.9</v>
      </c>
      <c r="H403" t="n">
        <v>0</v>
      </c>
      <c r="I403" t="n">
        <v>0</v>
      </c>
      <c r="J403" t="n">
        <v>0</v>
      </c>
      <c r="K403" t="n">
        <v>0</v>
      </c>
      <c r="L403" t="n">
        <v>0</v>
      </c>
      <c r="M403" t="n">
        <v>0</v>
      </c>
      <c r="N403" t="n">
        <v>0</v>
      </c>
      <c r="O403" t="n">
        <v>0</v>
      </c>
      <c r="P403" t="n">
        <v>0</v>
      </c>
      <c r="Q403" t="n">
        <v>0</v>
      </c>
      <c r="R403" s="2" t="inlineStr"/>
    </row>
    <row r="404" ht="15" customHeight="1">
      <c r="A404" t="inlineStr">
        <is>
          <t>A 29998-2025</t>
        </is>
      </c>
      <c r="B404" s="1" t="n">
        <v>45826</v>
      </c>
      <c r="C404" s="1" t="n">
        <v>46187</v>
      </c>
      <c r="D404" t="inlineStr">
        <is>
          <t>VÄSTERBOTTENS LÄN</t>
        </is>
      </c>
      <c r="E404" t="inlineStr">
        <is>
          <t>ÅSELE</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30037-2025</t>
        </is>
      </c>
      <c r="B405" s="1" t="n">
        <v>45826.57112268519</v>
      </c>
      <c r="C405" s="1" t="n">
        <v>46187</v>
      </c>
      <c r="D405" t="inlineStr">
        <is>
          <t>VÄSTERBOTTENS LÄN</t>
        </is>
      </c>
      <c r="E405" t="inlineStr">
        <is>
          <t>ÅSELE</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30183-2025</t>
        </is>
      </c>
      <c r="B406" s="1" t="n">
        <v>45827.34677083333</v>
      </c>
      <c r="C406" s="1" t="n">
        <v>46187</v>
      </c>
      <c r="D406" t="inlineStr">
        <is>
          <t>VÄSTERBOTTENS LÄN</t>
        </is>
      </c>
      <c r="E406" t="inlineStr">
        <is>
          <t>ÅSELE</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46187</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29843-2025</t>
        </is>
      </c>
      <c r="B408" s="1" t="n">
        <v>45826.31524305556</v>
      </c>
      <c r="C408" s="1" t="n">
        <v>46187</v>
      </c>
      <c r="D408" t="inlineStr">
        <is>
          <t>VÄSTERBOTTENS LÄN</t>
        </is>
      </c>
      <c r="E408" t="inlineStr">
        <is>
          <t>ÅSELE</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29850-2025</t>
        </is>
      </c>
      <c r="B409" s="1" t="n">
        <v>45826</v>
      </c>
      <c r="C409" s="1" t="n">
        <v>46187</v>
      </c>
      <c r="D409" t="inlineStr">
        <is>
          <t>VÄSTERBOTTENS LÄN</t>
        </is>
      </c>
      <c r="E409" t="inlineStr">
        <is>
          <t>ÅSELE</t>
        </is>
      </c>
      <c r="F409" t="inlineStr">
        <is>
          <t>Sveaskog</t>
        </is>
      </c>
      <c r="G409" t="n">
        <v>7.1</v>
      </c>
      <c r="H409" t="n">
        <v>0</v>
      </c>
      <c r="I409" t="n">
        <v>0</v>
      </c>
      <c r="J409" t="n">
        <v>0</v>
      </c>
      <c r="K409" t="n">
        <v>0</v>
      </c>
      <c r="L409" t="n">
        <v>0</v>
      </c>
      <c r="M409" t="n">
        <v>0</v>
      </c>
      <c r="N409" t="n">
        <v>0</v>
      </c>
      <c r="O409" t="n">
        <v>0</v>
      </c>
      <c r="P409" t="n">
        <v>0</v>
      </c>
      <c r="Q409" t="n">
        <v>0</v>
      </c>
      <c r="R409" s="2" t="inlineStr"/>
    </row>
    <row r="410" ht="15" customHeight="1">
      <c r="A410" t="inlineStr">
        <is>
          <t>A 4619-2022</t>
        </is>
      </c>
      <c r="B410" s="1" t="n">
        <v>44592</v>
      </c>
      <c r="C410" s="1" t="n">
        <v>46187</v>
      </c>
      <c r="D410" t="inlineStr">
        <is>
          <t>VÄSTERBOTTENS LÄN</t>
        </is>
      </c>
      <c r="E410" t="inlineStr">
        <is>
          <t>ÅSELE</t>
        </is>
      </c>
      <c r="G410" t="n">
        <v>17.6</v>
      </c>
      <c r="H410" t="n">
        <v>0</v>
      </c>
      <c r="I410" t="n">
        <v>0</v>
      </c>
      <c r="J410" t="n">
        <v>0</v>
      </c>
      <c r="K410" t="n">
        <v>0</v>
      </c>
      <c r="L410" t="n">
        <v>0</v>
      </c>
      <c r="M410" t="n">
        <v>0</v>
      </c>
      <c r="N410" t="n">
        <v>0</v>
      </c>
      <c r="O410" t="n">
        <v>0</v>
      </c>
      <c r="P410" t="n">
        <v>0</v>
      </c>
      <c r="Q410" t="n">
        <v>0</v>
      </c>
      <c r="R410" s="2" t="inlineStr"/>
    </row>
    <row r="411" ht="15" customHeight="1">
      <c r="A411" t="inlineStr">
        <is>
          <t>A 29963-2025</t>
        </is>
      </c>
      <c r="B411" s="1" t="n">
        <v>45826.48354166667</v>
      </c>
      <c r="C411" s="1" t="n">
        <v>46187</v>
      </c>
      <c r="D411" t="inlineStr">
        <is>
          <t>VÄSTERBOTTENS LÄN</t>
        </is>
      </c>
      <c r="E411" t="inlineStr">
        <is>
          <t>ÅSELE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40046-2024</t>
        </is>
      </c>
      <c r="B412" s="1" t="n">
        <v>45553.76251157407</v>
      </c>
      <c r="C412" s="1" t="n">
        <v>46187</v>
      </c>
      <c r="D412" t="inlineStr">
        <is>
          <t>VÄSTERBOTTENS LÄN</t>
        </is>
      </c>
      <c r="E412" t="inlineStr">
        <is>
          <t>ÅSELE</t>
        </is>
      </c>
      <c r="G412" t="n">
        <v>5.6</v>
      </c>
      <c r="H412" t="n">
        <v>0</v>
      </c>
      <c r="I412" t="n">
        <v>0</v>
      </c>
      <c r="J412" t="n">
        <v>0</v>
      </c>
      <c r="K412" t="n">
        <v>0</v>
      </c>
      <c r="L412" t="n">
        <v>0</v>
      </c>
      <c r="M412" t="n">
        <v>0</v>
      </c>
      <c r="N412" t="n">
        <v>0</v>
      </c>
      <c r="O412" t="n">
        <v>0</v>
      </c>
      <c r="P412" t="n">
        <v>0</v>
      </c>
      <c r="Q412" t="n">
        <v>0</v>
      </c>
      <c r="R412" s="2" t="inlineStr"/>
    </row>
    <row r="413" ht="15" customHeight="1">
      <c r="A413" t="inlineStr">
        <is>
          <t>A 30779-2025</t>
        </is>
      </c>
      <c r="B413" s="1" t="n">
        <v>45831.62219907407</v>
      </c>
      <c r="C413" s="1" t="n">
        <v>46187</v>
      </c>
      <c r="D413" t="inlineStr">
        <is>
          <t>VÄSTERBOTTENS LÄN</t>
        </is>
      </c>
      <c r="E413" t="inlineStr">
        <is>
          <t>ÅSELE</t>
        </is>
      </c>
      <c r="F413" t="inlineStr">
        <is>
          <t>Sveaskog</t>
        </is>
      </c>
      <c r="G413" t="n">
        <v>21.6</v>
      </c>
      <c r="H413" t="n">
        <v>0</v>
      </c>
      <c r="I413" t="n">
        <v>0</v>
      </c>
      <c r="J413" t="n">
        <v>0</v>
      </c>
      <c r="K413" t="n">
        <v>0</v>
      </c>
      <c r="L413" t="n">
        <v>0</v>
      </c>
      <c r="M413" t="n">
        <v>0</v>
      </c>
      <c r="N413" t="n">
        <v>0</v>
      </c>
      <c r="O413" t="n">
        <v>0</v>
      </c>
      <c r="P413" t="n">
        <v>0</v>
      </c>
      <c r="Q413" t="n">
        <v>0</v>
      </c>
      <c r="R413" s="2" t="inlineStr"/>
    </row>
    <row r="414" ht="15" customHeight="1">
      <c r="A414" t="inlineStr">
        <is>
          <t>A 50200-2023</t>
        </is>
      </c>
      <c r="B414" s="1" t="n">
        <v>45215.87696759259</v>
      </c>
      <c r="C414" s="1" t="n">
        <v>46187</v>
      </c>
      <c r="D414" t="inlineStr">
        <is>
          <t>VÄSTERBOTTENS LÄN</t>
        </is>
      </c>
      <c r="E414" t="inlineStr">
        <is>
          <t>ÅSELE</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4086-2023</t>
        </is>
      </c>
      <c r="B415" s="1" t="n">
        <v>44952</v>
      </c>
      <c r="C415" s="1" t="n">
        <v>46187</v>
      </c>
      <c r="D415" t="inlineStr">
        <is>
          <t>VÄSTERBOTTENS LÄN</t>
        </is>
      </c>
      <c r="E415" t="inlineStr">
        <is>
          <t>ÅSELE</t>
        </is>
      </c>
      <c r="G415" t="n">
        <v>5.3</v>
      </c>
      <c r="H415" t="n">
        <v>0</v>
      </c>
      <c r="I415" t="n">
        <v>0</v>
      </c>
      <c r="J415" t="n">
        <v>0</v>
      </c>
      <c r="K415" t="n">
        <v>0</v>
      </c>
      <c r="L415" t="n">
        <v>0</v>
      </c>
      <c r="M415" t="n">
        <v>0</v>
      </c>
      <c r="N415" t="n">
        <v>0</v>
      </c>
      <c r="O415" t="n">
        <v>0</v>
      </c>
      <c r="P415" t="n">
        <v>0</v>
      </c>
      <c r="Q415" t="n">
        <v>0</v>
      </c>
      <c r="R415" s="2" t="inlineStr"/>
    </row>
    <row r="416" ht="15" customHeight="1">
      <c r="A416" t="inlineStr">
        <is>
          <t>A 31080-2025</t>
        </is>
      </c>
      <c r="B416" s="1" t="n">
        <v>45831</v>
      </c>
      <c r="C416" s="1" t="n">
        <v>46187</v>
      </c>
      <c r="D416" t="inlineStr">
        <is>
          <t>VÄSTERBOTTENS LÄN</t>
        </is>
      </c>
      <c r="E416" t="inlineStr">
        <is>
          <t>ÅSELE</t>
        </is>
      </c>
      <c r="G416" t="n">
        <v>4.9</v>
      </c>
      <c r="H416" t="n">
        <v>0</v>
      </c>
      <c r="I416" t="n">
        <v>0</v>
      </c>
      <c r="J416" t="n">
        <v>0</v>
      </c>
      <c r="K416" t="n">
        <v>0</v>
      </c>
      <c r="L416" t="n">
        <v>0</v>
      </c>
      <c r="M416" t="n">
        <v>0</v>
      </c>
      <c r="N416" t="n">
        <v>0</v>
      </c>
      <c r="O416" t="n">
        <v>0</v>
      </c>
      <c r="P416" t="n">
        <v>0</v>
      </c>
      <c r="Q416" t="n">
        <v>0</v>
      </c>
      <c r="R416" s="2" t="inlineStr"/>
    </row>
    <row r="417" ht="15" customHeight="1">
      <c r="A417" t="inlineStr">
        <is>
          <t>A 30701-2025</t>
        </is>
      </c>
      <c r="B417" s="1" t="n">
        <v>45831</v>
      </c>
      <c r="C417" s="1" t="n">
        <v>46187</v>
      </c>
      <c r="D417" t="inlineStr">
        <is>
          <t>VÄSTERBOTTENS LÄN</t>
        </is>
      </c>
      <c r="E417" t="inlineStr">
        <is>
          <t>ÅSELE</t>
        </is>
      </c>
      <c r="F417" t="inlineStr">
        <is>
          <t>Sveaskog</t>
        </is>
      </c>
      <c r="G417" t="n">
        <v>14.2</v>
      </c>
      <c r="H417" t="n">
        <v>0</v>
      </c>
      <c r="I417" t="n">
        <v>0</v>
      </c>
      <c r="J417" t="n">
        <v>0</v>
      </c>
      <c r="K417" t="n">
        <v>0</v>
      </c>
      <c r="L417" t="n">
        <v>0</v>
      </c>
      <c r="M417" t="n">
        <v>0</v>
      </c>
      <c r="N417" t="n">
        <v>0</v>
      </c>
      <c r="O417" t="n">
        <v>0</v>
      </c>
      <c r="P417" t="n">
        <v>0</v>
      </c>
      <c r="Q417" t="n">
        <v>0</v>
      </c>
      <c r="R417" s="2" t="inlineStr"/>
    </row>
    <row r="418" ht="15" customHeight="1">
      <c r="A418" t="inlineStr">
        <is>
          <t>A 30773-2025</t>
        </is>
      </c>
      <c r="B418" s="1" t="n">
        <v>45831.61457175926</v>
      </c>
      <c r="C418" s="1" t="n">
        <v>46187</v>
      </c>
      <c r="D418" t="inlineStr">
        <is>
          <t>VÄSTERBOTTENS LÄN</t>
        </is>
      </c>
      <c r="E418" t="inlineStr">
        <is>
          <t>ÅSELE</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31445-2025</t>
        </is>
      </c>
      <c r="B419" s="1" t="n">
        <v>45833.51791666666</v>
      </c>
      <c r="C419" s="1" t="n">
        <v>46187</v>
      </c>
      <c r="D419" t="inlineStr">
        <is>
          <t>VÄSTERBOTTENS LÄN</t>
        </is>
      </c>
      <c r="E419" t="inlineStr">
        <is>
          <t>ÅSELE</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30940-2025</t>
        </is>
      </c>
      <c r="B420" s="1" t="n">
        <v>45832</v>
      </c>
      <c r="C420" s="1" t="n">
        <v>46187</v>
      </c>
      <c r="D420" t="inlineStr">
        <is>
          <t>VÄSTERBOTTENS LÄN</t>
        </is>
      </c>
      <c r="E420" t="inlineStr">
        <is>
          <t>ÅSELE</t>
        </is>
      </c>
      <c r="G420" t="n">
        <v>10.1</v>
      </c>
      <c r="H420" t="n">
        <v>0</v>
      </c>
      <c r="I420" t="n">
        <v>0</v>
      </c>
      <c r="J420" t="n">
        <v>0</v>
      </c>
      <c r="K420" t="n">
        <v>0</v>
      </c>
      <c r="L420" t="n">
        <v>0</v>
      </c>
      <c r="M420" t="n">
        <v>0</v>
      </c>
      <c r="N420" t="n">
        <v>0</v>
      </c>
      <c r="O420" t="n">
        <v>0</v>
      </c>
      <c r="P420" t="n">
        <v>0</v>
      </c>
      <c r="Q420" t="n">
        <v>0</v>
      </c>
      <c r="R420" s="2" t="inlineStr"/>
    </row>
    <row r="421" ht="15" customHeight="1">
      <c r="A421" t="inlineStr">
        <is>
          <t>A 31219-2025</t>
        </is>
      </c>
      <c r="B421" s="1" t="n">
        <v>45832</v>
      </c>
      <c r="C421" s="1" t="n">
        <v>46187</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31313-2025</t>
        </is>
      </c>
      <c r="B422" s="1" t="n">
        <v>45833.39784722222</v>
      </c>
      <c r="C422" s="1" t="n">
        <v>46187</v>
      </c>
      <c r="D422" t="inlineStr">
        <is>
          <t>VÄSTERBOTTENS LÄN</t>
        </is>
      </c>
      <c r="E422" t="inlineStr">
        <is>
          <t>ÅSELE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31217-2025</t>
        </is>
      </c>
      <c r="B423" s="1" t="n">
        <v>45832</v>
      </c>
      <c r="C423" s="1" t="n">
        <v>46187</v>
      </c>
      <c r="D423" t="inlineStr">
        <is>
          <t>VÄSTERBOTTENS LÄN</t>
        </is>
      </c>
      <c r="E423" t="inlineStr">
        <is>
          <t>ÅSELE</t>
        </is>
      </c>
      <c r="G423" t="n">
        <v>10.6</v>
      </c>
      <c r="H423" t="n">
        <v>0</v>
      </c>
      <c r="I423" t="n">
        <v>0</v>
      </c>
      <c r="J423" t="n">
        <v>0</v>
      </c>
      <c r="K423" t="n">
        <v>0</v>
      </c>
      <c r="L423" t="n">
        <v>0</v>
      </c>
      <c r="M423" t="n">
        <v>0</v>
      </c>
      <c r="N423" t="n">
        <v>0</v>
      </c>
      <c r="O423" t="n">
        <v>0</v>
      </c>
      <c r="P423" t="n">
        <v>0</v>
      </c>
      <c r="Q423" t="n">
        <v>0</v>
      </c>
      <c r="R423" s="2" t="inlineStr"/>
    </row>
    <row r="424" ht="15" customHeight="1">
      <c r="A424" t="inlineStr">
        <is>
          <t>A 31224-2025</t>
        </is>
      </c>
      <c r="B424" s="1" t="n">
        <v>45832</v>
      </c>
      <c r="C424" s="1" t="n">
        <v>46187</v>
      </c>
      <c r="D424" t="inlineStr">
        <is>
          <t>VÄSTERBOTTENS LÄN</t>
        </is>
      </c>
      <c r="E424" t="inlineStr">
        <is>
          <t>ÅSELE</t>
        </is>
      </c>
      <c r="G424" t="n">
        <v>17</v>
      </c>
      <c r="H424" t="n">
        <v>0</v>
      </c>
      <c r="I424" t="n">
        <v>0</v>
      </c>
      <c r="J424" t="n">
        <v>0</v>
      </c>
      <c r="K424" t="n">
        <v>0</v>
      </c>
      <c r="L424" t="n">
        <v>0</v>
      </c>
      <c r="M424" t="n">
        <v>0</v>
      </c>
      <c r="N424" t="n">
        <v>0</v>
      </c>
      <c r="O424" t="n">
        <v>0</v>
      </c>
      <c r="P424" t="n">
        <v>0</v>
      </c>
      <c r="Q424" t="n">
        <v>0</v>
      </c>
      <c r="R424" s="2" t="inlineStr"/>
    </row>
    <row r="425" ht="15" customHeight="1">
      <c r="A425" t="inlineStr">
        <is>
          <t>A 31371-2025</t>
        </is>
      </c>
      <c r="B425" s="1" t="n">
        <v>45832</v>
      </c>
      <c r="C425" s="1" t="n">
        <v>46187</v>
      </c>
      <c r="D425" t="inlineStr">
        <is>
          <t>VÄSTERBOTTENS LÄN</t>
        </is>
      </c>
      <c r="E425" t="inlineStr">
        <is>
          <t>ÅSELE</t>
        </is>
      </c>
      <c r="G425" t="n">
        <v>5.9</v>
      </c>
      <c r="H425" t="n">
        <v>0</v>
      </c>
      <c r="I425" t="n">
        <v>0</v>
      </c>
      <c r="J425" t="n">
        <v>0</v>
      </c>
      <c r="K425" t="n">
        <v>0</v>
      </c>
      <c r="L425" t="n">
        <v>0</v>
      </c>
      <c r="M425" t="n">
        <v>0</v>
      </c>
      <c r="N425" t="n">
        <v>0</v>
      </c>
      <c r="O425" t="n">
        <v>0</v>
      </c>
      <c r="P425" t="n">
        <v>0</v>
      </c>
      <c r="Q425" t="n">
        <v>0</v>
      </c>
      <c r="R425" s="2" t="inlineStr"/>
    </row>
    <row r="426" ht="15" customHeight="1">
      <c r="A426" t="inlineStr">
        <is>
          <t>A 42268-2024</t>
        </is>
      </c>
      <c r="B426" s="1" t="n">
        <v>45562.5971412037</v>
      </c>
      <c r="C426" s="1" t="n">
        <v>46187</v>
      </c>
      <c r="D426" t="inlineStr">
        <is>
          <t>VÄSTERBOTTENS LÄN</t>
        </is>
      </c>
      <c r="E426" t="inlineStr">
        <is>
          <t>ÅSELE</t>
        </is>
      </c>
      <c r="F426" t="inlineStr">
        <is>
          <t>Naturvårdsverket</t>
        </is>
      </c>
      <c r="G426" t="n">
        <v>1.6</v>
      </c>
      <c r="H426" t="n">
        <v>0</v>
      </c>
      <c r="I426" t="n">
        <v>0</v>
      </c>
      <c r="J426" t="n">
        <v>0</v>
      </c>
      <c r="K426" t="n">
        <v>0</v>
      </c>
      <c r="L426" t="n">
        <v>0</v>
      </c>
      <c r="M426" t="n">
        <v>0</v>
      </c>
      <c r="N426" t="n">
        <v>0</v>
      </c>
      <c r="O426" t="n">
        <v>0</v>
      </c>
      <c r="P426" t="n">
        <v>0</v>
      </c>
      <c r="Q426" t="n">
        <v>0</v>
      </c>
      <c r="R426" s="2" t="inlineStr"/>
    </row>
    <row r="427" ht="15" customHeight="1">
      <c r="A427" t="inlineStr">
        <is>
          <t>A 42301-2024</t>
        </is>
      </c>
      <c r="B427" s="1" t="n">
        <v>45562.62887731481</v>
      </c>
      <c r="C427" s="1" t="n">
        <v>46187</v>
      </c>
      <c r="D427" t="inlineStr">
        <is>
          <t>VÄSTERBOTTENS LÄN</t>
        </is>
      </c>
      <c r="E427" t="inlineStr">
        <is>
          <t>ÅSELE</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9199-2026</t>
        </is>
      </c>
      <c r="B428" s="1" t="n">
        <v>46070.40673611111</v>
      </c>
      <c r="C428" s="1" t="n">
        <v>46187</v>
      </c>
      <c r="D428" t="inlineStr">
        <is>
          <t>VÄSTERBOTTENS LÄN</t>
        </is>
      </c>
      <c r="E428" t="inlineStr">
        <is>
          <t>ÅSELE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9951-2026</t>
        </is>
      </c>
      <c r="B429" s="1" t="n">
        <v>46073.47201388889</v>
      </c>
      <c r="C429" s="1" t="n">
        <v>46187</v>
      </c>
      <c r="D429" t="inlineStr">
        <is>
          <t>VÄSTERBOTTENS LÄN</t>
        </is>
      </c>
      <c r="E429" t="inlineStr">
        <is>
          <t>ÅSELE</t>
        </is>
      </c>
      <c r="G429" t="n">
        <v>17.1</v>
      </c>
      <c r="H429" t="n">
        <v>0</v>
      </c>
      <c r="I429" t="n">
        <v>0</v>
      </c>
      <c r="J429" t="n">
        <v>0</v>
      </c>
      <c r="K429" t="n">
        <v>0</v>
      </c>
      <c r="L429" t="n">
        <v>0</v>
      </c>
      <c r="M429" t="n">
        <v>0</v>
      </c>
      <c r="N429" t="n">
        <v>0</v>
      </c>
      <c r="O429" t="n">
        <v>0</v>
      </c>
      <c r="P429" t="n">
        <v>0</v>
      </c>
      <c r="Q429" t="n">
        <v>0</v>
      </c>
      <c r="R429" s="2" t="inlineStr"/>
    </row>
    <row r="430" ht="15" customHeight="1">
      <c r="A430" t="inlineStr">
        <is>
          <t>A 9943-2026</t>
        </is>
      </c>
      <c r="B430" s="1" t="n">
        <v>46073.46966435185</v>
      </c>
      <c r="C430" s="1" t="n">
        <v>46187</v>
      </c>
      <c r="D430" t="inlineStr">
        <is>
          <t>VÄSTERBOTTENS LÄN</t>
        </is>
      </c>
      <c r="E430" t="inlineStr">
        <is>
          <t>ÅSELE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9630-2026</t>
        </is>
      </c>
      <c r="B431" s="1" t="n">
        <v>46072.34447916667</v>
      </c>
      <c r="C431" s="1" t="n">
        <v>46187</v>
      </c>
      <c r="D431" t="inlineStr">
        <is>
          <t>VÄSTERBOTTENS LÄN</t>
        </is>
      </c>
      <c r="E431" t="inlineStr">
        <is>
          <t>ÅSELE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10837-2026</t>
        </is>
      </c>
      <c r="B432" s="1" t="n">
        <v>46078.63130787037</v>
      </c>
      <c r="C432" s="1" t="n">
        <v>46187</v>
      </c>
      <c r="D432" t="inlineStr">
        <is>
          <t>VÄSTERBOTTENS LÄN</t>
        </is>
      </c>
      <c r="E432" t="inlineStr">
        <is>
          <t>ÅSELE</t>
        </is>
      </c>
      <c r="G432" t="n">
        <v>0.7</v>
      </c>
      <c r="H432" t="n">
        <v>0</v>
      </c>
      <c r="I432" t="n">
        <v>0</v>
      </c>
      <c r="J432" t="n">
        <v>0</v>
      </c>
      <c r="K432" t="n">
        <v>0</v>
      </c>
      <c r="L432" t="n">
        <v>0</v>
      </c>
      <c r="M432" t="n">
        <v>0</v>
      </c>
      <c r="N432" t="n">
        <v>0</v>
      </c>
      <c r="O432" t="n">
        <v>0</v>
      </c>
      <c r="P432" t="n">
        <v>0</v>
      </c>
      <c r="Q432" t="n">
        <v>0</v>
      </c>
      <c r="R432" s="2" t="inlineStr"/>
    </row>
    <row r="433" ht="15" customHeight="1">
      <c r="A433" t="inlineStr">
        <is>
          <t>A 10826-2026</t>
        </is>
      </c>
      <c r="B433" s="1" t="n">
        <v>46078.6249537037</v>
      </c>
      <c r="C433" s="1" t="n">
        <v>46187</v>
      </c>
      <c r="D433" t="inlineStr">
        <is>
          <t>VÄSTERBOTTENS LÄN</t>
        </is>
      </c>
      <c r="E433" t="inlineStr">
        <is>
          <t>ÅSELE</t>
        </is>
      </c>
      <c r="G433" t="n">
        <v>4.3</v>
      </c>
      <c r="H433" t="n">
        <v>0</v>
      </c>
      <c r="I433" t="n">
        <v>0</v>
      </c>
      <c r="J433" t="n">
        <v>0</v>
      </c>
      <c r="K433" t="n">
        <v>0</v>
      </c>
      <c r="L433" t="n">
        <v>0</v>
      </c>
      <c r="M433" t="n">
        <v>0</v>
      </c>
      <c r="N433" t="n">
        <v>0</v>
      </c>
      <c r="O433" t="n">
        <v>0</v>
      </c>
      <c r="P433" t="n">
        <v>0</v>
      </c>
      <c r="Q433" t="n">
        <v>0</v>
      </c>
      <c r="R433" s="2" t="inlineStr"/>
    </row>
    <row r="434" ht="15" customHeight="1">
      <c r="A434" t="inlineStr">
        <is>
          <t>A 10863-2026</t>
        </is>
      </c>
      <c r="B434" s="1" t="n">
        <v>46078.67704861111</v>
      </c>
      <c r="C434" s="1" t="n">
        <v>46187</v>
      </c>
      <c r="D434" t="inlineStr">
        <is>
          <t>VÄSTERBOTTENS LÄN</t>
        </is>
      </c>
      <c r="E434" t="inlineStr">
        <is>
          <t>ÅSELE</t>
        </is>
      </c>
      <c r="G434" t="n">
        <v>4.4</v>
      </c>
      <c r="H434" t="n">
        <v>0</v>
      </c>
      <c r="I434" t="n">
        <v>0</v>
      </c>
      <c r="J434" t="n">
        <v>0</v>
      </c>
      <c r="K434" t="n">
        <v>0</v>
      </c>
      <c r="L434" t="n">
        <v>0</v>
      </c>
      <c r="M434" t="n">
        <v>0</v>
      </c>
      <c r="N434" t="n">
        <v>0</v>
      </c>
      <c r="O434" t="n">
        <v>0</v>
      </c>
      <c r="P434" t="n">
        <v>0</v>
      </c>
      <c r="Q434" t="n">
        <v>0</v>
      </c>
      <c r="R434" s="2" t="inlineStr"/>
    </row>
    <row r="435" ht="15" customHeight="1">
      <c r="A435" t="inlineStr">
        <is>
          <t>A 10675-2026</t>
        </is>
      </c>
      <c r="B435" s="1" t="n">
        <v>46078.40700231482</v>
      </c>
      <c r="C435" s="1" t="n">
        <v>46187</v>
      </c>
      <c r="D435" t="inlineStr">
        <is>
          <t>VÄSTERBOTTENS LÄN</t>
        </is>
      </c>
      <c r="E435" t="inlineStr">
        <is>
          <t>ÅSELE</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10676-2026</t>
        </is>
      </c>
      <c r="B436" s="1" t="n">
        <v>46078.40722222222</v>
      </c>
      <c r="C436" s="1" t="n">
        <v>46187</v>
      </c>
      <c r="D436" t="inlineStr">
        <is>
          <t>VÄSTERBOTTENS LÄN</t>
        </is>
      </c>
      <c r="E436" t="inlineStr">
        <is>
          <t>ÅSELE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29300-2023</t>
        </is>
      </c>
      <c r="B437" s="1" t="n">
        <v>45105.86278935185</v>
      </c>
      <c r="C437" s="1" t="n">
        <v>46187</v>
      </c>
      <c r="D437" t="inlineStr">
        <is>
          <t>VÄSTERBOTTENS LÄN</t>
        </is>
      </c>
      <c r="E437" t="inlineStr">
        <is>
          <t>ÅSELE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10688-2026</t>
        </is>
      </c>
      <c r="B438" s="1" t="n">
        <v>46078.42765046296</v>
      </c>
      <c r="C438" s="1" t="n">
        <v>46187</v>
      </c>
      <c r="D438" t="inlineStr">
        <is>
          <t>VÄSTERBOTTENS LÄN</t>
        </is>
      </c>
      <c r="E438" t="inlineStr">
        <is>
          <t>ÅSELE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10677-2026</t>
        </is>
      </c>
      <c r="B439" s="1" t="n">
        <v>46078.4074537037</v>
      </c>
      <c r="C439" s="1" t="n">
        <v>46187</v>
      </c>
      <c r="D439" t="inlineStr">
        <is>
          <t>VÄSTERBOTTENS LÄN</t>
        </is>
      </c>
      <c r="E439" t="inlineStr">
        <is>
          <t>ÅSELE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1409-2023</t>
        </is>
      </c>
      <c r="B440" s="1" t="n">
        <v>44936.86325231481</v>
      </c>
      <c r="C440" s="1" t="n">
        <v>46187</v>
      </c>
      <c r="D440" t="inlineStr">
        <is>
          <t>VÄSTERBOTTENS LÄN</t>
        </is>
      </c>
      <c r="E440" t="inlineStr">
        <is>
          <t>ÅSELE</t>
        </is>
      </c>
      <c r="G440" t="n">
        <v>4.8</v>
      </c>
      <c r="H440" t="n">
        <v>0</v>
      </c>
      <c r="I440" t="n">
        <v>0</v>
      </c>
      <c r="J440" t="n">
        <v>0</v>
      </c>
      <c r="K440" t="n">
        <v>0</v>
      </c>
      <c r="L440" t="n">
        <v>0</v>
      </c>
      <c r="M440" t="n">
        <v>0</v>
      </c>
      <c r="N440" t="n">
        <v>0</v>
      </c>
      <c r="O440" t="n">
        <v>0</v>
      </c>
      <c r="P440" t="n">
        <v>0</v>
      </c>
      <c r="Q440" t="n">
        <v>0</v>
      </c>
      <c r="R440" s="2" t="inlineStr"/>
    </row>
    <row r="441" ht="15" customHeight="1">
      <c r="A441" t="inlineStr">
        <is>
          <t>A 44801-2023</t>
        </is>
      </c>
      <c r="B441" s="1" t="n">
        <v>45190.47796296296</v>
      </c>
      <c r="C441" s="1" t="n">
        <v>46187</v>
      </c>
      <c r="D441" t="inlineStr">
        <is>
          <t>VÄSTERBOTTENS LÄN</t>
        </is>
      </c>
      <c r="E441" t="inlineStr">
        <is>
          <t>ÅSELE</t>
        </is>
      </c>
      <c r="F441" t="inlineStr">
        <is>
          <t>Naturvårdsverket</t>
        </is>
      </c>
      <c r="G441" t="n">
        <v>2.4</v>
      </c>
      <c r="H441" t="n">
        <v>0</v>
      </c>
      <c r="I441" t="n">
        <v>0</v>
      </c>
      <c r="J441" t="n">
        <v>0</v>
      </c>
      <c r="K441" t="n">
        <v>0</v>
      </c>
      <c r="L441" t="n">
        <v>0</v>
      </c>
      <c r="M441" t="n">
        <v>0</v>
      </c>
      <c r="N441" t="n">
        <v>0</v>
      </c>
      <c r="O441" t="n">
        <v>0</v>
      </c>
      <c r="P441" t="n">
        <v>0</v>
      </c>
      <c r="Q441" t="n">
        <v>0</v>
      </c>
      <c r="R441" s="2" t="inlineStr"/>
    </row>
    <row r="442" ht="15" customHeight="1">
      <c r="A442" t="inlineStr">
        <is>
          <t>A 10226-2026</t>
        </is>
      </c>
      <c r="B442" s="1" t="n">
        <v>46076.5108912037</v>
      </c>
      <c r="C442" s="1" t="n">
        <v>46187</v>
      </c>
      <c r="D442" t="inlineStr">
        <is>
          <t>VÄSTERBOTTENS LÄN</t>
        </is>
      </c>
      <c r="E442" t="inlineStr">
        <is>
          <t>ÅSELE</t>
        </is>
      </c>
      <c r="F442" t="inlineStr">
        <is>
          <t>SCA</t>
        </is>
      </c>
      <c r="G442" t="n">
        <v>17.2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46187</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10752-2026</t>
        </is>
      </c>
      <c r="B444" s="1" t="n">
        <v>46078</v>
      </c>
      <c r="C444" s="1" t="n">
        <v>46187</v>
      </c>
      <c r="D444" t="inlineStr">
        <is>
          <t>VÄSTERBOTTENS LÄN</t>
        </is>
      </c>
      <c r="E444" t="inlineStr">
        <is>
          <t>ÅSELE</t>
        </is>
      </c>
      <c r="G444" t="n">
        <v>7.2</v>
      </c>
      <c r="H444" t="n">
        <v>0</v>
      </c>
      <c r="I444" t="n">
        <v>0</v>
      </c>
      <c r="J444" t="n">
        <v>0</v>
      </c>
      <c r="K444" t="n">
        <v>0</v>
      </c>
      <c r="L444" t="n">
        <v>0</v>
      </c>
      <c r="M444" t="n">
        <v>0</v>
      </c>
      <c r="N444" t="n">
        <v>0</v>
      </c>
      <c r="O444" t="n">
        <v>0</v>
      </c>
      <c r="P444" t="n">
        <v>0</v>
      </c>
      <c r="Q444" t="n">
        <v>0</v>
      </c>
      <c r="R444" s="2" t="inlineStr"/>
    </row>
    <row r="445" ht="15" customHeight="1">
      <c r="A445" t="inlineStr">
        <is>
          <t>A 10859-2026</t>
        </is>
      </c>
      <c r="B445" s="1" t="n">
        <v>46078.6675462963</v>
      </c>
      <c r="C445" s="1" t="n">
        <v>46187</v>
      </c>
      <c r="D445" t="inlineStr">
        <is>
          <t>VÄSTERBOTTENS LÄN</t>
        </is>
      </c>
      <c r="E445" t="inlineStr">
        <is>
          <t>ÅSELE</t>
        </is>
      </c>
      <c r="G445" t="n">
        <v>1.1</v>
      </c>
      <c r="H445" t="n">
        <v>0</v>
      </c>
      <c r="I445" t="n">
        <v>0</v>
      </c>
      <c r="J445" t="n">
        <v>0</v>
      </c>
      <c r="K445" t="n">
        <v>0</v>
      </c>
      <c r="L445" t="n">
        <v>0</v>
      </c>
      <c r="M445" t="n">
        <v>0</v>
      </c>
      <c r="N445" t="n">
        <v>0</v>
      </c>
      <c r="O445" t="n">
        <v>0</v>
      </c>
      <c r="P445" t="n">
        <v>0</v>
      </c>
      <c r="Q445" t="n">
        <v>0</v>
      </c>
      <c r="R445" s="2" t="inlineStr"/>
    </row>
    <row r="446" ht="15" customHeight="1">
      <c r="A446" t="inlineStr">
        <is>
          <t>A 10860-2026</t>
        </is>
      </c>
      <c r="B446" s="1" t="n">
        <v>46078.66976851852</v>
      </c>
      <c r="C446" s="1" t="n">
        <v>46187</v>
      </c>
      <c r="D446" t="inlineStr">
        <is>
          <t>VÄSTERBOTTENS LÄN</t>
        </is>
      </c>
      <c r="E446" t="inlineStr">
        <is>
          <t>ÅSELE</t>
        </is>
      </c>
      <c r="G446" t="n">
        <v>4.5</v>
      </c>
      <c r="H446" t="n">
        <v>0</v>
      </c>
      <c r="I446" t="n">
        <v>0</v>
      </c>
      <c r="J446" t="n">
        <v>0</v>
      </c>
      <c r="K446" t="n">
        <v>0</v>
      </c>
      <c r="L446" t="n">
        <v>0</v>
      </c>
      <c r="M446" t="n">
        <v>0</v>
      </c>
      <c r="N446" t="n">
        <v>0</v>
      </c>
      <c r="O446" t="n">
        <v>0</v>
      </c>
      <c r="P446" t="n">
        <v>0</v>
      </c>
      <c r="Q446" t="n">
        <v>0</v>
      </c>
      <c r="R446" s="2" t="inlineStr"/>
    </row>
    <row r="447" ht="15" customHeight="1">
      <c r="A447" t="inlineStr">
        <is>
          <t>A 23604-2023</t>
        </is>
      </c>
      <c r="B447" s="1" t="n">
        <v>45077.45833333334</v>
      </c>
      <c r="C447" s="1" t="n">
        <v>46187</v>
      </c>
      <c r="D447" t="inlineStr">
        <is>
          <t>VÄSTERBOTTENS LÄN</t>
        </is>
      </c>
      <c r="E447" t="inlineStr">
        <is>
          <t>ÅSELE</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22093-2023</t>
        </is>
      </c>
      <c r="B448" s="1" t="n">
        <v>45068</v>
      </c>
      <c r="C448" s="1" t="n">
        <v>46187</v>
      </c>
      <c r="D448" t="inlineStr">
        <is>
          <t>VÄSTERBOTTENS LÄN</t>
        </is>
      </c>
      <c r="E448" t="inlineStr">
        <is>
          <t>ÅSELE</t>
        </is>
      </c>
      <c r="G448" t="n">
        <v>1.9</v>
      </c>
      <c r="H448" t="n">
        <v>0</v>
      </c>
      <c r="I448" t="n">
        <v>0</v>
      </c>
      <c r="J448" t="n">
        <v>0</v>
      </c>
      <c r="K448" t="n">
        <v>0</v>
      </c>
      <c r="L448" t="n">
        <v>0</v>
      </c>
      <c r="M448" t="n">
        <v>0</v>
      </c>
      <c r="N448" t="n">
        <v>0</v>
      </c>
      <c r="O448" t="n">
        <v>0</v>
      </c>
      <c r="P448" t="n">
        <v>0</v>
      </c>
      <c r="Q448" t="n">
        <v>0</v>
      </c>
      <c r="R448" s="2" t="inlineStr"/>
    </row>
    <row r="449" ht="15" customHeight="1">
      <c r="A449" t="inlineStr">
        <is>
          <t>A 13553-2024</t>
        </is>
      </c>
      <c r="B449" s="1" t="n">
        <v>45387.95421296296</v>
      </c>
      <c r="C449" s="1" t="n">
        <v>46187</v>
      </c>
      <c r="D449" t="inlineStr">
        <is>
          <t>VÄSTERBOTTENS LÄN</t>
        </is>
      </c>
      <c r="E449" t="inlineStr">
        <is>
          <t>ÅSELE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11690-2026</t>
        </is>
      </c>
      <c r="B450" s="1" t="n">
        <v>46084.59228009259</v>
      </c>
      <c r="C450" s="1" t="n">
        <v>46187</v>
      </c>
      <c r="D450" t="inlineStr">
        <is>
          <t>VÄSTERBOTTENS LÄN</t>
        </is>
      </c>
      <c r="E450" t="inlineStr">
        <is>
          <t>ÅSELE</t>
        </is>
      </c>
      <c r="G450" t="n">
        <v>0.7</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46187</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29597-2024</t>
        </is>
      </c>
      <c r="B452" s="1" t="n">
        <v>45484.58983796297</v>
      </c>
      <c r="C452" s="1" t="n">
        <v>46187</v>
      </c>
      <c r="D452" t="inlineStr">
        <is>
          <t>VÄSTERBOTTENS LÄN</t>
        </is>
      </c>
      <c r="E452" t="inlineStr">
        <is>
          <t>ÅSELE</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29619-2024</t>
        </is>
      </c>
      <c r="B453" s="1" t="n">
        <v>45484.6541087963</v>
      </c>
      <c r="C453" s="1" t="n">
        <v>46187</v>
      </c>
      <c r="D453" t="inlineStr">
        <is>
          <t>VÄSTERBOTTENS LÄN</t>
        </is>
      </c>
      <c r="E453" t="inlineStr">
        <is>
          <t>ÅSELE</t>
        </is>
      </c>
      <c r="F453" t="inlineStr">
        <is>
          <t>Sveaskog</t>
        </is>
      </c>
      <c r="G453" t="n">
        <v>9.5</v>
      </c>
      <c r="H453" t="n">
        <v>0</v>
      </c>
      <c r="I453" t="n">
        <v>0</v>
      </c>
      <c r="J453" t="n">
        <v>0</v>
      </c>
      <c r="K453" t="n">
        <v>0</v>
      </c>
      <c r="L453" t="n">
        <v>0</v>
      </c>
      <c r="M453" t="n">
        <v>0</v>
      </c>
      <c r="N453" t="n">
        <v>0</v>
      </c>
      <c r="O453" t="n">
        <v>0</v>
      </c>
      <c r="P453" t="n">
        <v>0</v>
      </c>
      <c r="Q453" t="n">
        <v>0</v>
      </c>
      <c r="R453" s="2" t="inlineStr"/>
    </row>
    <row r="454" ht="15" customHeight="1">
      <c r="A454" t="inlineStr">
        <is>
          <t>A 31190-2023</t>
        </is>
      </c>
      <c r="B454" s="1" t="n">
        <v>45113.94958333333</v>
      </c>
      <c r="C454" s="1" t="n">
        <v>46187</v>
      </c>
      <c r="D454" t="inlineStr">
        <is>
          <t>VÄSTERBOTTENS LÄN</t>
        </is>
      </c>
      <c r="E454" t="inlineStr">
        <is>
          <t>ÅSELE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32289-2025</t>
        </is>
      </c>
      <c r="B455" s="1" t="n">
        <v>45835.69831018519</v>
      </c>
      <c r="C455" s="1" t="n">
        <v>46187</v>
      </c>
      <c r="D455" t="inlineStr">
        <is>
          <t>VÄSTERBOTTENS LÄN</t>
        </is>
      </c>
      <c r="E455" t="inlineStr">
        <is>
          <t>ÅSELE</t>
        </is>
      </c>
      <c r="F455" t="inlineStr">
        <is>
          <t>SCA</t>
        </is>
      </c>
      <c r="G455" t="n">
        <v>21.2</v>
      </c>
      <c r="H455" t="n">
        <v>0</v>
      </c>
      <c r="I455" t="n">
        <v>0</v>
      </c>
      <c r="J455" t="n">
        <v>0</v>
      </c>
      <c r="K455" t="n">
        <v>0</v>
      </c>
      <c r="L455" t="n">
        <v>0</v>
      </c>
      <c r="M455" t="n">
        <v>0</v>
      </c>
      <c r="N455" t="n">
        <v>0</v>
      </c>
      <c r="O455" t="n">
        <v>0</v>
      </c>
      <c r="P455" t="n">
        <v>0</v>
      </c>
      <c r="Q455" t="n">
        <v>0</v>
      </c>
      <c r="R455" s="2" t="inlineStr"/>
    </row>
    <row r="456" ht="15" customHeight="1">
      <c r="A456" t="inlineStr">
        <is>
          <t>A 49382-2024</t>
        </is>
      </c>
      <c r="B456" s="1" t="n">
        <v>45595</v>
      </c>
      <c r="C456" s="1" t="n">
        <v>46187</v>
      </c>
      <c r="D456" t="inlineStr">
        <is>
          <t>VÄSTERBOTTENS LÄN</t>
        </is>
      </c>
      <c r="E456" t="inlineStr">
        <is>
          <t>ÅSELE</t>
        </is>
      </c>
      <c r="F456" t="inlineStr">
        <is>
          <t>Holmen skog AB</t>
        </is>
      </c>
      <c r="G456" t="n">
        <v>1.8</v>
      </c>
      <c r="H456" t="n">
        <v>0</v>
      </c>
      <c r="I456" t="n">
        <v>0</v>
      </c>
      <c r="J456" t="n">
        <v>0</v>
      </c>
      <c r="K456" t="n">
        <v>0</v>
      </c>
      <c r="L456" t="n">
        <v>0</v>
      </c>
      <c r="M456" t="n">
        <v>0</v>
      </c>
      <c r="N456" t="n">
        <v>0</v>
      </c>
      <c r="O456" t="n">
        <v>0</v>
      </c>
      <c r="P456" t="n">
        <v>0</v>
      </c>
      <c r="Q456" t="n">
        <v>0</v>
      </c>
      <c r="R456" s="2" t="inlineStr"/>
    </row>
    <row r="457" ht="15" customHeight="1">
      <c r="A457" t="inlineStr">
        <is>
          <t>A 32143-2025</t>
        </is>
      </c>
      <c r="B457" s="1" t="n">
        <v>45835.52561342593</v>
      </c>
      <c r="C457" s="1" t="n">
        <v>46187</v>
      </c>
      <c r="D457" t="inlineStr">
        <is>
          <t>VÄSTERBOTTENS LÄN</t>
        </is>
      </c>
      <c r="E457" t="inlineStr">
        <is>
          <t>ÅSELE</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41861-2024</t>
        </is>
      </c>
      <c r="B458" s="1" t="n">
        <v>45561</v>
      </c>
      <c r="C458" s="1" t="n">
        <v>46187</v>
      </c>
      <c r="D458" t="inlineStr">
        <is>
          <t>VÄSTERBOTTENS LÄN</t>
        </is>
      </c>
      <c r="E458" t="inlineStr">
        <is>
          <t>ÅSELE</t>
        </is>
      </c>
      <c r="G458" t="n">
        <v>0.3</v>
      </c>
      <c r="H458" t="n">
        <v>0</v>
      </c>
      <c r="I458" t="n">
        <v>0</v>
      </c>
      <c r="J458" t="n">
        <v>0</v>
      </c>
      <c r="K458" t="n">
        <v>0</v>
      </c>
      <c r="L458" t="n">
        <v>0</v>
      </c>
      <c r="M458" t="n">
        <v>0</v>
      </c>
      <c r="N458" t="n">
        <v>0</v>
      </c>
      <c r="O458" t="n">
        <v>0</v>
      </c>
      <c r="P458" t="n">
        <v>0</v>
      </c>
      <c r="Q458" t="n">
        <v>0</v>
      </c>
      <c r="R458" s="2" t="inlineStr"/>
    </row>
    <row r="459" ht="15" customHeight="1">
      <c r="A459" t="inlineStr">
        <is>
          <t>A 25558-2024</t>
        </is>
      </c>
      <c r="B459" s="1" t="n">
        <v>45463.58045138889</v>
      </c>
      <c r="C459" s="1" t="n">
        <v>46187</v>
      </c>
      <c r="D459" t="inlineStr">
        <is>
          <t>VÄSTERBOTTENS LÄN</t>
        </is>
      </c>
      <c r="E459" t="inlineStr">
        <is>
          <t>ÅSELE</t>
        </is>
      </c>
      <c r="F459" t="inlineStr">
        <is>
          <t>Sveaskog</t>
        </is>
      </c>
      <c r="G459" t="n">
        <v>18.1</v>
      </c>
      <c r="H459" t="n">
        <v>0</v>
      </c>
      <c r="I459" t="n">
        <v>0</v>
      </c>
      <c r="J459" t="n">
        <v>0</v>
      </c>
      <c r="K459" t="n">
        <v>0</v>
      </c>
      <c r="L459" t="n">
        <v>0</v>
      </c>
      <c r="M459" t="n">
        <v>0</v>
      </c>
      <c r="N459" t="n">
        <v>0</v>
      </c>
      <c r="O459" t="n">
        <v>0</v>
      </c>
      <c r="P459" t="n">
        <v>0</v>
      </c>
      <c r="Q459" t="n">
        <v>0</v>
      </c>
      <c r="R459" s="2" t="inlineStr"/>
    </row>
    <row r="460" ht="15" customHeight="1">
      <c r="A460" t="inlineStr">
        <is>
          <t>A 32648-2025</t>
        </is>
      </c>
      <c r="B460" s="1" t="n">
        <v>45838.67253472222</v>
      </c>
      <c r="C460" s="1" t="n">
        <v>46187</v>
      </c>
      <c r="D460" t="inlineStr">
        <is>
          <t>VÄSTERBOTTENS LÄN</t>
        </is>
      </c>
      <c r="E460" t="inlineStr">
        <is>
          <t>ÅSELE</t>
        </is>
      </c>
      <c r="F460" t="inlineStr">
        <is>
          <t>Holmen skog AB</t>
        </is>
      </c>
      <c r="G460" t="n">
        <v>20</v>
      </c>
      <c r="H460" t="n">
        <v>0</v>
      </c>
      <c r="I460" t="n">
        <v>0</v>
      </c>
      <c r="J460" t="n">
        <v>0</v>
      </c>
      <c r="K460" t="n">
        <v>0</v>
      </c>
      <c r="L460" t="n">
        <v>0</v>
      </c>
      <c r="M460" t="n">
        <v>0</v>
      </c>
      <c r="N460" t="n">
        <v>0</v>
      </c>
      <c r="O460" t="n">
        <v>0</v>
      </c>
      <c r="P460" t="n">
        <v>0</v>
      </c>
      <c r="Q460" t="n">
        <v>0</v>
      </c>
      <c r="R460" s="2" t="inlineStr"/>
    </row>
    <row r="461" ht="15" customHeight="1">
      <c r="A461" t="inlineStr">
        <is>
          <t>A 11534-2026</t>
        </is>
      </c>
      <c r="B461" s="1" t="n">
        <v>46083</v>
      </c>
      <c r="C461" s="1" t="n">
        <v>46187</v>
      </c>
      <c r="D461" t="inlineStr">
        <is>
          <t>VÄSTERBOTTENS LÄN</t>
        </is>
      </c>
      <c r="E461" t="inlineStr">
        <is>
          <t>ÅSELE</t>
        </is>
      </c>
      <c r="G461" t="n">
        <v>14.2</v>
      </c>
      <c r="H461" t="n">
        <v>0</v>
      </c>
      <c r="I461" t="n">
        <v>0</v>
      </c>
      <c r="J461" t="n">
        <v>0</v>
      </c>
      <c r="K461" t="n">
        <v>0</v>
      </c>
      <c r="L461" t="n">
        <v>0</v>
      </c>
      <c r="M461" t="n">
        <v>0</v>
      </c>
      <c r="N461" t="n">
        <v>0</v>
      </c>
      <c r="O461" t="n">
        <v>0</v>
      </c>
      <c r="P461" t="n">
        <v>0</v>
      </c>
      <c r="Q461" t="n">
        <v>0</v>
      </c>
      <c r="R461" s="2" t="inlineStr"/>
    </row>
    <row r="462" ht="15" customHeight="1">
      <c r="A462" t="inlineStr">
        <is>
          <t>A 32945-2025</t>
        </is>
      </c>
      <c r="B462" s="1" t="n">
        <v>45839.68309027778</v>
      </c>
      <c r="C462" s="1" t="n">
        <v>46187</v>
      </c>
      <c r="D462" t="inlineStr">
        <is>
          <t>VÄSTERBOTTENS LÄN</t>
        </is>
      </c>
      <c r="E462" t="inlineStr">
        <is>
          <t>ÅSELE</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12088-2026</t>
        </is>
      </c>
      <c r="B463" s="1" t="n">
        <v>46086.46201388889</v>
      </c>
      <c r="C463" s="1" t="n">
        <v>46187</v>
      </c>
      <c r="D463" t="inlineStr">
        <is>
          <t>VÄSTERBOTTENS LÄN</t>
        </is>
      </c>
      <c r="E463" t="inlineStr">
        <is>
          <t>ÅSELE</t>
        </is>
      </c>
      <c r="G463" t="n">
        <v>2.7</v>
      </c>
      <c r="H463" t="n">
        <v>0</v>
      </c>
      <c r="I463" t="n">
        <v>0</v>
      </c>
      <c r="J463" t="n">
        <v>0</v>
      </c>
      <c r="K463" t="n">
        <v>0</v>
      </c>
      <c r="L463" t="n">
        <v>0</v>
      </c>
      <c r="M463" t="n">
        <v>0</v>
      </c>
      <c r="N463" t="n">
        <v>0</v>
      </c>
      <c r="O463" t="n">
        <v>0</v>
      </c>
      <c r="P463" t="n">
        <v>0</v>
      </c>
      <c r="Q463" t="n">
        <v>0</v>
      </c>
      <c r="R463" s="2" t="inlineStr"/>
    </row>
    <row r="464" ht="15" customHeight="1">
      <c r="A464" t="inlineStr">
        <is>
          <t>A 32891-2025</t>
        </is>
      </c>
      <c r="B464" s="1" t="n">
        <v>45839.60825231481</v>
      </c>
      <c r="C464" s="1" t="n">
        <v>46187</v>
      </c>
      <c r="D464" t="inlineStr">
        <is>
          <t>VÄSTERBOTTENS LÄN</t>
        </is>
      </c>
      <c r="E464" t="inlineStr">
        <is>
          <t>ÅSELE</t>
        </is>
      </c>
      <c r="F464" t="inlineStr">
        <is>
          <t>Holmen skog AB</t>
        </is>
      </c>
      <c r="G464" t="n">
        <v>18.8</v>
      </c>
      <c r="H464" t="n">
        <v>0</v>
      </c>
      <c r="I464" t="n">
        <v>0</v>
      </c>
      <c r="J464" t="n">
        <v>0</v>
      </c>
      <c r="K464" t="n">
        <v>0</v>
      </c>
      <c r="L464" t="n">
        <v>0</v>
      </c>
      <c r="M464" t="n">
        <v>0</v>
      </c>
      <c r="N464" t="n">
        <v>0</v>
      </c>
      <c r="O464" t="n">
        <v>0</v>
      </c>
      <c r="P464" t="n">
        <v>0</v>
      </c>
      <c r="Q464" t="n">
        <v>0</v>
      </c>
      <c r="R464" s="2" t="inlineStr"/>
    </row>
    <row r="465" ht="15" customHeight="1">
      <c r="A465" t="inlineStr">
        <is>
          <t>A 11886-2026</t>
        </is>
      </c>
      <c r="B465" s="1" t="n">
        <v>46085.51328703704</v>
      </c>
      <c r="C465" s="1" t="n">
        <v>46187</v>
      </c>
      <c r="D465" t="inlineStr">
        <is>
          <t>VÄSTERBOTTENS LÄN</t>
        </is>
      </c>
      <c r="E465" t="inlineStr">
        <is>
          <t>ÅSELE</t>
        </is>
      </c>
      <c r="G465" t="n">
        <v>15.4</v>
      </c>
      <c r="H465" t="n">
        <v>0</v>
      </c>
      <c r="I465" t="n">
        <v>0</v>
      </c>
      <c r="J465" t="n">
        <v>0</v>
      </c>
      <c r="K465" t="n">
        <v>0</v>
      </c>
      <c r="L465" t="n">
        <v>0</v>
      </c>
      <c r="M465" t="n">
        <v>0</v>
      </c>
      <c r="N465" t="n">
        <v>0</v>
      </c>
      <c r="O465" t="n">
        <v>0</v>
      </c>
      <c r="P465" t="n">
        <v>0</v>
      </c>
      <c r="Q465" t="n">
        <v>0</v>
      </c>
      <c r="R465" s="2" t="inlineStr"/>
    </row>
    <row r="466" ht="15" customHeight="1">
      <c r="A466" t="inlineStr">
        <is>
          <t>A 32810-2025</t>
        </is>
      </c>
      <c r="B466" s="1" t="n">
        <v>45839.51207175926</v>
      </c>
      <c r="C466" s="1" t="n">
        <v>46187</v>
      </c>
      <c r="D466" t="inlineStr">
        <is>
          <t>VÄSTERBOTTENS LÄN</t>
        </is>
      </c>
      <c r="E466" t="inlineStr">
        <is>
          <t>ÅSELE</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32976-2025</t>
        </is>
      </c>
      <c r="B467" s="1" t="n">
        <v>45839.79112268519</v>
      </c>
      <c r="C467" s="1" t="n">
        <v>46187</v>
      </c>
      <c r="D467" t="inlineStr">
        <is>
          <t>VÄSTERBOTTENS LÄN</t>
        </is>
      </c>
      <c r="E467" t="inlineStr">
        <is>
          <t>ÅSELE</t>
        </is>
      </c>
      <c r="F467" t="inlineStr">
        <is>
          <t>Holmen skog AB</t>
        </is>
      </c>
      <c r="G467" t="n">
        <v>5.2</v>
      </c>
      <c r="H467" t="n">
        <v>0</v>
      </c>
      <c r="I467" t="n">
        <v>0</v>
      </c>
      <c r="J467" t="n">
        <v>0</v>
      </c>
      <c r="K467" t="n">
        <v>0</v>
      </c>
      <c r="L467" t="n">
        <v>0</v>
      </c>
      <c r="M467" t="n">
        <v>0</v>
      </c>
      <c r="N467" t="n">
        <v>0</v>
      </c>
      <c r="O467" t="n">
        <v>0</v>
      </c>
      <c r="P467" t="n">
        <v>0</v>
      </c>
      <c r="Q467" t="n">
        <v>0</v>
      </c>
      <c r="R467" s="2" t="inlineStr"/>
    </row>
    <row r="468" ht="15" customHeight="1">
      <c r="A468" t="inlineStr">
        <is>
          <t>A 45689-2022</t>
        </is>
      </c>
      <c r="B468" s="1" t="n">
        <v>44845.95304398148</v>
      </c>
      <c r="C468" s="1" t="n">
        <v>46187</v>
      </c>
      <c r="D468" t="inlineStr">
        <is>
          <t>VÄSTERBOTTENS LÄN</t>
        </is>
      </c>
      <c r="E468" t="inlineStr">
        <is>
          <t>ÅSELE</t>
        </is>
      </c>
      <c r="F468" t="inlineStr">
        <is>
          <t>SCA</t>
        </is>
      </c>
      <c r="G468" t="n">
        <v>9.5</v>
      </c>
      <c r="H468" t="n">
        <v>0</v>
      </c>
      <c r="I468" t="n">
        <v>0</v>
      </c>
      <c r="J468" t="n">
        <v>0</v>
      </c>
      <c r="K468" t="n">
        <v>0</v>
      </c>
      <c r="L468" t="n">
        <v>0</v>
      </c>
      <c r="M468" t="n">
        <v>0</v>
      </c>
      <c r="N468" t="n">
        <v>0</v>
      </c>
      <c r="O468" t="n">
        <v>0</v>
      </c>
      <c r="P468" t="n">
        <v>0</v>
      </c>
      <c r="Q468" t="n">
        <v>0</v>
      </c>
      <c r="R468" s="2" t="inlineStr"/>
    </row>
    <row r="469" ht="15" customHeight="1">
      <c r="A469" t="inlineStr">
        <is>
          <t>A 12418-2026</t>
        </is>
      </c>
      <c r="B469" s="1" t="n">
        <v>46090</v>
      </c>
      <c r="C469" s="1" t="n">
        <v>46187</v>
      </c>
      <c r="D469" t="inlineStr">
        <is>
          <t>VÄSTERBOTTENS LÄN</t>
        </is>
      </c>
      <c r="E469" t="inlineStr">
        <is>
          <t>ÅSELE</t>
        </is>
      </c>
      <c r="G469" t="n">
        <v>1.3</v>
      </c>
      <c r="H469" t="n">
        <v>0</v>
      </c>
      <c r="I469" t="n">
        <v>0</v>
      </c>
      <c r="J469" t="n">
        <v>0</v>
      </c>
      <c r="K469" t="n">
        <v>0</v>
      </c>
      <c r="L469" t="n">
        <v>0</v>
      </c>
      <c r="M469" t="n">
        <v>0</v>
      </c>
      <c r="N469" t="n">
        <v>0</v>
      </c>
      <c r="O469" t="n">
        <v>0</v>
      </c>
      <c r="P469" t="n">
        <v>0</v>
      </c>
      <c r="Q469" t="n">
        <v>0</v>
      </c>
      <c r="R469" s="2" t="inlineStr"/>
    </row>
    <row r="470" ht="15" customHeight="1">
      <c r="A470" t="inlineStr">
        <is>
          <t>A 12405-2026</t>
        </is>
      </c>
      <c r="B470" s="1" t="n">
        <v>46090</v>
      </c>
      <c r="C470" s="1" t="n">
        <v>46187</v>
      </c>
      <c r="D470" t="inlineStr">
        <is>
          <t>VÄSTERBOTTENS LÄN</t>
        </is>
      </c>
      <c r="E470" t="inlineStr">
        <is>
          <t>ÅSELE</t>
        </is>
      </c>
      <c r="G470" t="n">
        <v>7.3</v>
      </c>
      <c r="H470" t="n">
        <v>0</v>
      </c>
      <c r="I470" t="n">
        <v>0</v>
      </c>
      <c r="J470" t="n">
        <v>0</v>
      </c>
      <c r="K470" t="n">
        <v>0</v>
      </c>
      <c r="L470" t="n">
        <v>0</v>
      </c>
      <c r="M470" t="n">
        <v>0</v>
      </c>
      <c r="N470" t="n">
        <v>0</v>
      </c>
      <c r="O470" t="n">
        <v>0</v>
      </c>
      <c r="P470" t="n">
        <v>0</v>
      </c>
      <c r="Q470" t="n">
        <v>0</v>
      </c>
      <c r="R470" s="2" t="inlineStr"/>
    </row>
    <row r="471" ht="15" customHeight="1">
      <c r="A471" t="inlineStr">
        <is>
          <t>A 34295-2025</t>
        </is>
      </c>
      <c r="B471" s="1" t="n">
        <v>45846.34438657408</v>
      </c>
      <c r="C471" s="1" t="n">
        <v>46187</v>
      </c>
      <c r="D471" t="inlineStr">
        <is>
          <t>VÄSTERBOTTENS LÄN</t>
        </is>
      </c>
      <c r="E471" t="inlineStr">
        <is>
          <t>ÅSELE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20068-2022</t>
        </is>
      </c>
      <c r="B472" s="1" t="n">
        <v>44697</v>
      </c>
      <c r="C472" s="1" t="n">
        <v>46187</v>
      </c>
      <c r="D472" t="inlineStr">
        <is>
          <t>VÄSTERBOTTENS LÄN</t>
        </is>
      </c>
      <c r="E472" t="inlineStr">
        <is>
          <t>ÅSELE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48670-2023</t>
        </is>
      </c>
      <c r="B473" s="1" t="n">
        <v>45208.62702546296</v>
      </c>
      <c r="C473" s="1" t="n">
        <v>46187</v>
      </c>
      <c r="D473" t="inlineStr">
        <is>
          <t>VÄSTERBOTTENS LÄN</t>
        </is>
      </c>
      <c r="E473" t="inlineStr">
        <is>
          <t>ÅSELE</t>
        </is>
      </c>
      <c r="F473" t="inlineStr">
        <is>
          <t>Naturvårdsverket</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12811-2026</t>
        </is>
      </c>
      <c r="B474" s="1" t="n">
        <v>46092.38594907407</v>
      </c>
      <c r="C474" s="1" t="n">
        <v>46187</v>
      </c>
      <c r="D474" t="inlineStr">
        <is>
          <t>VÄSTERBOTTENS LÄN</t>
        </is>
      </c>
      <c r="E474" t="inlineStr">
        <is>
          <t>ÅSELE</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17447-2025</t>
        </is>
      </c>
      <c r="B475" s="1" t="n">
        <v>45757</v>
      </c>
      <c r="C475" s="1" t="n">
        <v>46187</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13000-2026</t>
        </is>
      </c>
      <c r="B476" s="1" t="n">
        <v>46092.684375</v>
      </c>
      <c r="C476" s="1" t="n">
        <v>46187</v>
      </c>
      <c r="D476" t="inlineStr">
        <is>
          <t>VÄSTERBOTTENS LÄN</t>
        </is>
      </c>
      <c r="E476" t="inlineStr">
        <is>
          <t>ÅSELE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11535-2026</t>
        </is>
      </c>
      <c r="B477" s="1" t="n">
        <v>46083</v>
      </c>
      <c r="C477" s="1" t="n">
        <v>46187</v>
      </c>
      <c r="D477" t="inlineStr">
        <is>
          <t>VÄSTERBOTTENS LÄN</t>
        </is>
      </c>
      <c r="E477" t="inlineStr">
        <is>
          <t>ÅSELE</t>
        </is>
      </c>
      <c r="G477" t="n">
        <v>6.9</v>
      </c>
      <c r="H477" t="n">
        <v>0</v>
      </c>
      <c r="I477" t="n">
        <v>0</v>
      </c>
      <c r="J477" t="n">
        <v>0</v>
      </c>
      <c r="K477" t="n">
        <v>0</v>
      </c>
      <c r="L477" t="n">
        <v>0</v>
      </c>
      <c r="M477" t="n">
        <v>0</v>
      </c>
      <c r="N477" t="n">
        <v>0</v>
      </c>
      <c r="O477" t="n">
        <v>0</v>
      </c>
      <c r="P477" t="n">
        <v>0</v>
      </c>
      <c r="Q477" t="n">
        <v>0</v>
      </c>
      <c r="R477" s="2" t="inlineStr"/>
    </row>
    <row r="478" ht="15" customHeight="1">
      <c r="A478" t="inlineStr">
        <is>
          <t>A 12921-2026</t>
        </is>
      </c>
      <c r="B478" s="1" t="n">
        <v>46092.60209490741</v>
      </c>
      <c r="C478" s="1" t="n">
        <v>46187</v>
      </c>
      <c r="D478" t="inlineStr">
        <is>
          <t>VÄSTERBOTTENS LÄN</t>
        </is>
      </c>
      <c r="E478" t="inlineStr">
        <is>
          <t>ÅSELE</t>
        </is>
      </c>
      <c r="G478" t="n">
        <v>18.8</v>
      </c>
      <c r="H478" t="n">
        <v>0</v>
      </c>
      <c r="I478" t="n">
        <v>0</v>
      </c>
      <c r="J478" t="n">
        <v>0</v>
      </c>
      <c r="K478" t="n">
        <v>0</v>
      </c>
      <c r="L478" t="n">
        <v>0</v>
      </c>
      <c r="M478" t="n">
        <v>0</v>
      </c>
      <c r="N478" t="n">
        <v>0</v>
      </c>
      <c r="O478" t="n">
        <v>0</v>
      </c>
      <c r="P478" t="n">
        <v>0</v>
      </c>
      <c r="Q478" t="n">
        <v>0</v>
      </c>
      <c r="R478" s="2" t="inlineStr"/>
    </row>
    <row r="479" ht="15" customHeight="1">
      <c r="A479" t="inlineStr">
        <is>
          <t>A 13351-2026</t>
        </is>
      </c>
      <c r="B479" s="1" t="n">
        <v>46094.3859375</v>
      </c>
      <c r="C479" s="1" t="n">
        <v>46187</v>
      </c>
      <c r="D479" t="inlineStr">
        <is>
          <t>VÄSTERBOTTENS LÄN</t>
        </is>
      </c>
      <c r="E479" t="inlineStr">
        <is>
          <t>ÅSELE</t>
        </is>
      </c>
      <c r="F479" t="inlineStr">
        <is>
          <t>SCA</t>
        </is>
      </c>
      <c r="G479" t="n">
        <v>12.2</v>
      </c>
      <c r="H479" t="n">
        <v>0</v>
      </c>
      <c r="I479" t="n">
        <v>0</v>
      </c>
      <c r="J479" t="n">
        <v>0</v>
      </c>
      <c r="K479" t="n">
        <v>0</v>
      </c>
      <c r="L479" t="n">
        <v>0</v>
      </c>
      <c r="M479" t="n">
        <v>0</v>
      </c>
      <c r="N479" t="n">
        <v>0</v>
      </c>
      <c r="O479" t="n">
        <v>0</v>
      </c>
      <c r="P479" t="n">
        <v>0</v>
      </c>
      <c r="Q479" t="n">
        <v>0</v>
      </c>
      <c r="R479" s="2" t="inlineStr"/>
    </row>
    <row r="480" ht="15" customHeight="1">
      <c r="A480" t="inlineStr">
        <is>
          <t>A 13164-2026</t>
        </is>
      </c>
      <c r="B480" s="1" t="n">
        <v>46093</v>
      </c>
      <c r="C480" s="1" t="n">
        <v>46187</v>
      </c>
      <c r="D480" t="inlineStr">
        <is>
          <t>VÄSTERBOTTENS LÄN</t>
        </is>
      </c>
      <c r="E480" t="inlineStr">
        <is>
          <t>ÅSELE</t>
        </is>
      </c>
      <c r="G480" t="n">
        <v>7.1</v>
      </c>
      <c r="H480" t="n">
        <v>0</v>
      </c>
      <c r="I480" t="n">
        <v>0</v>
      </c>
      <c r="J480" t="n">
        <v>0</v>
      </c>
      <c r="K480" t="n">
        <v>0</v>
      </c>
      <c r="L480" t="n">
        <v>0</v>
      </c>
      <c r="M480" t="n">
        <v>0</v>
      </c>
      <c r="N480" t="n">
        <v>0</v>
      </c>
      <c r="O480" t="n">
        <v>0</v>
      </c>
      <c r="P480" t="n">
        <v>0</v>
      </c>
      <c r="Q480" t="n">
        <v>0</v>
      </c>
      <c r="R480" s="2" t="inlineStr"/>
    </row>
    <row r="481" ht="15" customHeight="1">
      <c r="A481" t="inlineStr">
        <is>
          <t>A 13273-2026</t>
        </is>
      </c>
      <c r="B481" s="1" t="n">
        <v>46093</v>
      </c>
      <c r="C481" s="1" t="n">
        <v>46187</v>
      </c>
      <c r="D481" t="inlineStr">
        <is>
          <t>VÄSTERBOTTENS LÄN</t>
        </is>
      </c>
      <c r="E481" t="inlineStr">
        <is>
          <t>ÅSELE</t>
        </is>
      </c>
      <c r="G481" t="n">
        <v>3.8</v>
      </c>
      <c r="H481" t="n">
        <v>0</v>
      </c>
      <c r="I481" t="n">
        <v>0</v>
      </c>
      <c r="J481" t="n">
        <v>0</v>
      </c>
      <c r="K481" t="n">
        <v>0</v>
      </c>
      <c r="L481" t="n">
        <v>0</v>
      </c>
      <c r="M481" t="n">
        <v>0</v>
      </c>
      <c r="N481" t="n">
        <v>0</v>
      </c>
      <c r="O481" t="n">
        <v>0</v>
      </c>
      <c r="P481" t="n">
        <v>0</v>
      </c>
      <c r="Q481" t="n">
        <v>0</v>
      </c>
      <c r="R481" s="2" t="inlineStr"/>
    </row>
    <row r="482" ht="15" customHeight="1">
      <c r="A482" t="inlineStr">
        <is>
          <t>A 13509-2026</t>
        </is>
      </c>
      <c r="B482" s="1" t="n">
        <v>46094.60001157408</v>
      </c>
      <c r="C482" s="1" t="n">
        <v>46187</v>
      </c>
      <c r="D482" t="inlineStr">
        <is>
          <t>VÄSTERBOTTENS LÄN</t>
        </is>
      </c>
      <c r="E482" t="inlineStr">
        <is>
          <t>ÅSELE</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13056-2026</t>
        </is>
      </c>
      <c r="B483" s="1" t="n">
        <v>46093.34582175926</v>
      </c>
      <c r="C483" s="1" t="n">
        <v>46187</v>
      </c>
      <c r="D483" t="inlineStr">
        <is>
          <t>VÄSTERBOTTENS LÄN</t>
        </is>
      </c>
      <c r="E483" t="inlineStr">
        <is>
          <t>ÅSELE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22113-2024</t>
        </is>
      </c>
      <c r="B484" s="1" t="n">
        <v>45443</v>
      </c>
      <c r="C484" s="1" t="n">
        <v>46187</v>
      </c>
      <c r="D484" t="inlineStr">
        <is>
          <t>VÄSTERBOTTENS LÄN</t>
        </is>
      </c>
      <c r="E484" t="inlineStr">
        <is>
          <t>ÅSELE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29962-2024</t>
        </is>
      </c>
      <c r="B485" s="1" t="n">
        <v>45488.46452546296</v>
      </c>
      <c r="C485" s="1" t="n">
        <v>46187</v>
      </c>
      <c r="D485" t="inlineStr">
        <is>
          <t>VÄSTERBOTTENS LÄN</t>
        </is>
      </c>
      <c r="E485" t="inlineStr">
        <is>
          <t>ÅSELE</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13161-2026</t>
        </is>
      </c>
      <c r="B486" s="1" t="n">
        <v>46093</v>
      </c>
      <c r="C486" s="1" t="n">
        <v>46187</v>
      </c>
      <c r="D486" t="inlineStr">
        <is>
          <t>VÄSTERBOTTENS LÄN</t>
        </is>
      </c>
      <c r="E486" t="inlineStr">
        <is>
          <t>ÅSELE</t>
        </is>
      </c>
      <c r="G486" t="n">
        <v>0.5</v>
      </c>
      <c r="H486" t="n">
        <v>0</v>
      </c>
      <c r="I486" t="n">
        <v>0</v>
      </c>
      <c r="J486" t="n">
        <v>0</v>
      </c>
      <c r="K486" t="n">
        <v>0</v>
      </c>
      <c r="L486" t="n">
        <v>0</v>
      </c>
      <c r="M486" t="n">
        <v>0</v>
      </c>
      <c r="N486" t="n">
        <v>0</v>
      </c>
      <c r="O486" t="n">
        <v>0</v>
      </c>
      <c r="P486" t="n">
        <v>0</v>
      </c>
      <c r="Q486" t="n">
        <v>0</v>
      </c>
      <c r="R486" s="2" t="inlineStr"/>
    </row>
    <row r="487" ht="15" customHeight="1">
      <c r="A487" t="inlineStr">
        <is>
          <t>A 13169-2026</t>
        </is>
      </c>
      <c r="B487" s="1" t="n">
        <v>46093</v>
      </c>
      <c r="C487" s="1" t="n">
        <v>46187</v>
      </c>
      <c r="D487" t="inlineStr">
        <is>
          <t>VÄSTERBOTTENS LÄN</t>
        </is>
      </c>
      <c r="E487" t="inlineStr">
        <is>
          <t>ÅSELE</t>
        </is>
      </c>
      <c r="G487" t="n">
        <v>0.4</v>
      </c>
      <c r="H487" t="n">
        <v>0</v>
      </c>
      <c r="I487" t="n">
        <v>0</v>
      </c>
      <c r="J487" t="n">
        <v>0</v>
      </c>
      <c r="K487" t="n">
        <v>0</v>
      </c>
      <c r="L487" t="n">
        <v>0</v>
      </c>
      <c r="M487" t="n">
        <v>0</v>
      </c>
      <c r="N487" t="n">
        <v>0</v>
      </c>
      <c r="O487" t="n">
        <v>0</v>
      </c>
      <c r="P487" t="n">
        <v>0</v>
      </c>
      <c r="Q487" t="n">
        <v>0</v>
      </c>
      <c r="R487" s="2" t="inlineStr"/>
    </row>
    <row r="488" ht="15" customHeight="1">
      <c r="A488" t="inlineStr">
        <is>
          <t>A 13249-2026</t>
        </is>
      </c>
      <c r="B488" s="1" t="n">
        <v>46093.656875</v>
      </c>
      <c r="C488" s="1" t="n">
        <v>46187</v>
      </c>
      <c r="D488" t="inlineStr">
        <is>
          <t>VÄSTERBOTTENS LÄN</t>
        </is>
      </c>
      <c r="E488" t="inlineStr">
        <is>
          <t>ÅSELE</t>
        </is>
      </c>
      <c r="F488" t="inlineStr">
        <is>
          <t>SCA</t>
        </is>
      </c>
      <c r="G488" t="n">
        <v>13.6</v>
      </c>
      <c r="H488" t="n">
        <v>0</v>
      </c>
      <c r="I488" t="n">
        <v>0</v>
      </c>
      <c r="J488" t="n">
        <v>0</v>
      </c>
      <c r="K488" t="n">
        <v>0</v>
      </c>
      <c r="L488" t="n">
        <v>0</v>
      </c>
      <c r="M488" t="n">
        <v>0</v>
      </c>
      <c r="N488" t="n">
        <v>0</v>
      </c>
      <c r="O488" t="n">
        <v>0</v>
      </c>
      <c r="P488" t="n">
        <v>0</v>
      </c>
      <c r="Q488" t="n">
        <v>0</v>
      </c>
      <c r="R488" s="2" t="inlineStr"/>
    </row>
    <row r="489" ht="15" customHeight="1">
      <c r="A489" t="inlineStr">
        <is>
          <t>A 13794-2026</t>
        </is>
      </c>
      <c r="B489" s="1" t="n">
        <v>46097.8160300926</v>
      </c>
      <c r="C489" s="1" t="n">
        <v>46187</v>
      </c>
      <c r="D489" t="inlineStr">
        <is>
          <t>VÄSTERBOTTENS LÄN</t>
        </is>
      </c>
      <c r="E489" t="inlineStr">
        <is>
          <t>ÅSELE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743-2025</t>
        </is>
      </c>
      <c r="B490" s="1" t="n">
        <v>45665.4312037037</v>
      </c>
      <c r="C490" s="1" t="n">
        <v>46187</v>
      </c>
      <c r="D490" t="inlineStr">
        <is>
          <t>VÄSTERBOTTENS LÄN</t>
        </is>
      </c>
      <c r="E490" t="inlineStr">
        <is>
          <t>ÅSELE</t>
        </is>
      </c>
      <c r="F490" t="inlineStr">
        <is>
          <t>Naturvårdsverket</t>
        </is>
      </c>
      <c r="G490" t="n">
        <v>2</v>
      </c>
      <c r="H490" t="n">
        <v>0</v>
      </c>
      <c r="I490" t="n">
        <v>0</v>
      </c>
      <c r="J490" t="n">
        <v>0</v>
      </c>
      <c r="K490" t="n">
        <v>0</v>
      </c>
      <c r="L490" t="n">
        <v>0</v>
      </c>
      <c r="M490" t="n">
        <v>0</v>
      </c>
      <c r="N490" t="n">
        <v>0</v>
      </c>
      <c r="O490" t="n">
        <v>0</v>
      </c>
      <c r="P490" t="n">
        <v>0</v>
      </c>
      <c r="Q490" t="n">
        <v>0</v>
      </c>
      <c r="R490" s="2" t="inlineStr"/>
    </row>
    <row r="491" ht="15" customHeight="1">
      <c r="A491" t="inlineStr">
        <is>
          <t>A 34808-2025</t>
        </is>
      </c>
      <c r="B491" s="1" t="n">
        <v>45849.34042824074</v>
      </c>
      <c r="C491" s="1" t="n">
        <v>46187</v>
      </c>
      <c r="D491" t="inlineStr">
        <is>
          <t>VÄSTERBOTTENS LÄN</t>
        </is>
      </c>
      <c r="E491" t="inlineStr">
        <is>
          <t>ÅSELE</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49926-2023</t>
        </is>
      </c>
      <c r="B492" s="1" t="n">
        <v>45214.87300925926</v>
      </c>
      <c r="C492" s="1" t="n">
        <v>46187</v>
      </c>
      <c r="D492" t="inlineStr">
        <is>
          <t>VÄSTERBOTTENS LÄN</t>
        </is>
      </c>
      <c r="E492" t="inlineStr">
        <is>
          <t>ÅSELE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49928-2023</t>
        </is>
      </c>
      <c r="B493" s="1" t="n">
        <v>45214.93665509259</v>
      </c>
      <c r="C493" s="1" t="n">
        <v>46187</v>
      </c>
      <c r="D493" t="inlineStr">
        <is>
          <t>VÄSTERBOTTENS LÄN</t>
        </is>
      </c>
      <c r="E493" t="inlineStr">
        <is>
          <t>ÅSELE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54957-2024</t>
        </is>
      </c>
      <c r="B494" s="1" t="n">
        <v>45619</v>
      </c>
      <c r="C494" s="1" t="n">
        <v>46187</v>
      </c>
      <c r="D494" t="inlineStr">
        <is>
          <t>VÄSTERBOTTENS LÄN</t>
        </is>
      </c>
      <c r="E494" t="inlineStr">
        <is>
          <t>ÅSELE</t>
        </is>
      </c>
      <c r="F494" t="inlineStr">
        <is>
          <t>SCA</t>
        </is>
      </c>
      <c r="G494" t="n">
        <v>17.4</v>
      </c>
      <c r="H494" t="n">
        <v>0</v>
      </c>
      <c r="I494" t="n">
        <v>0</v>
      </c>
      <c r="J494" t="n">
        <v>0</v>
      </c>
      <c r="K494" t="n">
        <v>0</v>
      </c>
      <c r="L494" t="n">
        <v>0</v>
      </c>
      <c r="M494" t="n">
        <v>0</v>
      </c>
      <c r="N494" t="n">
        <v>0</v>
      </c>
      <c r="O494" t="n">
        <v>0</v>
      </c>
      <c r="P494" t="n">
        <v>0</v>
      </c>
      <c r="Q494" t="n">
        <v>0</v>
      </c>
      <c r="R494" s="2" t="inlineStr"/>
    </row>
    <row r="495" ht="15" customHeight="1">
      <c r="A495" t="inlineStr">
        <is>
          <t>A 7512-2023</t>
        </is>
      </c>
      <c r="B495" s="1" t="n">
        <v>44971.93078703704</v>
      </c>
      <c r="C495" s="1" t="n">
        <v>46187</v>
      </c>
      <c r="D495" t="inlineStr">
        <is>
          <t>VÄSTERBOTTENS LÄN</t>
        </is>
      </c>
      <c r="E495" t="inlineStr">
        <is>
          <t>ÅSELE</t>
        </is>
      </c>
      <c r="G495" t="n">
        <v>0.8</v>
      </c>
      <c r="H495" t="n">
        <v>0</v>
      </c>
      <c r="I495" t="n">
        <v>0</v>
      </c>
      <c r="J495" t="n">
        <v>0</v>
      </c>
      <c r="K495" t="n">
        <v>0</v>
      </c>
      <c r="L495" t="n">
        <v>0</v>
      </c>
      <c r="M495" t="n">
        <v>0</v>
      </c>
      <c r="N495" t="n">
        <v>0</v>
      </c>
      <c r="O495" t="n">
        <v>0</v>
      </c>
      <c r="P495" t="n">
        <v>0</v>
      </c>
      <c r="Q495" t="n">
        <v>0</v>
      </c>
      <c r="R495" s="2" t="inlineStr"/>
    </row>
    <row r="496" ht="15" customHeight="1">
      <c r="A496" t="inlineStr">
        <is>
          <t>A 34883-2025</t>
        </is>
      </c>
      <c r="B496" s="1" t="n">
        <v>45849.46943287037</v>
      </c>
      <c r="C496" s="1" t="n">
        <v>46187</v>
      </c>
      <c r="D496" t="inlineStr">
        <is>
          <t>VÄSTERBOTTENS LÄN</t>
        </is>
      </c>
      <c r="E496" t="inlineStr">
        <is>
          <t>ÅSELE</t>
        </is>
      </c>
      <c r="F496" t="inlineStr">
        <is>
          <t>SCA</t>
        </is>
      </c>
      <c r="G496" t="n">
        <v>13.3</v>
      </c>
      <c r="H496" t="n">
        <v>0</v>
      </c>
      <c r="I496" t="n">
        <v>0</v>
      </c>
      <c r="J496" t="n">
        <v>0</v>
      </c>
      <c r="K496" t="n">
        <v>0</v>
      </c>
      <c r="L496" t="n">
        <v>0</v>
      </c>
      <c r="M496" t="n">
        <v>0</v>
      </c>
      <c r="N496" t="n">
        <v>0</v>
      </c>
      <c r="O496" t="n">
        <v>0</v>
      </c>
      <c r="P496" t="n">
        <v>0</v>
      </c>
      <c r="Q496" t="n">
        <v>0</v>
      </c>
      <c r="R496" s="2" t="inlineStr"/>
    </row>
    <row r="497" ht="15" customHeight="1">
      <c r="A497" t="inlineStr">
        <is>
          <t>A 34659-2025</t>
        </is>
      </c>
      <c r="B497" s="1" t="n">
        <v>45848.36859953704</v>
      </c>
      <c r="C497" s="1" t="n">
        <v>46187</v>
      </c>
      <c r="D497" t="inlineStr">
        <is>
          <t>VÄSTERBOTTENS LÄN</t>
        </is>
      </c>
      <c r="E497" t="inlineStr">
        <is>
          <t>ÅSELE</t>
        </is>
      </c>
      <c r="G497" t="n">
        <v>2.6</v>
      </c>
      <c r="H497" t="n">
        <v>0</v>
      </c>
      <c r="I497" t="n">
        <v>0</v>
      </c>
      <c r="J497" t="n">
        <v>0</v>
      </c>
      <c r="K497" t="n">
        <v>0</v>
      </c>
      <c r="L497" t="n">
        <v>0</v>
      </c>
      <c r="M497" t="n">
        <v>0</v>
      </c>
      <c r="N497" t="n">
        <v>0</v>
      </c>
      <c r="O497" t="n">
        <v>0</v>
      </c>
      <c r="P497" t="n">
        <v>0</v>
      </c>
      <c r="Q497" t="n">
        <v>0</v>
      </c>
      <c r="R497" s="2" t="inlineStr"/>
    </row>
    <row r="498" ht="15" customHeight="1">
      <c r="A498" t="inlineStr">
        <is>
          <t>A 34661-2025</t>
        </is>
      </c>
      <c r="B498" s="1" t="n">
        <v>45848.3715625</v>
      </c>
      <c r="C498" s="1" t="n">
        <v>46187</v>
      </c>
      <c r="D498" t="inlineStr">
        <is>
          <t>VÄSTERBOTTENS LÄN</t>
        </is>
      </c>
      <c r="E498" t="inlineStr">
        <is>
          <t>ÅSELE</t>
        </is>
      </c>
      <c r="G498" t="n">
        <v>0.6</v>
      </c>
      <c r="H498" t="n">
        <v>0</v>
      </c>
      <c r="I498" t="n">
        <v>0</v>
      </c>
      <c r="J498" t="n">
        <v>0</v>
      </c>
      <c r="K498" t="n">
        <v>0</v>
      </c>
      <c r="L498" t="n">
        <v>0</v>
      </c>
      <c r="M498" t="n">
        <v>0</v>
      </c>
      <c r="N498" t="n">
        <v>0</v>
      </c>
      <c r="O498" t="n">
        <v>0</v>
      </c>
      <c r="P498" t="n">
        <v>0</v>
      </c>
      <c r="Q498" t="n">
        <v>0</v>
      </c>
      <c r="R498" s="2" t="inlineStr"/>
    </row>
    <row r="499" ht="15" customHeight="1">
      <c r="A499" t="inlineStr">
        <is>
          <t>A 34843-2025</t>
        </is>
      </c>
      <c r="B499" s="1" t="n">
        <v>45849.40900462963</v>
      </c>
      <c r="C499" s="1" t="n">
        <v>46187</v>
      </c>
      <c r="D499" t="inlineStr">
        <is>
          <t>VÄSTERBOTTENS LÄN</t>
        </is>
      </c>
      <c r="E499" t="inlineStr">
        <is>
          <t>ÅSELE</t>
        </is>
      </c>
      <c r="F499" t="inlineStr">
        <is>
          <t>Sveaskog</t>
        </is>
      </c>
      <c r="G499" t="n">
        <v>4.2</v>
      </c>
      <c r="H499" t="n">
        <v>0</v>
      </c>
      <c r="I499" t="n">
        <v>0</v>
      </c>
      <c r="J499" t="n">
        <v>0</v>
      </c>
      <c r="K499" t="n">
        <v>0</v>
      </c>
      <c r="L499" t="n">
        <v>0</v>
      </c>
      <c r="M499" t="n">
        <v>0</v>
      </c>
      <c r="N499" t="n">
        <v>0</v>
      </c>
      <c r="O499" t="n">
        <v>0</v>
      </c>
      <c r="P499" t="n">
        <v>0</v>
      </c>
      <c r="Q499" t="n">
        <v>0</v>
      </c>
      <c r="R499" s="2" t="inlineStr"/>
    </row>
    <row r="500" ht="15" customHeight="1">
      <c r="A500" t="inlineStr">
        <is>
          <t>A 34900-2025</t>
        </is>
      </c>
      <c r="B500" s="1" t="n">
        <v>45849.5046875</v>
      </c>
      <c r="C500" s="1" t="n">
        <v>46187</v>
      </c>
      <c r="D500" t="inlineStr">
        <is>
          <t>VÄSTERBOTTENS LÄN</t>
        </is>
      </c>
      <c r="E500" t="inlineStr">
        <is>
          <t>ÅSELE</t>
        </is>
      </c>
      <c r="G500" t="n">
        <v>1.4</v>
      </c>
      <c r="H500" t="n">
        <v>0</v>
      </c>
      <c r="I500" t="n">
        <v>0</v>
      </c>
      <c r="J500" t="n">
        <v>0</v>
      </c>
      <c r="K500" t="n">
        <v>0</v>
      </c>
      <c r="L500" t="n">
        <v>0</v>
      </c>
      <c r="M500" t="n">
        <v>0</v>
      </c>
      <c r="N500" t="n">
        <v>0</v>
      </c>
      <c r="O500" t="n">
        <v>0</v>
      </c>
      <c r="P500" t="n">
        <v>0</v>
      </c>
      <c r="Q500" t="n">
        <v>0</v>
      </c>
      <c r="R500" s="2" t="inlineStr"/>
    </row>
    <row r="501" ht="15" customHeight="1">
      <c r="A501" t="inlineStr">
        <is>
          <t>A 28731-2023</t>
        </is>
      </c>
      <c r="B501" s="1" t="n">
        <v>45103</v>
      </c>
      <c r="C501" s="1" t="n">
        <v>46187</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42180-2021</t>
        </is>
      </c>
      <c r="B502" s="1" t="n">
        <v>44426.68600694444</v>
      </c>
      <c r="C502" s="1" t="n">
        <v>46187</v>
      </c>
      <c r="D502" t="inlineStr">
        <is>
          <t>VÄSTERBOTTENS LÄN</t>
        </is>
      </c>
      <c r="E502" t="inlineStr">
        <is>
          <t>ÅSELE</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43133-2023</t>
        </is>
      </c>
      <c r="B503" s="1" t="n">
        <v>45182</v>
      </c>
      <c r="C503" s="1" t="n">
        <v>46187</v>
      </c>
      <c r="D503" t="inlineStr">
        <is>
          <t>VÄSTERBOTTENS LÄN</t>
        </is>
      </c>
      <c r="E503" t="inlineStr">
        <is>
          <t>ÅSELE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14458-2026</t>
        </is>
      </c>
      <c r="B504" s="1" t="n">
        <v>46100.53188657408</v>
      </c>
      <c r="C504" s="1" t="n">
        <v>46187</v>
      </c>
      <c r="D504" t="inlineStr">
        <is>
          <t>VÄSTERBOTTENS LÄN</t>
        </is>
      </c>
      <c r="E504" t="inlineStr">
        <is>
          <t>ÅSELE</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15051-2026</t>
        </is>
      </c>
      <c r="B505" s="1" t="n">
        <v>46104.67607638889</v>
      </c>
      <c r="C505" s="1" t="n">
        <v>46187</v>
      </c>
      <c r="D505" t="inlineStr">
        <is>
          <t>VÄSTERBOTTENS LÄN</t>
        </is>
      </c>
      <c r="E505" t="inlineStr">
        <is>
          <t>ÅSELE</t>
        </is>
      </c>
      <c r="F505" t="inlineStr">
        <is>
          <t>Holmen skog AB</t>
        </is>
      </c>
      <c r="G505" t="n">
        <v>2.9</v>
      </c>
      <c r="H505" t="n">
        <v>0</v>
      </c>
      <c r="I505" t="n">
        <v>0</v>
      </c>
      <c r="J505" t="n">
        <v>0</v>
      </c>
      <c r="K505" t="n">
        <v>0</v>
      </c>
      <c r="L505" t="n">
        <v>0</v>
      </c>
      <c r="M505" t="n">
        <v>0</v>
      </c>
      <c r="N505" t="n">
        <v>0</v>
      </c>
      <c r="O505" t="n">
        <v>0</v>
      </c>
      <c r="P505" t="n">
        <v>0</v>
      </c>
      <c r="Q505" t="n">
        <v>0</v>
      </c>
      <c r="R505" s="2" t="inlineStr"/>
    </row>
    <row r="506" ht="15" customHeight="1">
      <c r="A506" t="inlineStr">
        <is>
          <t>A 20305-2025</t>
        </is>
      </c>
      <c r="B506" s="1" t="n">
        <v>45774.81648148148</v>
      </c>
      <c r="C506" s="1" t="n">
        <v>46187</v>
      </c>
      <c r="D506" t="inlineStr">
        <is>
          <t>VÄSTERBOTTENS LÄN</t>
        </is>
      </c>
      <c r="E506" t="inlineStr">
        <is>
          <t>ÅSELE</t>
        </is>
      </c>
      <c r="G506" t="n">
        <v>5.4</v>
      </c>
      <c r="H506" t="n">
        <v>0</v>
      </c>
      <c r="I506" t="n">
        <v>0</v>
      </c>
      <c r="J506" t="n">
        <v>0</v>
      </c>
      <c r="K506" t="n">
        <v>0</v>
      </c>
      <c r="L506" t="n">
        <v>0</v>
      </c>
      <c r="M506" t="n">
        <v>0</v>
      </c>
      <c r="N506" t="n">
        <v>0</v>
      </c>
      <c r="O506" t="n">
        <v>0</v>
      </c>
      <c r="P506" t="n">
        <v>0</v>
      </c>
      <c r="Q506" t="n">
        <v>0</v>
      </c>
      <c r="R506" s="2" t="inlineStr"/>
    </row>
    <row r="507" ht="15" customHeight="1">
      <c r="A507" t="inlineStr">
        <is>
          <t>A 36959-2024</t>
        </is>
      </c>
      <c r="B507" s="1" t="n">
        <v>45538</v>
      </c>
      <c r="C507" s="1" t="n">
        <v>46187</v>
      </c>
      <c r="D507" t="inlineStr">
        <is>
          <t>VÄSTERBOTTENS LÄN</t>
        </is>
      </c>
      <c r="E507" t="inlineStr">
        <is>
          <t>ÅSELE</t>
        </is>
      </c>
      <c r="F507" t="inlineStr">
        <is>
          <t>Naturvårdsverket</t>
        </is>
      </c>
      <c r="G507" t="n">
        <v>13.4</v>
      </c>
      <c r="H507" t="n">
        <v>0</v>
      </c>
      <c r="I507" t="n">
        <v>0</v>
      </c>
      <c r="J507" t="n">
        <v>0</v>
      </c>
      <c r="K507" t="n">
        <v>0</v>
      </c>
      <c r="L507" t="n">
        <v>0</v>
      </c>
      <c r="M507" t="n">
        <v>0</v>
      </c>
      <c r="N507" t="n">
        <v>0</v>
      </c>
      <c r="O507" t="n">
        <v>0</v>
      </c>
      <c r="P507" t="n">
        <v>0</v>
      </c>
      <c r="Q507" t="n">
        <v>0</v>
      </c>
      <c r="R507" s="2" t="inlineStr"/>
    </row>
    <row r="508" ht="15" customHeight="1">
      <c r="A508" t="inlineStr">
        <is>
          <t>A 21537-2026</t>
        </is>
      </c>
      <c r="B508" s="1" t="n">
        <v>46148.6366087963</v>
      </c>
      <c r="C508" s="1" t="n">
        <v>46187</v>
      </c>
      <c r="D508" t="inlineStr">
        <is>
          <t>VÄSTERBOTTENS LÄN</t>
        </is>
      </c>
      <c r="E508" t="inlineStr">
        <is>
          <t>ÅSELE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28943-2024</t>
        </is>
      </c>
      <c r="B509" s="1" t="n">
        <v>45481</v>
      </c>
      <c r="C509" s="1" t="n">
        <v>46187</v>
      </c>
      <c r="D509" t="inlineStr">
        <is>
          <t>VÄSTERBOTTENS LÄN</t>
        </is>
      </c>
      <c r="E509" t="inlineStr">
        <is>
          <t>ÅSELE</t>
        </is>
      </c>
      <c r="F509" t="inlineStr">
        <is>
          <t>Sveaskog</t>
        </is>
      </c>
      <c r="G509" t="n">
        <v>24.2</v>
      </c>
      <c r="H509" t="n">
        <v>0</v>
      </c>
      <c r="I509" t="n">
        <v>0</v>
      </c>
      <c r="J509" t="n">
        <v>0</v>
      </c>
      <c r="K509" t="n">
        <v>0</v>
      </c>
      <c r="L509" t="n">
        <v>0</v>
      </c>
      <c r="M509" t="n">
        <v>0</v>
      </c>
      <c r="N509" t="n">
        <v>0</v>
      </c>
      <c r="O509" t="n">
        <v>0</v>
      </c>
      <c r="P509" t="n">
        <v>0</v>
      </c>
      <c r="Q509" t="n">
        <v>0</v>
      </c>
      <c r="R509" s="2" t="inlineStr"/>
    </row>
    <row r="510" ht="15" customHeight="1">
      <c r="A510" t="inlineStr">
        <is>
          <t>A 8851-2024</t>
        </is>
      </c>
      <c r="B510" s="1" t="n">
        <v>45356</v>
      </c>
      <c r="C510" s="1" t="n">
        <v>46187</v>
      </c>
      <c r="D510" t="inlineStr">
        <is>
          <t>VÄSTERBOTTENS LÄN</t>
        </is>
      </c>
      <c r="E510" t="inlineStr">
        <is>
          <t>ÅSELE</t>
        </is>
      </c>
      <c r="F510" t="inlineStr">
        <is>
          <t>Kommuner</t>
        </is>
      </c>
      <c r="G510" t="n">
        <v>0.9</v>
      </c>
      <c r="H510" t="n">
        <v>0</v>
      </c>
      <c r="I510" t="n">
        <v>0</v>
      </c>
      <c r="J510" t="n">
        <v>0</v>
      </c>
      <c r="K510" t="n">
        <v>0</v>
      </c>
      <c r="L510" t="n">
        <v>0</v>
      </c>
      <c r="M510" t="n">
        <v>0</v>
      </c>
      <c r="N510" t="n">
        <v>0</v>
      </c>
      <c r="O510" t="n">
        <v>0</v>
      </c>
      <c r="P510" t="n">
        <v>0</v>
      </c>
      <c r="Q510" t="n">
        <v>0</v>
      </c>
      <c r="R510" s="2" t="inlineStr"/>
    </row>
    <row r="511" ht="15" customHeight="1">
      <c r="A511" t="inlineStr">
        <is>
          <t>A 21560-2026</t>
        </is>
      </c>
      <c r="B511" s="1" t="n">
        <v>46148.66628472223</v>
      </c>
      <c r="C511" s="1" t="n">
        <v>46187</v>
      </c>
      <c r="D511" t="inlineStr">
        <is>
          <t>VÄSTERBOTTENS LÄN</t>
        </is>
      </c>
      <c r="E511" t="inlineStr">
        <is>
          <t>ÅSELE</t>
        </is>
      </c>
      <c r="F511" t="inlineStr">
        <is>
          <t>Holmen skog AB</t>
        </is>
      </c>
      <c r="G511" t="n">
        <v>2.8</v>
      </c>
      <c r="H511" t="n">
        <v>0</v>
      </c>
      <c r="I511" t="n">
        <v>0</v>
      </c>
      <c r="J511" t="n">
        <v>0</v>
      </c>
      <c r="K511" t="n">
        <v>0</v>
      </c>
      <c r="L511" t="n">
        <v>0</v>
      </c>
      <c r="M511" t="n">
        <v>0</v>
      </c>
      <c r="N511" t="n">
        <v>0</v>
      </c>
      <c r="O511" t="n">
        <v>0</v>
      </c>
      <c r="P511" t="n">
        <v>0</v>
      </c>
      <c r="Q511" t="n">
        <v>0</v>
      </c>
      <c r="R511" s="2" t="inlineStr"/>
    </row>
    <row r="512" ht="15" customHeight="1">
      <c r="A512" t="inlineStr">
        <is>
          <t>A 21107-2023</t>
        </is>
      </c>
      <c r="B512" s="1" t="n">
        <v>45061</v>
      </c>
      <c r="C512" s="1" t="n">
        <v>46187</v>
      </c>
      <c r="D512" t="inlineStr">
        <is>
          <t>VÄSTERBOTTENS LÄN</t>
        </is>
      </c>
      <c r="E512" t="inlineStr">
        <is>
          <t>ÅSELE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33990-2024</t>
        </is>
      </c>
      <c r="B513" s="1" t="n">
        <v>45523.53366898148</v>
      </c>
      <c r="C513" s="1" t="n">
        <v>46187</v>
      </c>
      <c r="D513" t="inlineStr">
        <is>
          <t>VÄSTERBOTTENS LÄN</t>
        </is>
      </c>
      <c r="E513" t="inlineStr">
        <is>
          <t>ÅSELE</t>
        </is>
      </c>
      <c r="F513" t="inlineStr">
        <is>
          <t>Sveaskog</t>
        </is>
      </c>
      <c r="G513" t="n">
        <v>6.2</v>
      </c>
      <c r="H513" t="n">
        <v>0</v>
      </c>
      <c r="I513" t="n">
        <v>0</v>
      </c>
      <c r="J513" t="n">
        <v>0</v>
      </c>
      <c r="K513" t="n">
        <v>0</v>
      </c>
      <c r="L513" t="n">
        <v>0</v>
      </c>
      <c r="M513" t="n">
        <v>0</v>
      </c>
      <c r="N513" t="n">
        <v>0</v>
      </c>
      <c r="O513" t="n">
        <v>0</v>
      </c>
      <c r="P513" t="n">
        <v>0</v>
      </c>
      <c r="Q513" t="n">
        <v>0</v>
      </c>
      <c r="R513" s="2" t="inlineStr"/>
    </row>
    <row r="514" ht="15" customHeight="1">
      <c r="A514" t="inlineStr">
        <is>
          <t>A 6283-2025</t>
        </is>
      </c>
      <c r="B514" s="1" t="n">
        <v>45698.63582175926</v>
      </c>
      <c r="C514" s="1" t="n">
        <v>46187</v>
      </c>
      <c r="D514" t="inlineStr">
        <is>
          <t>VÄSTERBOTTENS LÄN</t>
        </is>
      </c>
      <c r="E514" t="inlineStr">
        <is>
          <t>ÅSELE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18605-2023</t>
        </is>
      </c>
      <c r="B515" s="1" t="n">
        <v>45041</v>
      </c>
      <c r="C515" s="1" t="n">
        <v>46187</v>
      </c>
      <c r="D515" t="inlineStr">
        <is>
          <t>VÄSTERBOTTENS LÄN</t>
        </is>
      </c>
      <c r="E515" t="inlineStr">
        <is>
          <t>ÅSELE</t>
        </is>
      </c>
      <c r="G515" t="n">
        <v>4.2</v>
      </c>
      <c r="H515" t="n">
        <v>0</v>
      </c>
      <c r="I515" t="n">
        <v>0</v>
      </c>
      <c r="J515" t="n">
        <v>0</v>
      </c>
      <c r="K515" t="n">
        <v>0</v>
      </c>
      <c r="L515" t="n">
        <v>0</v>
      </c>
      <c r="M515" t="n">
        <v>0</v>
      </c>
      <c r="N515" t="n">
        <v>0</v>
      </c>
      <c r="O515" t="n">
        <v>0</v>
      </c>
      <c r="P515" t="n">
        <v>0</v>
      </c>
      <c r="Q515" t="n">
        <v>0</v>
      </c>
      <c r="R515" s="2" t="inlineStr"/>
    </row>
    <row r="516" ht="15" customHeight="1">
      <c r="A516" t="inlineStr">
        <is>
          <t>A 5013-2024</t>
        </is>
      </c>
      <c r="B516" s="1" t="n">
        <v>45329</v>
      </c>
      <c r="C516" s="1" t="n">
        <v>46187</v>
      </c>
      <c r="D516" t="inlineStr">
        <is>
          <t>VÄSTERBOTTENS LÄN</t>
        </is>
      </c>
      <c r="E516" t="inlineStr">
        <is>
          <t>ÅSELE</t>
        </is>
      </c>
      <c r="F516" t="inlineStr">
        <is>
          <t>Övriga Aktiebolag</t>
        </is>
      </c>
      <c r="G516" t="n">
        <v>5</v>
      </c>
      <c r="H516" t="n">
        <v>0</v>
      </c>
      <c r="I516" t="n">
        <v>0</v>
      </c>
      <c r="J516" t="n">
        <v>0</v>
      </c>
      <c r="K516" t="n">
        <v>0</v>
      </c>
      <c r="L516" t="n">
        <v>0</v>
      </c>
      <c r="M516" t="n">
        <v>0</v>
      </c>
      <c r="N516" t="n">
        <v>0</v>
      </c>
      <c r="O516" t="n">
        <v>0</v>
      </c>
      <c r="P516" t="n">
        <v>0</v>
      </c>
      <c r="Q516" t="n">
        <v>0</v>
      </c>
      <c r="R516" s="2" t="inlineStr"/>
    </row>
    <row r="517" ht="15" customHeight="1">
      <c r="A517" t="inlineStr">
        <is>
          <t>A 35281-2025</t>
        </is>
      </c>
      <c r="B517" s="1" t="n">
        <v>45854.33944444444</v>
      </c>
      <c r="C517" s="1" t="n">
        <v>46187</v>
      </c>
      <c r="D517" t="inlineStr">
        <is>
          <t>VÄSTERBOTTENS LÄN</t>
        </is>
      </c>
      <c r="E517" t="inlineStr">
        <is>
          <t>ÅSELE</t>
        </is>
      </c>
      <c r="F517" t="inlineStr">
        <is>
          <t>Holmen skog AB</t>
        </is>
      </c>
      <c r="G517" t="n">
        <v>3.8</v>
      </c>
      <c r="H517" t="n">
        <v>0</v>
      </c>
      <c r="I517" t="n">
        <v>0</v>
      </c>
      <c r="J517" t="n">
        <v>0</v>
      </c>
      <c r="K517" t="n">
        <v>0</v>
      </c>
      <c r="L517" t="n">
        <v>0</v>
      </c>
      <c r="M517" t="n">
        <v>0</v>
      </c>
      <c r="N517" t="n">
        <v>0</v>
      </c>
      <c r="O517" t="n">
        <v>0</v>
      </c>
      <c r="P517" t="n">
        <v>0</v>
      </c>
      <c r="Q517" t="n">
        <v>0</v>
      </c>
      <c r="R517" s="2" t="inlineStr"/>
    </row>
    <row r="518" ht="15" customHeight="1">
      <c r="A518" t="inlineStr">
        <is>
          <t>A 48073-2023</t>
        </is>
      </c>
      <c r="B518" s="1" t="n">
        <v>45204</v>
      </c>
      <c r="C518" s="1" t="n">
        <v>46187</v>
      </c>
      <c r="D518" t="inlineStr">
        <is>
          <t>VÄSTERBOTTENS LÄN</t>
        </is>
      </c>
      <c r="E518" t="inlineStr">
        <is>
          <t>ÅSELE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35549-2025</t>
        </is>
      </c>
      <c r="B519" s="1" t="n">
        <v>45856.49295138889</v>
      </c>
      <c r="C519" s="1" t="n">
        <v>46187</v>
      </c>
      <c r="D519" t="inlineStr">
        <is>
          <t>VÄSTERBOTTENS LÄN</t>
        </is>
      </c>
      <c r="E519" t="inlineStr">
        <is>
          <t>ÅSELE</t>
        </is>
      </c>
      <c r="F519" t="inlineStr">
        <is>
          <t>Naturvårdsverket</t>
        </is>
      </c>
      <c r="G519" t="n">
        <v>2.4</v>
      </c>
      <c r="H519" t="n">
        <v>0</v>
      </c>
      <c r="I519" t="n">
        <v>0</v>
      </c>
      <c r="J519" t="n">
        <v>0</v>
      </c>
      <c r="K519" t="n">
        <v>0</v>
      </c>
      <c r="L519" t="n">
        <v>0</v>
      </c>
      <c r="M519" t="n">
        <v>0</v>
      </c>
      <c r="N519" t="n">
        <v>0</v>
      </c>
      <c r="O519" t="n">
        <v>0</v>
      </c>
      <c r="P519" t="n">
        <v>0</v>
      </c>
      <c r="Q519" t="n">
        <v>0</v>
      </c>
      <c r="R519" s="2" t="inlineStr"/>
    </row>
    <row r="520" ht="15" customHeight="1">
      <c r="A520" t="inlineStr">
        <is>
          <t>A 35556-2025</t>
        </is>
      </c>
      <c r="B520" s="1" t="n">
        <v>45856.52092592593</v>
      </c>
      <c r="C520" s="1" t="n">
        <v>46187</v>
      </c>
      <c r="D520" t="inlineStr">
        <is>
          <t>VÄSTERBOTTENS LÄN</t>
        </is>
      </c>
      <c r="E520" t="inlineStr">
        <is>
          <t>ÅSELE</t>
        </is>
      </c>
      <c r="F520" t="inlineStr">
        <is>
          <t>Naturvårdsverket</t>
        </is>
      </c>
      <c r="G520" t="n">
        <v>8.9</v>
      </c>
      <c r="H520" t="n">
        <v>0</v>
      </c>
      <c r="I520" t="n">
        <v>0</v>
      </c>
      <c r="J520" t="n">
        <v>0</v>
      </c>
      <c r="K520" t="n">
        <v>0</v>
      </c>
      <c r="L520" t="n">
        <v>0</v>
      </c>
      <c r="M520" t="n">
        <v>0</v>
      </c>
      <c r="N520" t="n">
        <v>0</v>
      </c>
      <c r="O520" t="n">
        <v>0</v>
      </c>
      <c r="P520" t="n">
        <v>0</v>
      </c>
      <c r="Q520" t="n">
        <v>0</v>
      </c>
      <c r="R520" s="2" t="inlineStr"/>
    </row>
    <row r="521" ht="15" customHeight="1">
      <c r="A521" t="inlineStr">
        <is>
          <t>A 35554-2025</t>
        </is>
      </c>
      <c r="B521" s="1" t="n">
        <v>45856</v>
      </c>
      <c r="C521" s="1" t="n">
        <v>46187</v>
      </c>
      <c r="D521" t="inlineStr">
        <is>
          <t>VÄSTERBOTTENS LÄN</t>
        </is>
      </c>
      <c r="E521" t="inlineStr">
        <is>
          <t>ÅSELE</t>
        </is>
      </c>
      <c r="F521" t="inlineStr">
        <is>
          <t>Holmen skog AB</t>
        </is>
      </c>
      <c r="G521" t="n">
        <v>4.7</v>
      </c>
      <c r="H521" t="n">
        <v>0</v>
      </c>
      <c r="I521" t="n">
        <v>0</v>
      </c>
      <c r="J521" t="n">
        <v>0</v>
      </c>
      <c r="K521" t="n">
        <v>0</v>
      </c>
      <c r="L521" t="n">
        <v>0</v>
      </c>
      <c r="M521" t="n">
        <v>0</v>
      </c>
      <c r="N521" t="n">
        <v>0</v>
      </c>
      <c r="O521" t="n">
        <v>0</v>
      </c>
      <c r="P521" t="n">
        <v>0</v>
      </c>
      <c r="Q521" t="n">
        <v>0</v>
      </c>
      <c r="R521" s="2" t="inlineStr"/>
    </row>
    <row r="522" ht="15" customHeight="1">
      <c r="A522" t="inlineStr">
        <is>
          <t>A 15854-2026</t>
        </is>
      </c>
      <c r="B522" s="1" t="n">
        <v>46107</v>
      </c>
      <c r="C522" s="1" t="n">
        <v>46187</v>
      </c>
      <c r="D522" t="inlineStr">
        <is>
          <t>VÄSTERBOTTENS LÄN</t>
        </is>
      </c>
      <c r="E522" t="inlineStr">
        <is>
          <t>ÅSELE</t>
        </is>
      </c>
      <c r="G522" t="n">
        <v>1.5</v>
      </c>
      <c r="H522" t="n">
        <v>0</v>
      </c>
      <c r="I522" t="n">
        <v>0</v>
      </c>
      <c r="J522" t="n">
        <v>0</v>
      </c>
      <c r="K522" t="n">
        <v>0</v>
      </c>
      <c r="L522" t="n">
        <v>0</v>
      </c>
      <c r="M522" t="n">
        <v>0</v>
      </c>
      <c r="N522" t="n">
        <v>0</v>
      </c>
      <c r="O522" t="n">
        <v>0</v>
      </c>
      <c r="P522" t="n">
        <v>0</v>
      </c>
      <c r="Q522" t="n">
        <v>0</v>
      </c>
      <c r="R522" s="2" t="inlineStr"/>
    </row>
    <row r="523" ht="15" customHeight="1">
      <c r="A523" t="inlineStr">
        <is>
          <t>A 1136-2025</t>
        </is>
      </c>
      <c r="B523" s="1" t="n">
        <v>45666</v>
      </c>
      <c r="C523" s="1" t="n">
        <v>46187</v>
      </c>
      <c r="D523" t="inlineStr">
        <is>
          <t>VÄSTERBOTTENS LÄN</t>
        </is>
      </c>
      <c r="E523" t="inlineStr">
        <is>
          <t>ÅSELE</t>
        </is>
      </c>
      <c r="G523" t="n">
        <v>18.6</v>
      </c>
      <c r="H523" t="n">
        <v>0</v>
      </c>
      <c r="I523" t="n">
        <v>0</v>
      </c>
      <c r="J523" t="n">
        <v>0</v>
      </c>
      <c r="K523" t="n">
        <v>0</v>
      </c>
      <c r="L523" t="n">
        <v>0</v>
      </c>
      <c r="M523" t="n">
        <v>0</v>
      </c>
      <c r="N523" t="n">
        <v>0</v>
      </c>
      <c r="O523" t="n">
        <v>0</v>
      </c>
      <c r="P523" t="n">
        <v>0</v>
      </c>
      <c r="Q523" t="n">
        <v>0</v>
      </c>
      <c r="R523" s="2" t="inlineStr"/>
    </row>
    <row r="524" ht="15" customHeight="1">
      <c r="A524" t="inlineStr">
        <is>
          <t>A 29511-2024</t>
        </is>
      </c>
      <c r="B524" s="1" t="n">
        <v>45484</v>
      </c>
      <c r="C524" s="1" t="n">
        <v>46187</v>
      </c>
      <c r="D524" t="inlineStr">
        <is>
          <t>VÄSTERBOTTENS LÄN</t>
        </is>
      </c>
      <c r="E524" t="inlineStr">
        <is>
          <t>ÅSELE</t>
        </is>
      </c>
      <c r="G524" t="n">
        <v>0.2</v>
      </c>
      <c r="H524" t="n">
        <v>0</v>
      </c>
      <c r="I524" t="n">
        <v>0</v>
      </c>
      <c r="J524" t="n">
        <v>0</v>
      </c>
      <c r="K524" t="n">
        <v>0</v>
      </c>
      <c r="L524" t="n">
        <v>0</v>
      </c>
      <c r="M524" t="n">
        <v>0</v>
      </c>
      <c r="N524" t="n">
        <v>0</v>
      </c>
      <c r="O524" t="n">
        <v>0</v>
      </c>
      <c r="P524" t="n">
        <v>0</v>
      </c>
      <c r="Q524" t="n">
        <v>0</v>
      </c>
      <c r="R524" s="2" t="inlineStr"/>
    </row>
    <row r="525" ht="15" customHeight="1">
      <c r="A525" t="inlineStr">
        <is>
          <t>A 29517-2024</t>
        </is>
      </c>
      <c r="B525" s="1" t="n">
        <v>45484</v>
      </c>
      <c r="C525" s="1" t="n">
        <v>46187</v>
      </c>
      <c r="D525" t="inlineStr">
        <is>
          <t>VÄSTERBOTTENS LÄN</t>
        </is>
      </c>
      <c r="E525" t="inlineStr">
        <is>
          <t>ÅSELE</t>
        </is>
      </c>
      <c r="G525" t="n">
        <v>0.7</v>
      </c>
      <c r="H525" t="n">
        <v>0</v>
      </c>
      <c r="I525" t="n">
        <v>0</v>
      </c>
      <c r="J525" t="n">
        <v>0</v>
      </c>
      <c r="K525" t="n">
        <v>0</v>
      </c>
      <c r="L525" t="n">
        <v>0</v>
      </c>
      <c r="M525" t="n">
        <v>0</v>
      </c>
      <c r="N525" t="n">
        <v>0</v>
      </c>
      <c r="O525" t="n">
        <v>0</v>
      </c>
      <c r="P525" t="n">
        <v>0</v>
      </c>
      <c r="Q525" t="n">
        <v>0</v>
      </c>
      <c r="R525" s="2" t="inlineStr"/>
    </row>
    <row r="526" ht="15" customHeight="1">
      <c r="A526" t="inlineStr">
        <is>
          <t>A 42399-2024</t>
        </is>
      </c>
      <c r="B526" s="1" t="n">
        <v>45565.33832175926</v>
      </c>
      <c r="C526" s="1" t="n">
        <v>46187</v>
      </c>
      <c r="D526" t="inlineStr">
        <is>
          <t>VÄSTERBOTTENS LÄN</t>
        </is>
      </c>
      <c r="E526" t="inlineStr">
        <is>
          <t>ÅSELE</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46187</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22130-2026</t>
        </is>
      </c>
      <c r="B528" s="1" t="n">
        <v>46153.59479166667</v>
      </c>
      <c r="C528" s="1" t="n">
        <v>46187</v>
      </c>
      <c r="D528" t="inlineStr">
        <is>
          <t>VÄSTERBOTTENS LÄN</t>
        </is>
      </c>
      <c r="E528" t="inlineStr">
        <is>
          <t>ÅSELE</t>
        </is>
      </c>
      <c r="F528" t="inlineStr">
        <is>
          <t>SCA</t>
        </is>
      </c>
      <c r="G528" t="n">
        <v>8.6</v>
      </c>
      <c r="H528" t="n">
        <v>0</v>
      </c>
      <c r="I528" t="n">
        <v>0</v>
      </c>
      <c r="J528" t="n">
        <v>0</v>
      </c>
      <c r="K528" t="n">
        <v>0</v>
      </c>
      <c r="L528" t="n">
        <v>0</v>
      </c>
      <c r="M528" t="n">
        <v>0</v>
      </c>
      <c r="N528" t="n">
        <v>0</v>
      </c>
      <c r="O528" t="n">
        <v>0</v>
      </c>
      <c r="P528" t="n">
        <v>0</v>
      </c>
      <c r="Q528" t="n">
        <v>0</v>
      </c>
      <c r="R528" s="2" t="inlineStr"/>
    </row>
    <row r="529" ht="15" customHeight="1">
      <c r="A529" t="inlineStr">
        <is>
          <t>A 30618-2023</t>
        </is>
      </c>
      <c r="B529" s="1" t="n">
        <v>45112.41425925926</v>
      </c>
      <c r="C529" s="1" t="n">
        <v>46187</v>
      </c>
      <c r="D529" t="inlineStr">
        <is>
          <t>VÄSTERBOTTENS LÄN</t>
        </is>
      </c>
      <c r="E529" t="inlineStr">
        <is>
          <t>ÅSELE</t>
        </is>
      </c>
      <c r="F529" t="inlineStr">
        <is>
          <t>Sveaskog</t>
        </is>
      </c>
      <c r="G529" t="n">
        <v>18.7</v>
      </c>
      <c r="H529" t="n">
        <v>0</v>
      </c>
      <c r="I529" t="n">
        <v>0</v>
      </c>
      <c r="J529" t="n">
        <v>0</v>
      </c>
      <c r="K529" t="n">
        <v>0</v>
      </c>
      <c r="L529" t="n">
        <v>0</v>
      </c>
      <c r="M529" t="n">
        <v>0</v>
      </c>
      <c r="N529" t="n">
        <v>0</v>
      </c>
      <c r="O529" t="n">
        <v>0</v>
      </c>
      <c r="P529" t="n">
        <v>0</v>
      </c>
      <c r="Q529" t="n">
        <v>0</v>
      </c>
      <c r="R529" s="2" t="inlineStr"/>
    </row>
    <row r="530" ht="15" customHeight="1">
      <c r="A530" t="inlineStr">
        <is>
          <t>A 22129-2026</t>
        </is>
      </c>
      <c r="B530" s="1" t="n">
        <v>46153.59461805555</v>
      </c>
      <c r="C530" s="1" t="n">
        <v>46187</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22250-2026</t>
        </is>
      </c>
      <c r="B531" s="1" t="n">
        <v>46154.34447916667</v>
      </c>
      <c r="C531" s="1" t="n">
        <v>46187</v>
      </c>
      <c r="D531" t="inlineStr">
        <is>
          <t>VÄSTERBOTTENS LÄN</t>
        </is>
      </c>
      <c r="E531" t="inlineStr">
        <is>
          <t>ÅSELE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28980-2024</t>
        </is>
      </c>
      <c r="B532" s="1" t="n">
        <v>45481.47248842593</v>
      </c>
      <c r="C532" s="1" t="n">
        <v>46187</v>
      </c>
      <c r="D532" t="inlineStr">
        <is>
          <t>VÄSTERBOTTENS LÄN</t>
        </is>
      </c>
      <c r="E532" t="inlineStr">
        <is>
          <t>ÅSELE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46187</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47616-2023</t>
        </is>
      </c>
      <c r="B534" s="1" t="n">
        <v>45198</v>
      </c>
      <c r="C534" s="1" t="n">
        <v>46187</v>
      </c>
      <c r="D534" t="inlineStr">
        <is>
          <t>VÄSTERBOTTENS LÄN</t>
        </is>
      </c>
      <c r="E534" t="inlineStr">
        <is>
          <t>ÅSELE</t>
        </is>
      </c>
      <c r="G534" t="n">
        <v>1.5</v>
      </c>
      <c r="H534" t="n">
        <v>0</v>
      </c>
      <c r="I534" t="n">
        <v>0</v>
      </c>
      <c r="J534" t="n">
        <v>0</v>
      </c>
      <c r="K534" t="n">
        <v>0</v>
      </c>
      <c r="L534" t="n">
        <v>0</v>
      </c>
      <c r="M534" t="n">
        <v>0</v>
      </c>
      <c r="N534" t="n">
        <v>0</v>
      </c>
      <c r="O534" t="n">
        <v>0</v>
      </c>
      <c r="P534" t="n">
        <v>0</v>
      </c>
      <c r="Q534" t="n">
        <v>0</v>
      </c>
      <c r="R534" s="2" t="inlineStr"/>
    </row>
    <row r="535" ht="15" customHeight="1">
      <c r="A535" t="inlineStr">
        <is>
          <t>A 5006-2024</t>
        </is>
      </c>
      <c r="B535" s="1" t="n">
        <v>45329</v>
      </c>
      <c r="C535" s="1" t="n">
        <v>46187</v>
      </c>
      <c r="D535" t="inlineStr">
        <is>
          <t>VÄSTERBOTTENS LÄN</t>
        </is>
      </c>
      <c r="E535" t="inlineStr">
        <is>
          <t>ÅSELE</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8094-2023</t>
        </is>
      </c>
      <c r="B536" s="1" t="n">
        <v>44970</v>
      </c>
      <c r="C536" s="1" t="n">
        <v>46187</v>
      </c>
      <c r="D536" t="inlineStr">
        <is>
          <t>VÄSTERBOTTENS LÄN</t>
        </is>
      </c>
      <c r="E536" t="inlineStr">
        <is>
          <t>ÅSELE</t>
        </is>
      </c>
      <c r="G536" t="n">
        <v>3.4</v>
      </c>
      <c r="H536" t="n">
        <v>0</v>
      </c>
      <c r="I536" t="n">
        <v>0</v>
      </c>
      <c r="J536" t="n">
        <v>0</v>
      </c>
      <c r="K536" t="n">
        <v>0</v>
      </c>
      <c r="L536" t="n">
        <v>0</v>
      </c>
      <c r="M536" t="n">
        <v>0</v>
      </c>
      <c r="N536" t="n">
        <v>0</v>
      </c>
      <c r="O536" t="n">
        <v>0</v>
      </c>
      <c r="P536" t="n">
        <v>0</v>
      </c>
      <c r="Q536" t="n">
        <v>0</v>
      </c>
      <c r="R536" s="2" t="inlineStr"/>
    </row>
    <row r="537" ht="15" customHeight="1">
      <c r="A537" t="inlineStr">
        <is>
          <t>A 36275-2025</t>
        </is>
      </c>
      <c r="B537" s="1" t="n">
        <v>45867.63604166666</v>
      </c>
      <c r="C537" s="1" t="n">
        <v>46187</v>
      </c>
      <c r="D537" t="inlineStr">
        <is>
          <t>VÄSTERBOTTENS LÄN</t>
        </is>
      </c>
      <c r="E537" t="inlineStr">
        <is>
          <t>ÅSELE</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16893-2026</t>
        </is>
      </c>
      <c r="B538" s="1" t="n">
        <v>46113.61608796296</v>
      </c>
      <c r="C538" s="1" t="n">
        <v>46187</v>
      </c>
      <c r="D538" t="inlineStr">
        <is>
          <t>VÄSTERBOTTENS LÄN</t>
        </is>
      </c>
      <c r="E538" t="inlineStr">
        <is>
          <t>ÅSELE</t>
        </is>
      </c>
      <c r="F538" t="inlineStr">
        <is>
          <t>SCA</t>
        </is>
      </c>
      <c r="G538" t="n">
        <v>13.6</v>
      </c>
      <c r="H538" t="n">
        <v>0</v>
      </c>
      <c r="I538" t="n">
        <v>0</v>
      </c>
      <c r="J538" t="n">
        <v>0</v>
      </c>
      <c r="K538" t="n">
        <v>0</v>
      </c>
      <c r="L538" t="n">
        <v>0</v>
      </c>
      <c r="M538" t="n">
        <v>0</v>
      </c>
      <c r="N538" t="n">
        <v>0</v>
      </c>
      <c r="O538" t="n">
        <v>0</v>
      </c>
      <c r="P538" t="n">
        <v>0</v>
      </c>
      <c r="Q538" t="n">
        <v>0</v>
      </c>
      <c r="R538" s="2" t="inlineStr"/>
    </row>
    <row r="539" ht="15" customHeight="1">
      <c r="A539" t="inlineStr">
        <is>
          <t>A 22519-2026</t>
        </is>
      </c>
      <c r="B539" s="1" t="n">
        <v>46155.46287037037</v>
      </c>
      <c r="C539" s="1" t="n">
        <v>46187</v>
      </c>
      <c r="D539" t="inlineStr">
        <is>
          <t>VÄSTERBOTTENS LÄN</t>
        </is>
      </c>
      <c r="E539" t="inlineStr">
        <is>
          <t>ÅSELE</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22521-2026</t>
        </is>
      </c>
      <c r="B540" s="1" t="n">
        <v>46155.46601851852</v>
      </c>
      <c r="C540" s="1" t="n">
        <v>46187</v>
      </c>
      <c r="D540" t="inlineStr">
        <is>
          <t>VÄSTERBOTTENS LÄN</t>
        </is>
      </c>
      <c r="E540" t="inlineStr">
        <is>
          <t>ÅSELE</t>
        </is>
      </c>
      <c r="F540" t="inlineStr">
        <is>
          <t>Kommuner</t>
        </is>
      </c>
      <c r="G540" t="n">
        <v>5</v>
      </c>
      <c r="H540" t="n">
        <v>0</v>
      </c>
      <c r="I540" t="n">
        <v>0</v>
      </c>
      <c r="J540" t="n">
        <v>0</v>
      </c>
      <c r="K540" t="n">
        <v>0</v>
      </c>
      <c r="L540" t="n">
        <v>0</v>
      </c>
      <c r="M540" t="n">
        <v>0</v>
      </c>
      <c r="N540" t="n">
        <v>0</v>
      </c>
      <c r="O540" t="n">
        <v>0</v>
      </c>
      <c r="P540" t="n">
        <v>0</v>
      </c>
      <c r="Q540" t="n">
        <v>0</v>
      </c>
      <c r="R540" s="2" t="inlineStr"/>
    </row>
    <row r="541" ht="15" customHeight="1">
      <c r="A541" t="inlineStr">
        <is>
          <t>A 36174-2025</t>
        </is>
      </c>
      <c r="B541" s="1" t="n">
        <v>45867.39787037037</v>
      </c>
      <c r="C541" s="1" t="n">
        <v>46187</v>
      </c>
      <c r="D541" t="inlineStr">
        <is>
          <t>VÄSTERBOTTENS LÄN</t>
        </is>
      </c>
      <c r="E541" t="inlineStr">
        <is>
          <t>ÅSELE</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36198-2025</t>
        </is>
      </c>
      <c r="B542" s="1" t="n">
        <v>45867.43743055555</v>
      </c>
      <c r="C542" s="1" t="n">
        <v>46187</v>
      </c>
      <c r="D542" t="inlineStr">
        <is>
          <t>VÄSTERBOTTENS LÄN</t>
        </is>
      </c>
      <c r="E542" t="inlineStr">
        <is>
          <t>ÅSELE</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36220-2025</t>
        </is>
      </c>
      <c r="B543" s="1" t="n">
        <v>45867.505</v>
      </c>
      <c r="C543" s="1" t="n">
        <v>46187</v>
      </c>
      <c r="D543" t="inlineStr">
        <is>
          <t>VÄSTERBOTTENS LÄN</t>
        </is>
      </c>
      <c r="E543" t="inlineStr">
        <is>
          <t>ÅSELE</t>
        </is>
      </c>
      <c r="F543" t="inlineStr">
        <is>
          <t>Holmen skog AB</t>
        </is>
      </c>
      <c r="G543" t="n">
        <v>5.6</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46187</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36400-2025</t>
        </is>
      </c>
      <c r="B545" s="1" t="n">
        <v>45868</v>
      </c>
      <c r="C545" s="1" t="n">
        <v>46187</v>
      </c>
      <c r="D545" t="inlineStr">
        <is>
          <t>VÄSTERBOTTENS LÄN</t>
        </is>
      </c>
      <c r="E545" t="inlineStr">
        <is>
          <t>ÅSELE</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36393-2025</t>
        </is>
      </c>
      <c r="B546" s="1" t="n">
        <v>45868.61376157407</v>
      </c>
      <c r="C546" s="1" t="n">
        <v>46187</v>
      </c>
      <c r="D546" t="inlineStr">
        <is>
          <t>VÄSTERBOTTENS LÄN</t>
        </is>
      </c>
      <c r="E546" t="inlineStr">
        <is>
          <t>ÅSELE</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17284-2025</t>
        </is>
      </c>
      <c r="B547" s="1" t="n">
        <v>45756.57346064815</v>
      </c>
      <c r="C547" s="1" t="n">
        <v>46187</v>
      </c>
      <c r="D547" t="inlineStr">
        <is>
          <t>VÄSTERBOTTENS LÄN</t>
        </is>
      </c>
      <c r="E547" t="inlineStr">
        <is>
          <t>ÅSELE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36413-2025</t>
        </is>
      </c>
      <c r="B548" s="1" t="n">
        <v>45868.69234953704</v>
      </c>
      <c r="C548" s="1" t="n">
        <v>46187</v>
      </c>
      <c r="D548" t="inlineStr">
        <is>
          <t>VÄSTERBOTTENS LÄN</t>
        </is>
      </c>
      <c r="E548" t="inlineStr">
        <is>
          <t>ÅSELE</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36467-2025</t>
        </is>
      </c>
      <c r="B549" s="1" t="n">
        <v>45869.47054398148</v>
      </c>
      <c r="C549" s="1" t="n">
        <v>46187</v>
      </c>
      <c r="D549" t="inlineStr">
        <is>
          <t>VÄSTERBOTTENS LÄN</t>
        </is>
      </c>
      <c r="E549" t="inlineStr">
        <is>
          <t>ÅSELE</t>
        </is>
      </c>
      <c r="F549" t="inlineStr">
        <is>
          <t>Holmen skog AB</t>
        </is>
      </c>
      <c r="G549" t="n">
        <v>4.9</v>
      </c>
      <c r="H549" t="n">
        <v>0</v>
      </c>
      <c r="I549" t="n">
        <v>0</v>
      </c>
      <c r="J549" t="n">
        <v>0</v>
      </c>
      <c r="K549" t="n">
        <v>0</v>
      </c>
      <c r="L549" t="n">
        <v>0</v>
      </c>
      <c r="M549" t="n">
        <v>0</v>
      </c>
      <c r="N549" t="n">
        <v>0</v>
      </c>
      <c r="O549" t="n">
        <v>0</v>
      </c>
      <c r="P549" t="n">
        <v>0</v>
      </c>
      <c r="Q549" t="n">
        <v>0</v>
      </c>
      <c r="R549" s="2" t="inlineStr"/>
    </row>
    <row r="550" ht="15" customHeight="1">
      <c r="A550" t="inlineStr">
        <is>
          <t>A 917-2025</t>
        </is>
      </c>
      <c r="B550" s="1" t="n">
        <v>45665.77418981482</v>
      </c>
      <c r="C550" s="1" t="n">
        <v>46187</v>
      </c>
      <c r="D550" t="inlineStr">
        <is>
          <t>VÄSTERBOTTENS LÄN</t>
        </is>
      </c>
      <c r="E550" t="inlineStr">
        <is>
          <t>ÅSELE</t>
        </is>
      </c>
      <c r="G550" t="n">
        <v>1.8</v>
      </c>
      <c r="H550" t="n">
        <v>0</v>
      </c>
      <c r="I550" t="n">
        <v>0</v>
      </c>
      <c r="J550" t="n">
        <v>0</v>
      </c>
      <c r="K550" t="n">
        <v>0</v>
      </c>
      <c r="L550" t="n">
        <v>0</v>
      </c>
      <c r="M550" t="n">
        <v>0</v>
      </c>
      <c r="N550" t="n">
        <v>0</v>
      </c>
      <c r="O550" t="n">
        <v>0</v>
      </c>
      <c r="P550" t="n">
        <v>0</v>
      </c>
      <c r="Q550" t="n">
        <v>0</v>
      </c>
      <c r="R550" s="2" t="inlineStr"/>
    </row>
    <row r="551" ht="15" customHeight="1">
      <c r="A551" t="inlineStr">
        <is>
          <t>A 22951-2026</t>
        </is>
      </c>
      <c r="B551" s="1" t="n">
        <v>46160.58774305556</v>
      </c>
      <c r="C551" s="1" t="n">
        <v>46187</v>
      </c>
      <c r="D551" t="inlineStr">
        <is>
          <t>VÄSTERBOTTENS LÄN</t>
        </is>
      </c>
      <c r="E551" t="inlineStr">
        <is>
          <t>ÅSELE</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22834-2026</t>
        </is>
      </c>
      <c r="B552" s="1" t="n">
        <v>46160.37055555556</v>
      </c>
      <c r="C552" s="1" t="n">
        <v>46187</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22987-2026</t>
        </is>
      </c>
      <c r="B553" s="1" t="n">
        <v>46160.65668981482</v>
      </c>
      <c r="C553" s="1" t="n">
        <v>46187</v>
      </c>
      <c r="D553" t="inlineStr">
        <is>
          <t>VÄSTERBOTTENS LÄN</t>
        </is>
      </c>
      <c r="E553" t="inlineStr">
        <is>
          <t>ÅSELE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17458-2026</t>
        </is>
      </c>
      <c r="B554" s="1" t="n">
        <v>46119</v>
      </c>
      <c r="C554" s="1" t="n">
        <v>46187</v>
      </c>
      <c r="D554" t="inlineStr">
        <is>
          <t>VÄSTERBOTTENS LÄN</t>
        </is>
      </c>
      <c r="E554" t="inlineStr">
        <is>
          <t>ÅSELE</t>
        </is>
      </c>
      <c r="F554" t="inlineStr">
        <is>
          <t>Allmännings- och besparingsskogar</t>
        </is>
      </c>
      <c r="G554" t="n">
        <v>5.7</v>
      </c>
      <c r="H554" t="n">
        <v>0</v>
      </c>
      <c r="I554" t="n">
        <v>0</v>
      </c>
      <c r="J554" t="n">
        <v>0</v>
      </c>
      <c r="K554" t="n">
        <v>0</v>
      </c>
      <c r="L554" t="n">
        <v>0</v>
      </c>
      <c r="M554" t="n">
        <v>0</v>
      </c>
      <c r="N554" t="n">
        <v>0</v>
      </c>
      <c r="O554" t="n">
        <v>0</v>
      </c>
      <c r="P554" t="n">
        <v>0</v>
      </c>
      <c r="Q554" t="n">
        <v>0</v>
      </c>
      <c r="R554" s="2" t="inlineStr"/>
    </row>
    <row r="555" ht="15" customHeight="1">
      <c r="A555" t="inlineStr">
        <is>
          <t>A 61530-2024</t>
        </is>
      </c>
      <c r="B555" s="1" t="n">
        <v>45645</v>
      </c>
      <c r="C555" s="1" t="n">
        <v>46187</v>
      </c>
      <c r="D555" t="inlineStr">
        <is>
          <t>VÄSTERBOTTENS LÄN</t>
        </is>
      </c>
      <c r="E555" t="inlineStr">
        <is>
          <t>ÅSELE</t>
        </is>
      </c>
      <c r="G555" t="n">
        <v>1.2</v>
      </c>
      <c r="H555" t="n">
        <v>0</v>
      </c>
      <c r="I555" t="n">
        <v>0</v>
      </c>
      <c r="J555" t="n">
        <v>0</v>
      </c>
      <c r="K555" t="n">
        <v>0</v>
      </c>
      <c r="L555" t="n">
        <v>0</v>
      </c>
      <c r="M555" t="n">
        <v>0</v>
      </c>
      <c r="N555" t="n">
        <v>0</v>
      </c>
      <c r="O555" t="n">
        <v>0</v>
      </c>
      <c r="P555" t="n">
        <v>0</v>
      </c>
      <c r="Q555" t="n">
        <v>0</v>
      </c>
      <c r="R555" s="2" t="inlineStr"/>
    </row>
    <row r="556" ht="15" customHeight="1">
      <c r="A556" t="inlineStr">
        <is>
          <t>A 23323-2026</t>
        </is>
      </c>
      <c r="B556" s="1" t="n">
        <v>46162.53181712963</v>
      </c>
      <c r="C556" s="1" t="n">
        <v>46187</v>
      </c>
      <c r="D556" t="inlineStr">
        <is>
          <t>VÄSTERBOTTENS LÄN</t>
        </is>
      </c>
      <c r="E556" t="inlineStr">
        <is>
          <t>ÅSELE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36164-2024</t>
        </is>
      </c>
      <c r="B557" s="1" t="n">
        <v>45534.3956712963</v>
      </c>
      <c r="C557" s="1" t="n">
        <v>46187</v>
      </c>
      <c r="D557" t="inlineStr">
        <is>
          <t>VÄSTERBOTTENS LÄN</t>
        </is>
      </c>
      <c r="E557" t="inlineStr">
        <is>
          <t>ÅSELE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26980-2024</t>
        </is>
      </c>
      <c r="B558" s="1" t="n">
        <v>45471</v>
      </c>
      <c r="C558" s="1" t="n">
        <v>46187</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10109-2025</t>
        </is>
      </c>
      <c r="B559" s="1" t="n">
        <v>45719</v>
      </c>
      <c r="C559" s="1" t="n">
        <v>46187</v>
      </c>
      <c r="D559" t="inlineStr">
        <is>
          <t>VÄSTERBOTTENS LÄN</t>
        </is>
      </c>
      <c r="E559" t="inlineStr">
        <is>
          <t>ÅSELE</t>
        </is>
      </c>
      <c r="G559" t="n">
        <v>3.6</v>
      </c>
      <c r="H559" t="n">
        <v>0</v>
      </c>
      <c r="I559" t="n">
        <v>0</v>
      </c>
      <c r="J559" t="n">
        <v>0</v>
      </c>
      <c r="K559" t="n">
        <v>0</v>
      </c>
      <c r="L559" t="n">
        <v>0</v>
      </c>
      <c r="M559" t="n">
        <v>0</v>
      </c>
      <c r="N559" t="n">
        <v>0</v>
      </c>
      <c r="O559" t="n">
        <v>0</v>
      </c>
      <c r="P559" t="n">
        <v>0</v>
      </c>
      <c r="Q559" t="n">
        <v>0</v>
      </c>
      <c r="R559" s="2" t="inlineStr"/>
    </row>
    <row r="560" ht="15" customHeight="1">
      <c r="A560" t="inlineStr">
        <is>
          <t>A 41815-2024</t>
        </is>
      </c>
      <c r="B560" s="1" t="n">
        <v>45561</v>
      </c>
      <c r="C560" s="1" t="n">
        <v>46187</v>
      </c>
      <c r="D560" t="inlineStr">
        <is>
          <t>VÄSTERBOTTENS LÄN</t>
        </is>
      </c>
      <c r="E560" t="inlineStr">
        <is>
          <t>ÅSELE</t>
        </is>
      </c>
      <c r="G560" t="n">
        <v>3.4</v>
      </c>
      <c r="H560" t="n">
        <v>0</v>
      </c>
      <c r="I560" t="n">
        <v>0</v>
      </c>
      <c r="J560" t="n">
        <v>0</v>
      </c>
      <c r="K560" t="n">
        <v>0</v>
      </c>
      <c r="L560" t="n">
        <v>0</v>
      </c>
      <c r="M560" t="n">
        <v>0</v>
      </c>
      <c r="N560" t="n">
        <v>0</v>
      </c>
      <c r="O560" t="n">
        <v>0</v>
      </c>
      <c r="P560" t="n">
        <v>0</v>
      </c>
      <c r="Q560" t="n">
        <v>0</v>
      </c>
      <c r="R560" s="2" t="inlineStr"/>
    </row>
    <row r="561" ht="15" customHeight="1">
      <c r="A561" t="inlineStr">
        <is>
          <t>A 36634-2025</t>
        </is>
      </c>
      <c r="B561" s="1" t="n">
        <v>45870.69335648148</v>
      </c>
      <c r="C561" s="1" t="n">
        <v>46187</v>
      </c>
      <c r="D561" t="inlineStr">
        <is>
          <t>VÄSTERBOTTENS LÄN</t>
        </is>
      </c>
      <c r="E561" t="inlineStr">
        <is>
          <t>ÅSELE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23623-2026</t>
        </is>
      </c>
      <c r="B562" s="1" t="n">
        <v>46162</v>
      </c>
      <c r="C562" s="1" t="n">
        <v>46187</v>
      </c>
      <c r="D562" t="inlineStr">
        <is>
          <t>VÄSTERBOTTENS LÄN</t>
        </is>
      </c>
      <c r="E562" t="inlineStr">
        <is>
          <t>ÅSELE</t>
        </is>
      </c>
      <c r="G562" t="n">
        <v>3.2</v>
      </c>
      <c r="H562" t="n">
        <v>0</v>
      </c>
      <c r="I562" t="n">
        <v>0</v>
      </c>
      <c r="J562" t="n">
        <v>0</v>
      </c>
      <c r="K562" t="n">
        <v>0</v>
      </c>
      <c r="L562" t="n">
        <v>0</v>
      </c>
      <c r="M562" t="n">
        <v>0</v>
      </c>
      <c r="N562" t="n">
        <v>0</v>
      </c>
      <c r="O562" t="n">
        <v>0</v>
      </c>
      <c r="P562" t="n">
        <v>0</v>
      </c>
      <c r="Q562" t="n">
        <v>0</v>
      </c>
      <c r="R562" s="2" t="inlineStr"/>
    </row>
    <row r="563" ht="15" customHeight="1">
      <c r="A563" t="inlineStr">
        <is>
          <t>A 41321-2024</t>
        </is>
      </c>
      <c r="B563" s="1" t="n">
        <v>45559.64984953704</v>
      </c>
      <c r="C563" s="1" t="n">
        <v>46187</v>
      </c>
      <c r="D563" t="inlineStr">
        <is>
          <t>VÄSTERBOTTENS LÄN</t>
        </is>
      </c>
      <c r="E563" t="inlineStr">
        <is>
          <t>ÅSELE</t>
        </is>
      </c>
      <c r="F563" t="inlineStr">
        <is>
          <t>Naturvårdsverket</t>
        </is>
      </c>
      <c r="G563" t="n">
        <v>1.3</v>
      </c>
      <c r="H563" t="n">
        <v>0</v>
      </c>
      <c r="I563" t="n">
        <v>0</v>
      </c>
      <c r="J563" t="n">
        <v>0</v>
      </c>
      <c r="K563" t="n">
        <v>0</v>
      </c>
      <c r="L563" t="n">
        <v>0</v>
      </c>
      <c r="M563" t="n">
        <v>0</v>
      </c>
      <c r="N563" t="n">
        <v>0</v>
      </c>
      <c r="O563" t="n">
        <v>0</v>
      </c>
      <c r="P563" t="n">
        <v>0</v>
      </c>
      <c r="Q563" t="n">
        <v>0</v>
      </c>
      <c r="R563" s="2" t="inlineStr"/>
    </row>
    <row r="564" ht="15" customHeight="1">
      <c r="A564" t="inlineStr">
        <is>
          <t>A 36952-2025</t>
        </is>
      </c>
      <c r="B564" s="1" t="n">
        <v>45874.6078587963</v>
      </c>
      <c r="C564" s="1" t="n">
        <v>46187</v>
      </c>
      <c r="D564" t="inlineStr">
        <is>
          <t>VÄSTERBOTTENS LÄN</t>
        </is>
      </c>
      <c r="E564" t="inlineStr">
        <is>
          <t>ÅSELE</t>
        </is>
      </c>
      <c r="G564" t="n">
        <v>10.6</v>
      </c>
      <c r="H564" t="n">
        <v>0</v>
      </c>
      <c r="I564" t="n">
        <v>0</v>
      </c>
      <c r="J564" t="n">
        <v>0</v>
      </c>
      <c r="K564" t="n">
        <v>0</v>
      </c>
      <c r="L564" t="n">
        <v>0</v>
      </c>
      <c r="M564" t="n">
        <v>0</v>
      </c>
      <c r="N564" t="n">
        <v>0</v>
      </c>
      <c r="O564" t="n">
        <v>0</v>
      </c>
      <c r="P564" t="n">
        <v>0</v>
      </c>
      <c r="Q564" t="n">
        <v>0</v>
      </c>
      <c r="R564" s="2" t="inlineStr"/>
    </row>
    <row r="565" ht="15" customHeight="1">
      <c r="A565" t="inlineStr">
        <is>
          <t>A 36955-2025</t>
        </is>
      </c>
      <c r="B565" s="1" t="n">
        <v>45874.61203703703</v>
      </c>
      <c r="C565" s="1" t="n">
        <v>46187</v>
      </c>
      <c r="D565" t="inlineStr">
        <is>
          <t>VÄSTERBOTTENS LÄN</t>
        </is>
      </c>
      <c r="E565" t="inlineStr">
        <is>
          <t>ÅSELE</t>
        </is>
      </c>
      <c r="G565" t="n">
        <v>0.9</v>
      </c>
      <c r="H565" t="n">
        <v>0</v>
      </c>
      <c r="I565" t="n">
        <v>0</v>
      </c>
      <c r="J565" t="n">
        <v>0</v>
      </c>
      <c r="K565" t="n">
        <v>0</v>
      </c>
      <c r="L565" t="n">
        <v>0</v>
      </c>
      <c r="M565" t="n">
        <v>0</v>
      </c>
      <c r="N565" t="n">
        <v>0</v>
      </c>
      <c r="O565" t="n">
        <v>0</v>
      </c>
      <c r="P565" t="n">
        <v>0</v>
      </c>
      <c r="Q565" t="n">
        <v>0</v>
      </c>
      <c r="R565" s="2" t="inlineStr"/>
    </row>
    <row r="566" ht="15" customHeight="1">
      <c r="A566" t="inlineStr">
        <is>
          <t>A 67685-2021</t>
        </is>
      </c>
      <c r="B566" s="1" t="n">
        <v>44524</v>
      </c>
      <c r="C566" s="1" t="n">
        <v>46187</v>
      </c>
      <c r="D566" t="inlineStr">
        <is>
          <t>VÄSTERBOTTENS LÄN</t>
        </is>
      </c>
      <c r="E566" t="inlineStr">
        <is>
          <t>ÅSELE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23742-2026</t>
        </is>
      </c>
      <c r="B567" s="1" t="n">
        <v>46164.5046875</v>
      </c>
      <c r="C567" s="1" t="n">
        <v>46187</v>
      </c>
      <c r="D567" t="inlineStr">
        <is>
          <t>VÄSTERBOTTENS LÄN</t>
        </is>
      </c>
      <c r="E567" t="inlineStr">
        <is>
          <t>ÅSELE</t>
        </is>
      </c>
      <c r="G567" t="n">
        <v>9</v>
      </c>
      <c r="H567" t="n">
        <v>0</v>
      </c>
      <c r="I567" t="n">
        <v>0</v>
      </c>
      <c r="J567" t="n">
        <v>0</v>
      </c>
      <c r="K567" t="n">
        <v>0</v>
      </c>
      <c r="L567" t="n">
        <v>0</v>
      </c>
      <c r="M567" t="n">
        <v>0</v>
      </c>
      <c r="N567" t="n">
        <v>0</v>
      </c>
      <c r="O567" t="n">
        <v>0</v>
      </c>
      <c r="P567" t="n">
        <v>0</v>
      </c>
      <c r="Q567" t="n">
        <v>0</v>
      </c>
      <c r="R567" s="2" t="inlineStr"/>
    </row>
    <row r="568" ht="15" customHeight="1">
      <c r="A568" t="inlineStr">
        <is>
          <t>A 38405-2024</t>
        </is>
      </c>
      <c r="B568" s="1" t="n">
        <v>45546.34490740741</v>
      </c>
      <c r="C568" s="1" t="n">
        <v>46187</v>
      </c>
      <c r="D568" t="inlineStr">
        <is>
          <t>VÄSTERBOTTENS LÄN</t>
        </is>
      </c>
      <c r="E568" t="inlineStr">
        <is>
          <t>ÅSELE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42642-2024</t>
        </is>
      </c>
      <c r="B569" s="1" t="n">
        <v>45566</v>
      </c>
      <c r="C569" s="1" t="n">
        <v>46187</v>
      </c>
      <c r="D569" t="inlineStr">
        <is>
          <t>VÄSTERBOTTENS LÄN</t>
        </is>
      </c>
      <c r="E569" t="inlineStr">
        <is>
          <t>ÅSELE</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18317-2025</t>
        </is>
      </c>
      <c r="B570" s="1" t="n">
        <v>45762.45550925926</v>
      </c>
      <c r="C570" s="1" t="n">
        <v>46187</v>
      </c>
      <c r="D570" t="inlineStr">
        <is>
          <t>VÄSTERBOTTENS LÄN</t>
        </is>
      </c>
      <c r="E570" t="inlineStr">
        <is>
          <t>ÅSELE</t>
        </is>
      </c>
      <c r="G570" t="n">
        <v>1.1</v>
      </c>
      <c r="H570" t="n">
        <v>0</v>
      </c>
      <c r="I570" t="n">
        <v>0</v>
      </c>
      <c r="J570" t="n">
        <v>0</v>
      </c>
      <c r="K570" t="n">
        <v>0</v>
      </c>
      <c r="L570" t="n">
        <v>0</v>
      </c>
      <c r="M570" t="n">
        <v>0</v>
      </c>
      <c r="N570" t="n">
        <v>0</v>
      </c>
      <c r="O570" t="n">
        <v>0</v>
      </c>
      <c r="P570" t="n">
        <v>0</v>
      </c>
      <c r="Q570" t="n">
        <v>0</v>
      </c>
      <c r="R570" s="2" t="inlineStr"/>
    </row>
    <row r="571" ht="15" customHeight="1">
      <c r="A571" t="inlineStr">
        <is>
          <t>A 42689-2024</t>
        </is>
      </c>
      <c r="B571" s="1" t="n">
        <v>45566.40032407407</v>
      </c>
      <c r="C571" s="1" t="n">
        <v>46187</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17148-2025</t>
        </is>
      </c>
      <c r="B572" s="1" t="n">
        <v>45756.30644675926</v>
      </c>
      <c r="C572" s="1" t="n">
        <v>46187</v>
      </c>
      <c r="D572" t="inlineStr">
        <is>
          <t>VÄSTERBOTTENS LÄN</t>
        </is>
      </c>
      <c r="E572" t="inlineStr">
        <is>
          <t>ÅSELE</t>
        </is>
      </c>
      <c r="G572" t="n">
        <v>5.3</v>
      </c>
      <c r="H572" t="n">
        <v>0</v>
      </c>
      <c r="I572" t="n">
        <v>0</v>
      </c>
      <c r="J572" t="n">
        <v>0</v>
      </c>
      <c r="K572" t="n">
        <v>0</v>
      </c>
      <c r="L572" t="n">
        <v>0</v>
      </c>
      <c r="M572" t="n">
        <v>0</v>
      </c>
      <c r="N572" t="n">
        <v>0</v>
      </c>
      <c r="O572" t="n">
        <v>0</v>
      </c>
      <c r="P572" t="n">
        <v>0</v>
      </c>
      <c r="Q572" t="n">
        <v>0</v>
      </c>
      <c r="R572" s="2" t="inlineStr"/>
    </row>
    <row r="573" ht="15" customHeight="1">
      <c r="A573" t="inlineStr">
        <is>
          <t>A 24119-2026</t>
        </is>
      </c>
      <c r="B573" s="1" t="n">
        <v>46168.43934027778</v>
      </c>
      <c r="C573" s="1" t="n">
        <v>46187</v>
      </c>
      <c r="D573" t="inlineStr">
        <is>
          <t>VÄSTERBOTTENS LÄN</t>
        </is>
      </c>
      <c r="E573" t="inlineStr">
        <is>
          <t>ÅSELE</t>
        </is>
      </c>
      <c r="F573" t="inlineStr">
        <is>
          <t>Holmen skog AB</t>
        </is>
      </c>
      <c r="G573" t="n">
        <v>6.9</v>
      </c>
      <c r="H573" t="n">
        <v>0</v>
      </c>
      <c r="I573" t="n">
        <v>0</v>
      </c>
      <c r="J573" t="n">
        <v>0</v>
      </c>
      <c r="K573" t="n">
        <v>0</v>
      </c>
      <c r="L573" t="n">
        <v>0</v>
      </c>
      <c r="M573" t="n">
        <v>0</v>
      </c>
      <c r="N573" t="n">
        <v>0</v>
      </c>
      <c r="O573" t="n">
        <v>0</v>
      </c>
      <c r="P573" t="n">
        <v>0</v>
      </c>
      <c r="Q573" t="n">
        <v>0</v>
      </c>
      <c r="R573" s="2" t="inlineStr"/>
    </row>
    <row r="574" ht="15" customHeight="1">
      <c r="A574" t="inlineStr">
        <is>
          <t>A 32586-2023</t>
        </is>
      </c>
      <c r="B574" s="1" t="n">
        <v>45121</v>
      </c>
      <c r="C574" s="1" t="n">
        <v>46187</v>
      </c>
      <c r="D574" t="inlineStr">
        <is>
          <t>VÄSTERBOTTENS LÄN</t>
        </is>
      </c>
      <c r="E574" t="inlineStr">
        <is>
          <t>ÅSELE</t>
        </is>
      </c>
      <c r="F574" t="inlineStr">
        <is>
          <t>Holmen skog AB</t>
        </is>
      </c>
      <c r="G574" t="n">
        <v>5.5</v>
      </c>
      <c r="H574" t="n">
        <v>0</v>
      </c>
      <c r="I574" t="n">
        <v>0</v>
      </c>
      <c r="J574" t="n">
        <v>0</v>
      </c>
      <c r="K574" t="n">
        <v>0</v>
      </c>
      <c r="L574" t="n">
        <v>0</v>
      </c>
      <c r="M574" t="n">
        <v>0</v>
      </c>
      <c r="N574" t="n">
        <v>0</v>
      </c>
      <c r="O574" t="n">
        <v>0</v>
      </c>
      <c r="P574" t="n">
        <v>0</v>
      </c>
      <c r="Q574" t="n">
        <v>0</v>
      </c>
      <c r="R574" s="2" t="inlineStr"/>
    </row>
    <row r="575" ht="15" customHeight="1">
      <c r="A575" t="inlineStr">
        <is>
          <t>A 15059-2025</t>
        </is>
      </c>
      <c r="B575" s="1" t="n">
        <v>45743</v>
      </c>
      <c r="C575" s="1" t="n">
        <v>46187</v>
      </c>
      <c r="D575" t="inlineStr">
        <is>
          <t>VÄSTERBOTTENS LÄN</t>
        </is>
      </c>
      <c r="E575" t="inlineStr">
        <is>
          <t>ÅSELE</t>
        </is>
      </c>
      <c r="F575" t="inlineStr">
        <is>
          <t>Holmen skog AB</t>
        </is>
      </c>
      <c r="G575" t="n">
        <v>13.7</v>
      </c>
      <c r="H575" t="n">
        <v>0</v>
      </c>
      <c r="I575" t="n">
        <v>0</v>
      </c>
      <c r="J575" t="n">
        <v>0</v>
      </c>
      <c r="K575" t="n">
        <v>0</v>
      </c>
      <c r="L575" t="n">
        <v>0</v>
      </c>
      <c r="M575" t="n">
        <v>0</v>
      </c>
      <c r="N575" t="n">
        <v>0</v>
      </c>
      <c r="O575" t="n">
        <v>0</v>
      </c>
      <c r="P575" t="n">
        <v>0</v>
      </c>
      <c r="Q575" t="n">
        <v>0</v>
      </c>
      <c r="R575" s="2" t="inlineStr"/>
    </row>
    <row r="576" ht="15" customHeight="1">
      <c r="A576" t="inlineStr">
        <is>
          <t>A 24213-2026</t>
        </is>
      </c>
      <c r="B576" s="1" t="n">
        <v>46168.63519675926</v>
      </c>
      <c r="C576" s="1" t="n">
        <v>46187</v>
      </c>
      <c r="D576" t="inlineStr">
        <is>
          <t>VÄSTERBOTTENS LÄN</t>
        </is>
      </c>
      <c r="E576" t="inlineStr">
        <is>
          <t>ÅSELE</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38449-2025</t>
        </is>
      </c>
      <c r="B577" s="1" t="n">
        <v>45883.67765046296</v>
      </c>
      <c r="C577" s="1" t="n">
        <v>46187</v>
      </c>
      <c r="D577" t="inlineStr">
        <is>
          <t>VÄSTERBOTTENS LÄN</t>
        </is>
      </c>
      <c r="E577" t="inlineStr">
        <is>
          <t>ÅSELE</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38189-2025</t>
        </is>
      </c>
      <c r="B578" s="1" t="n">
        <v>45882.65576388889</v>
      </c>
      <c r="C578" s="1" t="n">
        <v>46187</v>
      </c>
      <c r="D578" t="inlineStr">
        <is>
          <t>VÄSTERBOTTENS LÄN</t>
        </is>
      </c>
      <c r="E578" t="inlineStr">
        <is>
          <t>ÅSELE</t>
        </is>
      </c>
      <c r="G578" t="n">
        <v>3</v>
      </c>
      <c r="H578" t="n">
        <v>0</v>
      </c>
      <c r="I578" t="n">
        <v>0</v>
      </c>
      <c r="J578" t="n">
        <v>0</v>
      </c>
      <c r="K578" t="n">
        <v>0</v>
      </c>
      <c r="L578" t="n">
        <v>0</v>
      </c>
      <c r="M578" t="n">
        <v>0</v>
      </c>
      <c r="N578" t="n">
        <v>0</v>
      </c>
      <c r="O578" t="n">
        <v>0</v>
      </c>
      <c r="P578" t="n">
        <v>0</v>
      </c>
      <c r="Q578" t="n">
        <v>0</v>
      </c>
      <c r="R578" s="2" t="inlineStr"/>
    </row>
    <row r="579" ht="15" customHeight="1">
      <c r="A579" t="inlineStr">
        <is>
          <t>A 38460-2025</t>
        </is>
      </c>
      <c r="B579" s="1" t="n">
        <v>45883.71945601852</v>
      </c>
      <c r="C579" s="1" t="n">
        <v>46187</v>
      </c>
      <c r="D579" t="inlineStr">
        <is>
          <t>VÄSTERBOTTENS LÄN</t>
        </is>
      </c>
      <c r="E579" t="inlineStr">
        <is>
          <t>ÅSELE</t>
        </is>
      </c>
      <c r="F579" t="inlineStr">
        <is>
          <t>SCA</t>
        </is>
      </c>
      <c r="G579" t="n">
        <v>10.2</v>
      </c>
      <c r="H579" t="n">
        <v>0</v>
      </c>
      <c r="I579" t="n">
        <v>0</v>
      </c>
      <c r="J579" t="n">
        <v>0</v>
      </c>
      <c r="K579" t="n">
        <v>0</v>
      </c>
      <c r="L579" t="n">
        <v>0</v>
      </c>
      <c r="M579" t="n">
        <v>0</v>
      </c>
      <c r="N579" t="n">
        <v>0</v>
      </c>
      <c r="O579" t="n">
        <v>0</v>
      </c>
      <c r="P579" t="n">
        <v>0</v>
      </c>
      <c r="Q579" t="n">
        <v>0</v>
      </c>
      <c r="R579" s="2" t="inlineStr"/>
    </row>
    <row r="580" ht="15" customHeight="1">
      <c r="A580" t="inlineStr">
        <is>
          <t>A 16570-2023</t>
        </is>
      </c>
      <c r="B580" s="1" t="n">
        <v>45029.94212962963</v>
      </c>
      <c r="C580" s="1" t="n">
        <v>46187</v>
      </c>
      <c r="D580" t="inlineStr">
        <is>
          <t>VÄSTERBOTTENS LÄN</t>
        </is>
      </c>
      <c r="E580" t="inlineStr">
        <is>
          <t>ÅSELE</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38184-2025</t>
        </is>
      </c>
      <c r="B581" s="1" t="n">
        <v>45882.64888888889</v>
      </c>
      <c r="C581" s="1" t="n">
        <v>46187</v>
      </c>
      <c r="D581" t="inlineStr">
        <is>
          <t>VÄSTERBOTTENS LÄN</t>
        </is>
      </c>
      <c r="E581" t="inlineStr">
        <is>
          <t>ÅSELE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38224-2025</t>
        </is>
      </c>
      <c r="B582" s="1" t="n">
        <v>45883.34482638889</v>
      </c>
      <c r="C582" s="1" t="n">
        <v>46187</v>
      </c>
      <c r="D582" t="inlineStr">
        <is>
          <t>VÄSTERBOTTENS LÄN</t>
        </is>
      </c>
      <c r="E582" t="inlineStr">
        <is>
          <t>ÅSELE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38451-2025</t>
        </is>
      </c>
      <c r="B583" s="1" t="n">
        <v>45883.67800925926</v>
      </c>
      <c r="C583" s="1" t="n">
        <v>46187</v>
      </c>
      <c r="D583" t="inlineStr">
        <is>
          <t>VÄSTERBOTTENS LÄN</t>
        </is>
      </c>
      <c r="E583" t="inlineStr">
        <is>
          <t>ÅSELE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38195-2025</t>
        </is>
      </c>
      <c r="B584" s="1" t="n">
        <v>45882.65986111111</v>
      </c>
      <c r="C584" s="1" t="n">
        <v>46187</v>
      </c>
      <c r="D584" t="inlineStr">
        <is>
          <t>VÄSTERBOTTENS LÄN</t>
        </is>
      </c>
      <c r="E584" t="inlineStr">
        <is>
          <t>ÅSELE</t>
        </is>
      </c>
      <c r="G584" t="n">
        <v>4.7</v>
      </c>
      <c r="H584" t="n">
        <v>0</v>
      </c>
      <c r="I584" t="n">
        <v>0</v>
      </c>
      <c r="J584" t="n">
        <v>0</v>
      </c>
      <c r="K584" t="n">
        <v>0</v>
      </c>
      <c r="L584" t="n">
        <v>0</v>
      </c>
      <c r="M584" t="n">
        <v>0</v>
      </c>
      <c r="N584" t="n">
        <v>0</v>
      </c>
      <c r="O584" t="n">
        <v>0</v>
      </c>
      <c r="P584" t="n">
        <v>0</v>
      </c>
      <c r="Q584" t="n">
        <v>0</v>
      </c>
      <c r="R584" s="2" t="inlineStr"/>
    </row>
    <row r="585" ht="15" customHeight="1">
      <c r="A585" t="inlineStr">
        <is>
          <t>A 38222-2025</t>
        </is>
      </c>
      <c r="B585" s="1" t="n">
        <v>45883.34452546296</v>
      </c>
      <c r="C585" s="1" t="n">
        <v>46187</v>
      </c>
      <c r="D585" t="inlineStr">
        <is>
          <t>VÄSTERBOTTENS LÄN</t>
        </is>
      </c>
      <c r="E585" t="inlineStr">
        <is>
          <t>ÅSELE</t>
        </is>
      </c>
      <c r="F585" t="inlineStr">
        <is>
          <t>SCA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38418-2025</t>
        </is>
      </c>
      <c r="B586" s="1" t="n">
        <v>45883.61994212963</v>
      </c>
      <c r="C586" s="1" t="n">
        <v>46187</v>
      </c>
      <c r="D586" t="inlineStr">
        <is>
          <t>VÄSTERBOTTENS LÄN</t>
        </is>
      </c>
      <c r="E586" t="inlineStr">
        <is>
          <t>ÅSELE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9355-2023</t>
        </is>
      </c>
      <c r="B587" s="1" t="n">
        <v>44980.93821759259</v>
      </c>
      <c r="C587" s="1" t="n">
        <v>46187</v>
      </c>
      <c r="D587" t="inlineStr">
        <is>
          <t>VÄSTERBOTTENS LÄN</t>
        </is>
      </c>
      <c r="E587" t="inlineStr">
        <is>
          <t>ÅSELE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34684-2023</t>
        </is>
      </c>
      <c r="B588" s="1" t="n">
        <v>45140</v>
      </c>
      <c r="C588" s="1" t="n">
        <v>46187</v>
      </c>
      <c r="D588" t="inlineStr">
        <is>
          <t>VÄSTERBOTTENS LÄN</t>
        </is>
      </c>
      <c r="E588" t="inlineStr">
        <is>
          <t>ÅSELE</t>
        </is>
      </c>
      <c r="G588" t="n">
        <v>5.9</v>
      </c>
      <c r="H588" t="n">
        <v>0</v>
      </c>
      <c r="I588" t="n">
        <v>0</v>
      </c>
      <c r="J588" t="n">
        <v>0</v>
      </c>
      <c r="K588" t="n">
        <v>0</v>
      </c>
      <c r="L588" t="n">
        <v>0</v>
      </c>
      <c r="M588" t="n">
        <v>0</v>
      </c>
      <c r="N588" t="n">
        <v>0</v>
      </c>
      <c r="O588" t="n">
        <v>0</v>
      </c>
      <c r="P588" t="n">
        <v>0</v>
      </c>
      <c r="Q588" t="n">
        <v>0</v>
      </c>
      <c r="R588" s="2" t="inlineStr"/>
    </row>
    <row r="589" ht="15" customHeight="1">
      <c r="A589" t="inlineStr">
        <is>
          <t>A 7498-2025</t>
        </is>
      </c>
      <c r="B589" s="1" t="n">
        <v>45705</v>
      </c>
      <c r="C589" s="1" t="n">
        <v>46187</v>
      </c>
      <c r="D589" t="inlineStr">
        <is>
          <t>VÄSTERBOTTENS LÄN</t>
        </is>
      </c>
      <c r="E589" t="inlineStr">
        <is>
          <t>ÅSELE</t>
        </is>
      </c>
      <c r="F589" t="inlineStr">
        <is>
          <t>Holmen skog AB</t>
        </is>
      </c>
      <c r="G589" t="n">
        <v>10.1</v>
      </c>
      <c r="H589" t="n">
        <v>0</v>
      </c>
      <c r="I589" t="n">
        <v>0</v>
      </c>
      <c r="J589" t="n">
        <v>0</v>
      </c>
      <c r="K589" t="n">
        <v>0</v>
      </c>
      <c r="L589" t="n">
        <v>0</v>
      </c>
      <c r="M589" t="n">
        <v>0</v>
      </c>
      <c r="N589" t="n">
        <v>0</v>
      </c>
      <c r="O589" t="n">
        <v>0</v>
      </c>
      <c r="P589" t="n">
        <v>0</v>
      </c>
      <c r="Q589" t="n">
        <v>0</v>
      </c>
      <c r="R589" s="2" t="inlineStr"/>
    </row>
    <row r="590" ht="15" customHeight="1">
      <c r="A590" t="inlineStr">
        <is>
          <t>A 24508-2026</t>
        </is>
      </c>
      <c r="B590" s="1" t="n">
        <v>46170.48659722223</v>
      </c>
      <c r="C590" s="1" t="n">
        <v>46187</v>
      </c>
      <c r="D590" t="inlineStr">
        <is>
          <t>VÄSTERBOTTENS LÄN</t>
        </is>
      </c>
      <c r="E590" t="inlineStr">
        <is>
          <t>ÅSELE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23648-2023</t>
        </is>
      </c>
      <c r="B591" s="1" t="n">
        <v>45077.54615740741</v>
      </c>
      <c r="C591" s="1" t="n">
        <v>46187</v>
      </c>
      <c r="D591" t="inlineStr">
        <is>
          <t>VÄSTERBOTTENS LÄN</t>
        </is>
      </c>
      <c r="E591" t="inlineStr">
        <is>
          <t>ÅSELE</t>
        </is>
      </c>
      <c r="F591" t="inlineStr">
        <is>
          <t>Naturvårdsverket</t>
        </is>
      </c>
      <c r="G591" t="n">
        <v>1.4</v>
      </c>
      <c r="H591" t="n">
        <v>0</v>
      </c>
      <c r="I591" t="n">
        <v>0</v>
      </c>
      <c r="J591" t="n">
        <v>0</v>
      </c>
      <c r="K591" t="n">
        <v>0</v>
      </c>
      <c r="L591" t="n">
        <v>0</v>
      </c>
      <c r="M591" t="n">
        <v>0</v>
      </c>
      <c r="N591" t="n">
        <v>0</v>
      </c>
      <c r="O591" t="n">
        <v>0</v>
      </c>
      <c r="P591" t="n">
        <v>0</v>
      </c>
      <c r="Q591" t="n">
        <v>0</v>
      </c>
      <c r="R591" s="2" t="inlineStr"/>
    </row>
    <row r="592" ht="15" customHeight="1">
      <c r="A592" t="inlineStr">
        <is>
          <t>A 62975-2021</t>
        </is>
      </c>
      <c r="B592" s="1" t="n">
        <v>44505</v>
      </c>
      <c r="C592" s="1" t="n">
        <v>46187</v>
      </c>
      <c r="D592" t="inlineStr">
        <is>
          <t>VÄSTERBOTTENS LÄN</t>
        </is>
      </c>
      <c r="E592" t="inlineStr">
        <is>
          <t>ÅSELE</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24413-2026</t>
        </is>
      </c>
      <c r="B593" s="1" t="n">
        <v>46169.69834490741</v>
      </c>
      <c r="C593" s="1" t="n">
        <v>46187</v>
      </c>
      <c r="D593" t="inlineStr">
        <is>
          <t>VÄSTERBOTTENS LÄN</t>
        </is>
      </c>
      <c r="E593" t="inlineStr">
        <is>
          <t>ÅSELE</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18683-2026</t>
        </is>
      </c>
      <c r="B594" s="1" t="n">
        <v>46128.38637731481</v>
      </c>
      <c r="C594" s="1" t="n">
        <v>46187</v>
      </c>
      <c r="D594" t="inlineStr">
        <is>
          <t>VÄSTERBOTTENS LÄN</t>
        </is>
      </c>
      <c r="E594" t="inlineStr">
        <is>
          <t>ÅSELE</t>
        </is>
      </c>
      <c r="G594" t="n">
        <v>19.7</v>
      </c>
      <c r="H594" t="n">
        <v>0</v>
      </c>
      <c r="I594" t="n">
        <v>0</v>
      </c>
      <c r="J594" t="n">
        <v>0</v>
      </c>
      <c r="K594" t="n">
        <v>0</v>
      </c>
      <c r="L594" t="n">
        <v>0</v>
      </c>
      <c r="M594" t="n">
        <v>0</v>
      </c>
      <c r="N594" t="n">
        <v>0</v>
      </c>
      <c r="O594" t="n">
        <v>0</v>
      </c>
      <c r="P594" t="n">
        <v>0</v>
      </c>
      <c r="Q594" t="n">
        <v>0</v>
      </c>
      <c r="R594" s="2" t="inlineStr"/>
    </row>
    <row r="595" ht="15" customHeight="1">
      <c r="A595" t="inlineStr">
        <is>
          <t>A 18730-2026</t>
        </is>
      </c>
      <c r="B595" s="1" t="n">
        <v>46128.49055555555</v>
      </c>
      <c r="C595" s="1" t="n">
        <v>46187</v>
      </c>
      <c r="D595" t="inlineStr">
        <is>
          <t>VÄSTERBOTTENS LÄN</t>
        </is>
      </c>
      <c r="E595" t="inlineStr">
        <is>
          <t>ÅSELE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18956-2026</t>
        </is>
      </c>
      <c r="B596" s="1" t="n">
        <v>46129</v>
      </c>
      <c r="C596" s="1" t="n">
        <v>46187</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49428-2022</t>
        </is>
      </c>
      <c r="B597" s="1" t="n">
        <v>44859</v>
      </c>
      <c r="C597" s="1" t="n">
        <v>46187</v>
      </c>
      <c r="D597" t="inlineStr">
        <is>
          <t>VÄSTERBOTTENS LÄN</t>
        </is>
      </c>
      <c r="E597" t="inlineStr">
        <is>
          <t>ÅSELE</t>
        </is>
      </c>
      <c r="G597" t="n">
        <v>4.6</v>
      </c>
      <c r="H597" t="n">
        <v>0</v>
      </c>
      <c r="I597" t="n">
        <v>0</v>
      </c>
      <c r="J597" t="n">
        <v>0</v>
      </c>
      <c r="K597" t="n">
        <v>0</v>
      </c>
      <c r="L597" t="n">
        <v>0</v>
      </c>
      <c r="M597" t="n">
        <v>0</v>
      </c>
      <c r="N597" t="n">
        <v>0</v>
      </c>
      <c r="O597" t="n">
        <v>0</v>
      </c>
      <c r="P597" t="n">
        <v>0</v>
      </c>
      <c r="Q597" t="n">
        <v>0</v>
      </c>
      <c r="R597" s="2" t="inlineStr"/>
    </row>
    <row r="598" ht="15" customHeight="1">
      <c r="A598" t="inlineStr">
        <is>
          <t>A 18957-2026</t>
        </is>
      </c>
      <c r="B598" s="1" t="n">
        <v>46129</v>
      </c>
      <c r="C598" s="1" t="n">
        <v>46187</v>
      </c>
      <c r="D598" t="inlineStr">
        <is>
          <t>VÄSTERBOTTENS LÄN</t>
        </is>
      </c>
      <c r="E598" t="inlineStr">
        <is>
          <t>ÅSELE</t>
        </is>
      </c>
      <c r="F598" t="inlineStr">
        <is>
          <t>SCA</t>
        </is>
      </c>
      <c r="G598" t="n">
        <v>24.3</v>
      </c>
      <c r="H598" t="n">
        <v>0</v>
      </c>
      <c r="I598" t="n">
        <v>0</v>
      </c>
      <c r="J598" t="n">
        <v>0</v>
      </c>
      <c r="K598" t="n">
        <v>0</v>
      </c>
      <c r="L598" t="n">
        <v>0</v>
      </c>
      <c r="M598" t="n">
        <v>0</v>
      </c>
      <c r="N598" t="n">
        <v>0</v>
      </c>
      <c r="O598" t="n">
        <v>0</v>
      </c>
      <c r="P598" t="n">
        <v>0</v>
      </c>
      <c r="Q598" t="n">
        <v>0</v>
      </c>
      <c r="R598" s="2" t="inlineStr"/>
    </row>
    <row r="599" ht="15" customHeight="1">
      <c r="A599" t="inlineStr">
        <is>
          <t>A 18959-2026</t>
        </is>
      </c>
      <c r="B599" s="1" t="n">
        <v>46129</v>
      </c>
      <c r="C599" s="1" t="n">
        <v>46187</v>
      </c>
      <c r="D599" t="inlineStr">
        <is>
          <t>VÄSTERBOTTENS LÄN</t>
        </is>
      </c>
      <c r="E599" t="inlineStr">
        <is>
          <t>ÅSELE</t>
        </is>
      </c>
      <c r="F599" t="inlineStr">
        <is>
          <t>SCA</t>
        </is>
      </c>
      <c r="G599" t="n">
        <v>21.1</v>
      </c>
      <c r="H599" t="n">
        <v>0</v>
      </c>
      <c r="I599" t="n">
        <v>0</v>
      </c>
      <c r="J599" t="n">
        <v>0</v>
      </c>
      <c r="K599" t="n">
        <v>0</v>
      </c>
      <c r="L599" t="n">
        <v>0</v>
      </c>
      <c r="M599" t="n">
        <v>0</v>
      </c>
      <c r="N599" t="n">
        <v>0</v>
      </c>
      <c r="O599" t="n">
        <v>0</v>
      </c>
      <c r="P599" t="n">
        <v>0</v>
      </c>
      <c r="Q599" t="n">
        <v>0</v>
      </c>
      <c r="R599" s="2" t="inlineStr"/>
    </row>
    <row r="600" ht="15" customHeight="1">
      <c r="A600" t="inlineStr">
        <is>
          <t>A 16536-2026</t>
        </is>
      </c>
      <c r="B600" s="1" t="n">
        <v>46112</v>
      </c>
      <c r="C600" s="1" t="n">
        <v>46187</v>
      </c>
      <c r="D600" t="inlineStr">
        <is>
          <t>VÄSTERBOTTENS LÄN</t>
        </is>
      </c>
      <c r="E600" t="inlineStr">
        <is>
          <t>ÅSELE</t>
        </is>
      </c>
      <c r="G600" t="n">
        <v>3.6</v>
      </c>
      <c r="H600" t="n">
        <v>0</v>
      </c>
      <c r="I600" t="n">
        <v>0</v>
      </c>
      <c r="J600" t="n">
        <v>0</v>
      </c>
      <c r="K600" t="n">
        <v>0</v>
      </c>
      <c r="L600" t="n">
        <v>0</v>
      </c>
      <c r="M600" t="n">
        <v>0</v>
      </c>
      <c r="N600" t="n">
        <v>0</v>
      </c>
      <c r="O600" t="n">
        <v>0</v>
      </c>
      <c r="P600" t="n">
        <v>0</v>
      </c>
      <c r="Q600" t="n">
        <v>0</v>
      </c>
      <c r="R600" s="2" t="inlineStr"/>
    </row>
    <row r="601" ht="15" customHeight="1">
      <c r="A601" t="inlineStr">
        <is>
          <t>A 19458-2026</t>
        </is>
      </c>
      <c r="B601" s="1" t="n">
        <v>46129</v>
      </c>
      <c r="C601" s="1" t="n">
        <v>46187</v>
      </c>
      <c r="D601" t="inlineStr">
        <is>
          <t>VÄSTERBOTTENS LÄN</t>
        </is>
      </c>
      <c r="E601" t="inlineStr">
        <is>
          <t>ÅSELE</t>
        </is>
      </c>
      <c r="G601" t="n">
        <v>1.6</v>
      </c>
      <c r="H601" t="n">
        <v>0</v>
      </c>
      <c r="I601" t="n">
        <v>0</v>
      </c>
      <c r="J601" t="n">
        <v>0</v>
      </c>
      <c r="K601" t="n">
        <v>0</v>
      </c>
      <c r="L601" t="n">
        <v>0</v>
      </c>
      <c r="M601" t="n">
        <v>0</v>
      </c>
      <c r="N601" t="n">
        <v>0</v>
      </c>
      <c r="O601" t="n">
        <v>0</v>
      </c>
      <c r="P601" t="n">
        <v>0</v>
      </c>
      <c r="Q601" t="n">
        <v>0</v>
      </c>
      <c r="R601" s="2" t="inlineStr"/>
    </row>
    <row r="602" ht="15" customHeight="1">
      <c r="A602" t="inlineStr">
        <is>
          <t>A 18958-2026</t>
        </is>
      </c>
      <c r="B602" s="1" t="n">
        <v>46129</v>
      </c>
      <c r="C602" s="1" t="n">
        <v>46187</v>
      </c>
      <c r="D602" t="inlineStr">
        <is>
          <t>VÄSTERBOTTENS LÄN</t>
        </is>
      </c>
      <c r="E602" t="inlineStr">
        <is>
          <t>ÅSELE</t>
        </is>
      </c>
      <c r="F602" t="inlineStr">
        <is>
          <t>SCA</t>
        </is>
      </c>
      <c r="G602" t="n">
        <v>27.7</v>
      </c>
      <c r="H602" t="n">
        <v>0</v>
      </c>
      <c r="I602" t="n">
        <v>0</v>
      </c>
      <c r="J602" t="n">
        <v>0</v>
      </c>
      <c r="K602" t="n">
        <v>0</v>
      </c>
      <c r="L602" t="n">
        <v>0</v>
      </c>
      <c r="M602" t="n">
        <v>0</v>
      </c>
      <c r="N602" t="n">
        <v>0</v>
      </c>
      <c r="O602" t="n">
        <v>0</v>
      </c>
      <c r="P602" t="n">
        <v>0</v>
      </c>
      <c r="Q602" t="n">
        <v>0</v>
      </c>
      <c r="R602" s="2" t="inlineStr"/>
    </row>
    <row r="603" ht="15" customHeight="1">
      <c r="A603" t="inlineStr">
        <is>
          <t>A 16526-2026</t>
        </is>
      </c>
      <c r="B603" s="1" t="n">
        <v>46112</v>
      </c>
      <c r="C603" s="1" t="n">
        <v>46187</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24794-2026</t>
        </is>
      </c>
      <c r="B604" s="1" t="n">
        <v>46171.69866898148</v>
      </c>
      <c r="C604" s="1" t="n">
        <v>46187</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18684-2026</t>
        </is>
      </c>
      <c r="B605" s="1" t="n">
        <v>46128.38644675926</v>
      </c>
      <c r="C605" s="1" t="n">
        <v>46187</v>
      </c>
      <c r="D605" t="inlineStr">
        <is>
          <t>VÄSTERBOTTENS LÄN</t>
        </is>
      </c>
      <c r="E605" t="inlineStr">
        <is>
          <t>ÅSELE</t>
        </is>
      </c>
      <c r="G605" t="n">
        <v>11.1</v>
      </c>
      <c r="H605" t="n">
        <v>0</v>
      </c>
      <c r="I605" t="n">
        <v>0</v>
      </c>
      <c r="J605" t="n">
        <v>0</v>
      </c>
      <c r="K605" t="n">
        <v>0</v>
      </c>
      <c r="L605" t="n">
        <v>0</v>
      </c>
      <c r="M605" t="n">
        <v>0</v>
      </c>
      <c r="N605" t="n">
        <v>0</v>
      </c>
      <c r="O605" t="n">
        <v>0</v>
      </c>
      <c r="P605" t="n">
        <v>0</v>
      </c>
      <c r="Q605" t="n">
        <v>0</v>
      </c>
      <c r="R605" s="2" t="inlineStr"/>
    </row>
    <row r="606" ht="15" customHeight="1">
      <c r="A606" t="inlineStr">
        <is>
          <t>A 18731-2026</t>
        </is>
      </c>
      <c r="B606" s="1" t="n">
        <v>46128</v>
      </c>
      <c r="C606" s="1" t="n">
        <v>46187</v>
      </c>
      <c r="D606" t="inlineStr">
        <is>
          <t>VÄSTERBOTTENS LÄN</t>
        </is>
      </c>
      <c r="E606" t="inlineStr">
        <is>
          <t>ÅSELE</t>
        </is>
      </c>
      <c r="F606" t="inlineStr">
        <is>
          <t>SCA</t>
        </is>
      </c>
      <c r="G606" t="n">
        <v>13.6</v>
      </c>
      <c r="H606" t="n">
        <v>0</v>
      </c>
      <c r="I606" t="n">
        <v>0</v>
      </c>
      <c r="J606" t="n">
        <v>0</v>
      </c>
      <c r="K606" t="n">
        <v>0</v>
      </c>
      <c r="L606" t="n">
        <v>0</v>
      </c>
      <c r="M606" t="n">
        <v>0</v>
      </c>
      <c r="N606" t="n">
        <v>0</v>
      </c>
      <c r="O606" t="n">
        <v>0</v>
      </c>
      <c r="P606" t="n">
        <v>0</v>
      </c>
      <c r="Q606" t="n">
        <v>0</v>
      </c>
      <c r="R606" s="2" t="inlineStr"/>
    </row>
    <row r="607" ht="15" customHeight="1">
      <c r="A607" t="inlineStr">
        <is>
          <t>A 31184-2023</t>
        </is>
      </c>
      <c r="B607" s="1" t="n">
        <v>45113</v>
      </c>
      <c r="C607" s="1" t="n">
        <v>46187</v>
      </c>
      <c r="D607" t="inlineStr">
        <is>
          <t>VÄSTERBOTTENS LÄN</t>
        </is>
      </c>
      <c r="E607" t="inlineStr">
        <is>
          <t>ÅSELE</t>
        </is>
      </c>
      <c r="F607" t="inlineStr">
        <is>
          <t>SCA</t>
        </is>
      </c>
      <c r="G607" t="n">
        <v>7.2</v>
      </c>
      <c r="H607" t="n">
        <v>0</v>
      </c>
      <c r="I607" t="n">
        <v>0</v>
      </c>
      <c r="J607" t="n">
        <v>0</v>
      </c>
      <c r="K607" t="n">
        <v>0</v>
      </c>
      <c r="L607" t="n">
        <v>0</v>
      </c>
      <c r="M607" t="n">
        <v>0</v>
      </c>
      <c r="N607" t="n">
        <v>0</v>
      </c>
      <c r="O607" t="n">
        <v>0</v>
      </c>
      <c r="P607" t="n">
        <v>0</v>
      </c>
      <c r="Q607" t="n">
        <v>0</v>
      </c>
      <c r="R607" s="2" t="inlineStr"/>
    </row>
    <row r="608" ht="15" customHeight="1">
      <c r="A608" t="inlineStr">
        <is>
          <t>A 73419-2021</t>
        </is>
      </c>
      <c r="B608" s="1" t="n">
        <v>44551</v>
      </c>
      <c r="C608" s="1" t="n">
        <v>46187</v>
      </c>
      <c r="D608" t="inlineStr">
        <is>
          <t>VÄSTERBOTTENS LÄN</t>
        </is>
      </c>
      <c r="E608" t="inlineStr">
        <is>
          <t>ÅSELE</t>
        </is>
      </c>
      <c r="G608" t="n">
        <v>14</v>
      </c>
      <c r="H608" t="n">
        <v>0</v>
      </c>
      <c r="I608" t="n">
        <v>0</v>
      </c>
      <c r="J608" t="n">
        <v>0</v>
      </c>
      <c r="K608" t="n">
        <v>0</v>
      </c>
      <c r="L608" t="n">
        <v>0</v>
      </c>
      <c r="M608" t="n">
        <v>0</v>
      </c>
      <c r="N608" t="n">
        <v>0</v>
      </c>
      <c r="O608" t="n">
        <v>0</v>
      </c>
      <c r="P608" t="n">
        <v>0</v>
      </c>
      <c r="Q608" t="n">
        <v>0</v>
      </c>
      <c r="R608" s="2" t="inlineStr"/>
    </row>
    <row r="609" ht="15" customHeight="1">
      <c r="A609" t="inlineStr">
        <is>
          <t>A 24795-2026</t>
        </is>
      </c>
      <c r="B609" s="1" t="n">
        <v>46171.69878472222</v>
      </c>
      <c r="C609" s="1" t="n">
        <v>46187</v>
      </c>
      <c r="D609" t="inlineStr">
        <is>
          <t>VÄSTERBOTTENS LÄN</t>
        </is>
      </c>
      <c r="E609" t="inlineStr">
        <is>
          <t>ÅSELE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24793-2026</t>
        </is>
      </c>
      <c r="B610" s="1" t="n">
        <v>46171.6984837963</v>
      </c>
      <c r="C610" s="1" t="n">
        <v>46187</v>
      </c>
      <c r="D610" t="inlineStr">
        <is>
          <t>VÄSTERBOTTENS LÄN</t>
        </is>
      </c>
      <c r="E610" t="inlineStr">
        <is>
          <t>ÅSELE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28889-2024</t>
        </is>
      </c>
      <c r="B611" s="1" t="n">
        <v>45479.9489699074</v>
      </c>
      <c r="C611" s="1" t="n">
        <v>46187</v>
      </c>
      <c r="D611" t="inlineStr">
        <is>
          <t>VÄSTERBOTTENS LÄN</t>
        </is>
      </c>
      <c r="E611" t="inlineStr">
        <is>
          <t>ÅSELE</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1872-2023</t>
        </is>
      </c>
      <c r="B612" s="1" t="n">
        <v>44938.93849537037</v>
      </c>
      <c r="C612" s="1" t="n">
        <v>46187</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19177-2026</t>
        </is>
      </c>
      <c r="B613" s="1" t="n">
        <v>46132.59511574074</v>
      </c>
      <c r="C613" s="1" t="n">
        <v>46187</v>
      </c>
      <c r="D613" t="inlineStr">
        <is>
          <t>VÄSTERBOTTENS LÄN</t>
        </is>
      </c>
      <c r="E613" t="inlineStr">
        <is>
          <t>ÅSELE</t>
        </is>
      </c>
      <c r="F613" t="inlineStr">
        <is>
          <t>SCA</t>
        </is>
      </c>
      <c r="G613" t="n">
        <v>31.9</v>
      </c>
      <c r="H613" t="n">
        <v>0</v>
      </c>
      <c r="I613" t="n">
        <v>0</v>
      </c>
      <c r="J613" t="n">
        <v>0</v>
      </c>
      <c r="K613" t="n">
        <v>0</v>
      </c>
      <c r="L613" t="n">
        <v>0</v>
      </c>
      <c r="M613" t="n">
        <v>0</v>
      </c>
      <c r="N613" t="n">
        <v>0</v>
      </c>
      <c r="O613" t="n">
        <v>0</v>
      </c>
      <c r="P613" t="n">
        <v>0</v>
      </c>
      <c r="Q613" t="n">
        <v>0</v>
      </c>
      <c r="R613" s="2" t="inlineStr"/>
    </row>
    <row r="614" ht="15" customHeight="1">
      <c r="A614" t="inlineStr">
        <is>
          <t>A 48082-2021</t>
        </is>
      </c>
      <c r="B614" s="1" t="n">
        <v>44449.42745370371</v>
      </c>
      <c r="C614" s="1" t="n">
        <v>46187</v>
      </c>
      <c r="D614" t="inlineStr">
        <is>
          <t>VÄSTERBOTTENS LÄN</t>
        </is>
      </c>
      <c r="E614" t="inlineStr">
        <is>
          <t>ÅSELE</t>
        </is>
      </c>
      <c r="F614" t="inlineStr">
        <is>
          <t>Holmen skog AB</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19598-2026</t>
        </is>
      </c>
      <c r="B615" s="1" t="n">
        <v>46132</v>
      </c>
      <c r="C615" s="1" t="n">
        <v>46187</v>
      </c>
      <c r="D615" t="inlineStr">
        <is>
          <t>VÄSTERBOTTENS LÄN</t>
        </is>
      </c>
      <c r="E615" t="inlineStr">
        <is>
          <t>ÅSELE</t>
        </is>
      </c>
      <c r="G615" t="n">
        <v>19.6</v>
      </c>
      <c r="H615" t="n">
        <v>0</v>
      </c>
      <c r="I615" t="n">
        <v>0</v>
      </c>
      <c r="J615" t="n">
        <v>0</v>
      </c>
      <c r="K615" t="n">
        <v>0</v>
      </c>
      <c r="L615" t="n">
        <v>0</v>
      </c>
      <c r="M615" t="n">
        <v>0</v>
      </c>
      <c r="N615" t="n">
        <v>0</v>
      </c>
      <c r="O615" t="n">
        <v>0</v>
      </c>
      <c r="P615" t="n">
        <v>0</v>
      </c>
      <c r="Q615" t="n">
        <v>0</v>
      </c>
      <c r="R615" s="2" t="inlineStr"/>
    </row>
    <row r="616" ht="15" customHeight="1">
      <c r="A616" t="inlineStr">
        <is>
          <t>A 20397-2025</t>
        </is>
      </c>
      <c r="B616" s="1" t="n">
        <v>45775.45503472222</v>
      </c>
      <c r="C616" s="1" t="n">
        <v>46187</v>
      </c>
      <c r="D616" t="inlineStr">
        <is>
          <t>VÄSTERBOTTENS LÄN</t>
        </is>
      </c>
      <c r="E616" t="inlineStr">
        <is>
          <t>ÅSELE</t>
        </is>
      </c>
      <c r="G616" t="n">
        <v>11.9</v>
      </c>
      <c r="H616" t="n">
        <v>0</v>
      </c>
      <c r="I616" t="n">
        <v>0</v>
      </c>
      <c r="J616" t="n">
        <v>0</v>
      </c>
      <c r="K616" t="n">
        <v>0</v>
      </c>
      <c r="L616" t="n">
        <v>0</v>
      </c>
      <c r="M616" t="n">
        <v>0</v>
      </c>
      <c r="N616" t="n">
        <v>0</v>
      </c>
      <c r="O616" t="n">
        <v>0</v>
      </c>
      <c r="P616" t="n">
        <v>0</v>
      </c>
      <c r="Q616" t="n">
        <v>0</v>
      </c>
      <c r="R616" s="2" t="inlineStr"/>
    </row>
    <row r="617" ht="15" customHeight="1">
      <c r="A617" t="inlineStr">
        <is>
          <t>A 55657-2024</t>
        </is>
      </c>
      <c r="B617" s="1" t="n">
        <v>45622.63604166666</v>
      </c>
      <c r="C617" s="1" t="n">
        <v>46187</v>
      </c>
      <c r="D617" t="inlineStr">
        <is>
          <t>VÄSTERBOTTENS LÄN</t>
        </is>
      </c>
      <c r="E617" t="inlineStr">
        <is>
          <t>ÅSELE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24067-2023</t>
        </is>
      </c>
      <c r="B618" s="1" t="n">
        <v>45078.94167824074</v>
      </c>
      <c r="C618" s="1" t="n">
        <v>46187</v>
      </c>
      <c r="D618" t="inlineStr">
        <is>
          <t>VÄSTERBOTTENS LÄN</t>
        </is>
      </c>
      <c r="E618" t="inlineStr">
        <is>
          <t>ÅSELE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57800-2023</t>
        </is>
      </c>
      <c r="B619" s="1" t="n">
        <v>45246.96921296296</v>
      </c>
      <c r="C619" s="1" t="n">
        <v>46187</v>
      </c>
      <c r="D619" t="inlineStr">
        <is>
          <t>VÄSTERBOTTENS LÄN</t>
        </is>
      </c>
      <c r="E619" t="inlineStr">
        <is>
          <t>ÅSELE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19184-2026</t>
        </is>
      </c>
      <c r="B620" s="1" t="n">
        <v>46132.59685185185</v>
      </c>
      <c r="C620" s="1" t="n">
        <v>46187</v>
      </c>
      <c r="D620" t="inlineStr">
        <is>
          <t>VÄSTERBOTTENS LÄN</t>
        </is>
      </c>
      <c r="E620" t="inlineStr">
        <is>
          <t>ÅSELE</t>
        </is>
      </c>
      <c r="F620" t="inlineStr">
        <is>
          <t>SCA</t>
        </is>
      </c>
      <c r="G620" t="n">
        <v>47.2</v>
      </c>
      <c r="H620" t="n">
        <v>0</v>
      </c>
      <c r="I620" t="n">
        <v>0</v>
      </c>
      <c r="J620" t="n">
        <v>0</v>
      </c>
      <c r="K620" t="n">
        <v>0</v>
      </c>
      <c r="L620" t="n">
        <v>0</v>
      </c>
      <c r="M620" t="n">
        <v>0</v>
      </c>
      <c r="N620" t="n">
        <v>0</v>
      </c>
      <c r="O620" t="n">
        <v>0</v>
      </c>
      <c r="P620" t="n">
        <v>0</v>
      </c>
      <c r="Q620" t="n">
        <v>0</v>
      </c>
      <c r="R620" s="2" t="inlineStr"/>
    </row>
    <row r="621" ht="15" customHeight="1">
      <c r="A621" t="inlineStr">
        <is>
          <t>A 45800-2023</t>
        </is>
      </c>
      <c r="B621" s="1" t="n">
        <v>45189</v>
      </c>
      <c r="C621" s="1" t="n">
        <v>46187</v>
      </c>
      <c r="D621" t="inlineStr">
        <is>
          <t>VÄSTERBOTTENS LÄN</t>
        </is>
      </c>
      <c r="E621" t="inlineStr">
        <is>
          <t>ÅSELE</t>
        </is>
      </c>
      <c r="G621" t="n">
        <v>42.1</v>
      </c>
      <c r="H621" t="n">
        <v>0</v>
      </c>
      <c r="I621" t="n">
        <v>0</v>
      </c>
      <c r="J621" t="n">
        <v>0</v>
      </c>
      <c r="K621" t="n">
        <v>0</v>
      </c>
      <c r="L621" t="n">
        <v>0</v>
      </c>
      <c r="M621" t="n">
        <v>0</v>
      </c>
      <c r="N621" t="n">
        <v>0</v>
      </c>
      <c r="O621" t="n">
        <v>0</v>
      </c>
      <c r="P621" t="n">
        <v>0</v>
      </c>
      <c r="Q621" t="n">
        <v>0</v>
      </c>
      <c r="R621" s="2" t="inlineStr"/>
    </row>
    <row r="622" ht="15" customHeight="1">
      <c r="A622" t="inlineStr">
        <is>
          <t>A 44742-2024</t>
        </is>
      </c>
      <c r="B622" s="1" t="n">
        <v>45574.59653935185</v>
      </c>
      <c r="C622" s="1" t="n">
        <v>46187</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19611-2026</t>
        </is>
      </c>
      <c r="B623" s="1" t="n">
        <v>46132</v>
      </c>
      <c r="C623" s="1" t="n">
        <v>46187</v>
      </c>
      <c r="D623" t="inlineStr">
        <is>
          <t>VÄSTERBOTTENS LÄN</t>
        </is>
      </c>
      <c r="E623" t="inlineStr">
        <is>
          <t>ÅSELE</t>
        </is>
      </c>
      <c r="G623" t="n">
        <v>4</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46187</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64898-2023</t>
        </is>
      </c>
      <c r="B625" s="1" t="n">
        <v>45282.61475694444</v>
      </c>
      <c r="C625" s="1" t="n">
        <v>46187</v>
      </c>
      <c r="D625" t="inlineStr">
        <is>
          <t>VÄSTERBOTTENS LÄN</t>
        </is>
      </c>
      <c r="E625" t="inlineStr">
        <is>
          <t>ÅSELE</t>
        </is>
      </c>
      <c r="G625" t="n">
        <v>4.1</v>
      </c>
      <c r="H625" t="n">
        <v>0</v>
      </c>
      <c r="I625" t="n">
        <v>0</v>
      </c>
      <c r="J625" t="n">
        <v>0</v>
      </c>
      <c r="K625" t="n">
        <v>0</v>
      </c>
      <c r="L625" t="n">
        <v>0</v>
      </c>
      <c r="M625" t="n">
        <v>0</v>
      </c>
      <c r="N625" t="n">
        <v>0</v>
      </c>
      <c r="O625" t="n">
        <v>0</v>
      </c>
      <c r="P625" t="n">
        <v>0</v>
      </c>
      <c r="Q625" t="n">
        <v>0</v>
      </c>
      <c r="R625" s="2" t="inlineStr"/>
    </row>
    <row r="626" ht="15" customHeight="1">
      <c r="A626" t="inlineStr">
        <is>
          <t>A 45475-2024</t>
        </is>
      </c>
      <c r="B626" s="1" t="n">
        <v>45576.82554398148</v>
      </c>
      <c r="C626" s="1" t="n">
        <v>46187</v>
      </c>
      <c r="D626" t="inlineStr">
        <is>
          <t>VÄSTERBOTTENS LÄN</t>
        </is>
      </c>
      <c r="E626" t="inlineStr">
        <is>
          <t>ÅSELE</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5247-2024</t>
        </is>
      </c>
      <c r="B627" s="1" t="n">
        <v>45330.93173611111</v>
      </c>
      <c r="C627" s="1" t="n">
        <v>46187</v>
      </c>
      <c r="D627" t="inlineStr">
        <is>
          <t>VÄSTERBOTTENS LÄN</t>
        </is>
      </c>
      <c r="E627" t="inlineStr">
        <is>
          <t>ÅSELE</t>
        </is>
      </c>
      <c r="G627" t="n">
        <v>2.6</v>
      </c>
      <c r="H627" t="n">
        <v>0</v>
      </c>
      <c r="I627" t="n">
        <v>0</v>
      </c>
      <c r="J627" t="n">
        <v>0</v>
      </c>
      <c r="K627" t="n">
        <v>0</v>
      </c>
      <c r="L627" t="n">
        <v>0</v>
      </c>
      <c r="M627" t="n">
        <v>0</v>
      </c>
      <c r="N627" t="n">
        <v>0</v>
      </c>
      <c r="O627" t="n">
        <v>0</v>
      </c>
      <c r="P627" t="n">
        <v>0</v>
      </c>
      <c r="Q627" t="n">
        <v>0</v>
      </c>
      <c r="R627" s="2" t="inlineStr"/>
    </row>
    <row r="628" ht="15" customHeight="1">
      <c r="A628" t="inlineStr">
        <is>
          <t>A 22935-2024</t>
        </is>
      </c>
      <c r="B628" s="1" t="n">
        <v>45448.94409722222</v>
      </c>
      <c r="C628" s="1" t="n">
        <v>46187</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19517-2026</t>
        </is>
      </c>
      <c r="B629" s="1" t="n">
        <v>46134.34476851852</v>
      </c>
      <c r="C629" s="1" t="n">
        <v>46187</v>
      </c>
      <c r="D629" t="inlineStr">
        <is>
          <t>VÄSTERBOTTENS LÄN</t>
        </is>
      </c>
      <c r="E629" t="inlineStr">
        <is>
          <t>ÅSELE</t>
        </is>
      </c>
      <c r="F629" t="inlineStr">
        <is>
          <t>SCA</t>
        </is>
      </c>
      <c r="G629" t="n">
        <v>22.5</v>
      </c>
      <c r="H629" t="n">
        <v>0</v>
      </c>
      <c r="I629" t="n">
        <v>0</v>
      </c>
      <c r="J629" t="n">
        <v>0</v>
      </c>
      <c r="K629" t="n">
        <v>0</v>
      </c>
      <c r="L629" t="n">
        <v>0</v>
      </c>
      <c r="M629" t="n">
        <v>0</v>
      </c>
      <c r="N629" t="n">
        <v>0</v>
      </c>
      <c r="O629" t="n">
        <v>0</v>
      </c>
      <c r="P629" t="n">
        <v>0</v>
      </c>
      <c r="Q629" t="n">
        <v>0</v>
      </c>
      <c r="R629" s="2" t="inlineStr"/>
    </row>
    <row r="630" ht="15" customHeight="1">
      <c r="A630" t="inlineStr">
        <is>
          <t>A 19518-2026</t>
        </is>
      </c>
      <c r="B630" s="1" t="n">
        <v>46134.34484953704</v>
      </c>
      <c r="C630" s="1" t="n">
        <v>46187</v>
      </c>
      <c r="D630" t="inlineStr">
        <is>
          <t>VÄSTERBOTTENS LÄN</t>
        </is>
      </c>
      <c r="E630" t="inlineStr">
        <is>
          <t>ÅSELE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20304-2025</t>
        </is>
      </c>
      <c r="B631" s="1" t="n">
        <v>45774</v>
      </c>
      <c r="C631" s="1" t="n">
        <v>46187</v>
      </c>
      <c r="D631" t="inlineStr">
        <is>
          <t>VÄSTERBOTTENS LÄN</t>
        </is>
      </c>
      <c r="E631" t="inlineStr">
        <is>
          <t>ÅSELE</t>
        </is>
      </c>
      <c r="G631" t="n">
        <v>2.2</v>
      </c>
      <c r="H631" t="n">
        <v>0</v>
      </c>
      <c r="I631" t="n">
        <v>0</v>
      </c>
      <c r="J631" t="n">
        <v>0</v>
      </c>
      <c r="K631" t="n">
        <v>0</v>
      </c>
      <c r="L631" t="n">
        <v>0</v>
      </c>
      <c r="M631" t="n">
        <v>0</v>
      </c>
      <c r="N631" t="n">
        <v>0</v>
      </c>
      <c r="O631" t="n">
        <v>0</v>
      </c>
      <c r="P631" t="n">
        <v>0</v>
      </c>
      <c r="Q631" t="n">
        <v>0</v>
      </c>
      <c r="R631" s="2" t="inlineStr"/>
    </row>
    <row r="632" ht="15" customHeight="1">
      <c r="A632" t="inlineStr">
        <is>
          <t>A 25391-2026</t>
        </is>
      </c>
      <c r="B632" s="1" t="n">
        <v>46174</v>
      </c>
      <c r="C632" s="1" t="n">
        <v>46187</v>
      </c>
      <c r="D632" t="inlineStr">
        <is>
          <t>VÄSTERBOTTENS LÄN</t>
        </is>
      </c>
      <c r="E632" t="inlineStr">
        <is>
          <t>ÅSELE</t>
        </is>
      </c>
      <c r="G632" t="n">
        <v>7.2</v>
      </c>
      <c r="H632" t="n">
        <v>0</v>
      </c>
      <c r="I632" t="n">
        <v>0</v>
      </c>
      <c r="J632" t="n">
        <v>0</v>
      </c>
      <c r="K632" t="n">
        <v>0</v>
      </c>
      <c r="L632" t="n">
        <v>0</v>
      </c>
      <c r="M632" t="n">
        <v>0</v>
      </c>
      <c r="N632" t="n">
        <v>0</v>
      </c>
      <c r="O632" t="n">
        <v>0</v>
      </c>
      <c r="P632" t="n">
        <v>0</v>
      </c>
      <c r="Q632" t="n">
        <v>0</v>
      </c>
      <c r="R632" s="2" t="inlineStr"/>
    </row>
    <row r="633" ht="15" customHeight="1">
      <c r="A633" t="inlineStr">
        <is>
          <t>A 41402-2024</t>
        </is>
      </c>
      <c r="B633" s="1" t="n">
        <v>45560.33498842592</v>
      </c>
      <c r="C633" s="1" t="n">
        <v>46187</v>
      </c>
      <c r="D633" t="inlineStr">
        <is>
          <t>VÄSTERBOTTENS LÄN</t>
        </is>
      </c>
      <c r="E633" t="inlineStr">
        <is>
          <t>ÅSELE</t>
        </is>
      </c>
      <c r="F633" t="inlineStr">
        <is>
          <t>Holmen skog AB</t>
        </is>
      </c>
      <c r="G633" t="n">
        <v>4.5</v>
      </c>
      <c r="H633" t="n">
        <v>0</v>
      </c>
      <c r="I633" t="n">
        <v>0</v>
      </c>
      <c r="J633" t="n">
        <v>0</v>
      </c>
      <c r="K633" t="n">
        <v>0</v>
      </c>
      <c r="L633" t="n">
        <v>0</v>
      </c>
      <c r="M633" t="n">
        <v>0</v>
      </c>
      <c r="N633" t="n">
        <v>0</v>
      </c>
      <c r="O633" t="n">
        <v>0</v>
      </c>
      <c r="P633" t="n">
        <v>0</v>
      </c>
      <c r="Q633" t="n">
        <v>0</v>
      </c>
      <c r="R633" s="2" t="inlineStr"/>
    </row>
    <row r="634" ht="15" customHeight="1">
      <c r="A634" t="inlineStr">
        <is>
          <t>A 36070-2023</t>
        </is>
      </c>
      <c r="B634" s="1" t="n">
        <v>45149</v>
      </c>
      <c r="C634" s="1" t="n">
        <v>46187</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2894-2025</t>
        </is>
      </c>
      <c r="B635" s="1" t="n">
        <v>45677</v>
      </c>
      <c r="C635" s="1" t="n">
        <v>46187</v>
      </c>
      <c r="D635" t="inlineStr">
        <is>
          <t>VÄSTERBOTTENS LÄN</t>
        </is>
      </c>
      <c r="E635" t="inlineStr">
        <is>
          <t>ÅSELE</t>
        </is>
      </c>
      <c r="G635" t="n">
        <v>1.5</v>
      </c>
      <c r="H635" t="n">
        <v>0</v>
      </c>
      <c r="I635" t="n">
        <v>0</v>
      </c>
      <c r="J635" t="n">
        <v>0</v>
      </c>
      <c r="K635" t="n">
        <v>0</v>
      </c>
      <c r="L635" t="n">
        <v>0</v>
      </c>
      <c r="M635" t="n">
        <v>0</v>
      </c>
      <c r="N635" t="n">
        <v>0</v>
      </c>
      <c r="O635" t="n">
        <v>0</v>
      </c>
      <c r="P635" t="n">
        <v>0</v>
      </c>
      <c r="Q635" t="n">
        <v>0</v>
      </c>
      <c r="R635" s="2" t="inlineStr"/>
    </row>
    <row r="636" ht="15" customHeight="1">
      <c r="A636" t="inlineStr">
        <is>
          <t>A 25379-2026</t>
        </is>
      </c>
      <c r="B636" s="1" t="n">
        <v>46174</v>
      </c>
      <c r="C636" s="1" t="n">
        <v>46187</v>
      </c>
      <c r="D636" t="inlineStr">
        <is>
          <t>VÄSTERBOTTENS LÄN</t>
        </is>
      </c>
      <c r="E636" t="inlineStr">
        <is>
          <t>ÅSELE</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39450-2024</t>
        </is>
      </c>
      <c r="B637" s="1" t="n">
        <v>45551.61681712963</v>
      </c>
      <c r="C637" s="1" t="n">
        <v>46187</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5249-2024</t>
        </is>
      </c>
      <c r="B638" s="1" t="n">
        <v>45330.93196759259</v>
      </c>
      <c r="C638" s="1" t="n">
        <v>46187</v>
      </c>
      <c r="D638" t="inlineStr">
        <is>
          <t>VÄSTERBOTTENS LÄN</t>
        </is>
      </c>
      <c r="E638" t="inlineStr">
        <is>
          <t>ÅSELE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22831-2023</t>
        </is>
      </c>
      <c r="B639" s="1" t="n">
        <v>45072.42990740741</v>
      </c>
      <c r="C639" s="1" t="n">
        <v>46187</v>
      </c>
      <c r="D639" t="inlineStr">
        <is>
          <t>VÄSTERBOTTENS LÄN</t>
        </is>
      </c>
      <c r="E639" t="inlineStr">
        <is>
          <t>ÅSELE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19962-2026</t>
        </is>
      </c>
      <c r="B640" s="1" t="n">
        <v>46136.42106481481</v>
      </c>
      <c r="C640" s="1" t="n">
        <v>46187</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7706-2025</t>
        </is>
      </c>
      <c r="B641" s="1" t="n">
        <v>45706</v>
      </c>
      <c r="C641" s="1" t="n">
        <v>46187</v>
      </c>
      <c r="D641" t="inlineStr">
        <is>
          <t>VÄSTERBOTTENS LÄN</t>
        </is>
      </c>
      <c r="E641" t="inlineStr">
        <is>
          <t>ÅSELE</t>
        </is>
      </c>
      <c r="F641" t="inlineStr">
        <is>
          <t>Sveaskog</t>
        </is>
      </c>
      <c r="G641" t="n">
        <v>24.8</v>
      </c>
      <c r="H641" t="n">
        <v>0</v>
      </c>
      <c r="I641" t="n">
        <v>0</v>
      </c>
      <c r="J641" t="n">
        <v>0</v>
      </c>
      <c r="K641" t="n">
        <v>0</v>
      </c>
      <c r="L641" t="n">
        <v>0</v>
      </c>
      <c r="M641" t="n">
        <v>0</v>
      </c>
      <c r="N641" t="n">
        <v>0</v>
      </c>
      <c r="O641" t="n">
        <v>0</v>
      </c>
      <c r="P641" t="n">
        <v>0</v>
      </c>
      <c r="Q641" t="n">
        <v>0</v>
      </c>
      <c r="R641" s="2" t="inlineStr"/>
    </row>
    <row r="642" ht="15" customHeight="1">
      <c r="A642" t="inlineStr">
        <is>
          <t>A 35971-2023</t>
        </is>
      </c>
      <c r="B642" s="1" t="n">
        <v>45148</v>
      </c>
      <c r="C642" s="1" t="n">
        <v>46187</v>
      </c>
      <c r="D642" t="inlineStr">
        <is>
          <t>VÄSTERBOTTENS LÄN</t>
        </is>
      </c>
      <c r="E642" t="inlineStr">
        <is>
          <t>ÅSELE</t>
        </is>
      </c>
      <c r="G642" t="n">
        <v>0.6</v>
      </c>
      <c r="H642" t="n">
        <v>0</v>
      </c>
      <c r="I642" t="n">
        <v>0</v>
      </c>
      <c r="J642" t="n">
        <v>0</v>
      </c>
      <c r="K642" t="n">
        <v>0</v>
      </c>
      <c r="L642" t="n">
        <v>0</v>
      </c>
      <c r="M642" t="n">
        <v>0</v>
      </c>
      <c r="N642" t="n">
        <v>0</v>
      </c>
      <c r="O642" t="n">
        <v>0</v>
      </c>
      <c r="P642" t="n">
        <v>0</v>
      </c>
      <c r="Q642" t="n">
        <v>0</v>
      </c>
      <c r="R642" s="2" t="inlineStr"/>
    </row>
    <row r="643" ht="15" customHeight="1">
      <c r="A643" t="inlineStr">
        <is>
          <t>A 15082-2023</t>
        </is>
      </c>
      <c r="B643" s="1" t="n">
        <v>45016</v>
      </c>
      <c r="C643" s="1" t="n">
        <v>46187</v>
      </c>
      <c r="D643" t="inlineStr">
        <is>
          <t>VÄSTERBOTTENS LÄN</t>
        </is>
      </c>
      <c r="E643" t="inlineStr">
        <is>
          <t>ÅSELE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33524-2021</t>
        </is>
      </c>
      <c r="B644" s="1" t="n">
        <v>44377</v>
      </c>
      <c r="C644" s="1" t="n">
        <v>46187</v>
      </c>
      <c r="D644" t="inlineStr">
        <is>
          <t>VÄSTERBOTTENS LÄN</t>
        </is>
      </c>
      <c r="E644" t="inlineStr">
        <is>
          <t>ÅSELE</t>
        </is>
      </c>
      <c r="G644" t="n">
        <v>6.8</v>
      </c>
      <c r="H644" t="n">
        <v>0</v>
      </c>
      <c r="I644" t="n">
        <v>0</v>
      </c>
      <c r="J644" t="n">
        <v>0</v>
      </c>
      <c r="K644" t="n">
        <v>0</v>
      </c>
      <c r="L644" t="n">
        <v>0</v>
      </c>
      <c r="M644" t="n">
        <v>0</v>
      </c>
      <c r="N644" t="n">
        <v>0</v>
      </c>
      <c r="O644" t="n">
        <v>0</v>
      </c>
      <c r="P644" t="n">
        <v>0</v>
      </c>
      <c r="Q644" t="n">
        <v>0</v>
      </c>
      <c r="R644" s="2" t="inlineStr"/>
    </row>
    <row r="645" ht="15" customHeight="1">
      <c r="A645" t="inlineStr">
        <is>
          <t>A 4462-2023</t>
        </is>
      </c>
      <c r="B645" s="1" t="n">
        <v>44952</v>
      </c>
      <c r="C645" s="1" t="n">
        <v>46187</v>
      </c>
      <c r="D645" t="inlineStr">
        <is>
          <t>VÄSTERBOTTENS LÄN</t>
        </is>
      </c>
      <c r="E645" t="inlineStr">
        <is>
          <t>ÅSELE</t>
        </is>
      </c>
      <c r="G645" t="n">
        <v>0.9</v>
      </c>
      <c r="H645" t="n">
        <v>0</v>
      </c>
      <c r="I645" t="n">
        <v>0</v>
      </c>
      <c r="J645" t="n">
        <v>0</v>
      </c>
      <c r="K645" t="n">
        <v>0</v>
      </c>
      <c r="L645" t="n">
        <v>0</v>
      </c>
      <c r="M645" t="n">
        <v>0</v>
      </c>
      <c r="N645" t="n">
        <v>0</v>
      </c>
      <c r="O645" t="n">
        <v>0</v>
      </c>
      <c r="P645" t="n">
        <v>0</v>
      </c>
      <c r="Q645" t="n">
        <v>0</v>
      </c>
      <c r="R645" s="2" t="inlineStr"/>
    </row>
    <row r="646" ht="15" customHeight="1">
      <c r="A646" t="inlineStr">
        <is>
          <t>A 58596-2024</t>
        </is>
      </c>
      <c r="B646" s="1" t="n">
        <v>45635</v>
      </c>
      <c r="C646" s="1" t="n">
        <v>46187</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34054-2023</t>
        </is>
      </c>
      <c r="B647" s="1" t="n">
        <v>45135.45417824074</v>
      </c>
      <c r="C647" s="1" t="n">
        <v>46187</v>
      </c>
      <c r="D647" t="inlineStr">
        <is>
          <t>VÄSTERBOTTENS LÄN</t>
        </is>
      </c>
      <c r="E647" t="inlineStr">
        <is>
          <t>ÅSELE</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2893-2025</t>
        </is>
      </c>
      <c r="B648" s="1" t="n">
        <v>45677</v>
      </c>
      <c r="C648" s="1" t="n">
        <v>46187</v>
      </c>
      <c r="D648" t="inlineStr">
        <is>
          <t>VÄSTERBOTTENS LÄN</t>
        </is>
      </c>
      <c r="E648" t="inlineStr">
        <is>
          <t>ÅSELE</t>
        </is>
      </c>
      <c r="G648" t="n">
        <v>2.9</v>
      </c>
      <c r="H648" t="n">
        <v>0</v>
      </c>
      <c r="I648" t="n">
        <v>0</v>
      </c>
      <c r="J648" t="n">
        <v>0</v>
      </c>
      <c r="K648" t="n">
        <v>0</v>
      </c>
      <c r="L648" t="n">
        <v>0</v>
      </c>
      <c r="M648" t="n">
        <v>0</v>
      </c>
      <c r="N648" t="n">
        <v>0</v>
      </c>
      <c r="O648" t="n">
        <v>0</v>
      </c>
      <c r="P648" t="n">
        <v>0</v>
      </c>
      <c r="Q648" t="n">
        <v>0</v>
      </c>
      <c r="R648" s="2" t="inlineStr"/>
    </row>
    <row r="649" ht="15" customHeight="1">
      <c r="A649" t="inlineStr">
        <is>
          <t>A 56258-2023</t>
        </is>
      </c>
      <c r="B649" s="1" t="n">
        <v>45240.94754629629</v>
      </c>
      <c r="C649" s="1" t="n">
        <v>46187</v>
      </c>
      <c r="D649" t="inlineStr">
        <is>
          <t>VÄSTERBOTTENS LÄN</t>
        </is>
      </c>
      <c r="E649" t="inlineStr">
        <is>
          <t>ÅSELE</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25549-2024</t>
        </is>
      </c>
      <c r="B650" s="1" t="n">
        <v>45463</v>
      </c>
      <c r="C650" s="1" t="n">
        <v>46187</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25574-2024</t>
        </is>
      </c>
      <c r="B651" s="1" t="n">
        <v>45463.58829861111</v>
      </c>
      <c r="C651" s="1" t="n">
        <v>46187</v>
      </c>
      <c r="D651" t="inlineStr">
        <is>
          <t>VÄSTERBOTTENS LÄN</t>
        </is>
      </c>
      <c r="E651" t="inlineStr">
        <is>
          <t>ÅSELE</t>
        </is>
      </c>
      <c r="F651" t="inlineStr">
        <is>
          <t>Sveaskog</t>
        </is>
      </c>
      <c r="G651" t="n">
        <v>4.6</v>
      </c>
      <c r="H651" t="n">
        <v>0</v>
      </c>
      <c r="I651" t="n">
        <v>0</v>
      </c>
      <c r="J651" t="n">
        <v>0</v>
      </c>
      <c r="K651" t="n">
        <v>0</v>
      </c>
      <c r="L651" t="n">
        <v>0</v>
      </c>
      <c r="M651" t="n">
        <v>0</v>
      </c>
      <c r="N651" t="n">
        <v>0</v>
      </c>
      <c r="O651" t="n">
        <v>0</v>
      </c>
      <c r="P651" t="n">
        <v>0</v>
      </c>
      <c r="Q651" t="n">
        <v>0</v>
      </c>
      <c r="R651" s="2" t="inlineStr"/>
    </row>
    <row r="652" ht="15" customHeight="1">
      <c r="A652" t="inlineStr">
        <is>
          <t>A 61534-2024</t>
        </is>
      </c>
      <c r="B652" s="1" t="n">
        <v>45645</v>
      </c>
      <c r="C652" s="1" t="n">
        <v>46187</v>
      </c>
      <c r="D652" t="inlineStr">
        <is>
          <t>VÄSTERBOTTENS LÄN</t>
        </is>
      </c>
      <c r="E652" t="inlineStr">
        <is>
          <t>ÅSELE</t>
        </is>
      </c>
      <c r="G652" t="n">
        <v>0.9</v>
      </c>
      <c r="H652" t="n">
        <v>0</v>
      </c>
      <c r="I652" t="n">
        <v>0</v>
      </c>
      <c r="J652" t="n">
        <v>0</v>
      </c>
      <c r="K652" t="n">
        <v>0</v>
      </c>
      <c r="L652" t="n">
        <v>0</v>
      </c>
      <c r="M652" t="n">
        <v>0</v>
      </c>
      <c r="N652" t="n">
        <v>0</v>
      </c>
      <c r="O652" t="n">
        <v>0</v>
      </c>
      <c r="P652" t="n">
        <v>0</v>
      </c>
      <c r="Q652" t="n">
        <v>0</v>
      </c>
      <c r="R652" s="2" t="inlineStr"/>
    </row>
    <row r="653" ht="15" customHeight="1">
      <c r="A653" t="inlineStr">
        <is>
          <t>A 27951-2024</t>
        </is>
      </c>
      <c r="B653" s="1" t="n">
        <v>45476.32990740741</v>
      </c>
      <c r="C653" s="1" t="n">
        <v>46187</v>
      </c>
      <c r="D653" t="inlineStr">
        <is>
          <t>VÄSTERBOTTENS LÄN</t>
        </is>
      </c>
      <c r="E653" t="inlineStr">
        <is>
          <t>ÅSELE</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33571-2021</t>
        </is>
      </c>
      <c r="B654" s="1" t="n">
        <v>44377</v>
      </c>
      <c r="C654" s="1" t="n">
        <v>46187</v>
      </c>
      <c r="D654" t="inlineStr">
        <is>
          <t>VÄSTERBOTTENS LÄN</t>
        </is>
      </c>
      <c r="E654" t="inlineStr">
        <is>
          <t>ÅSELE</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38076-2023</t>
        </is>
      </c>
      <c r="B655" s="1" t="n">
        <v>45160</v>
      </c>
      <c r="C655" s="1" t="n">
        <v>46187</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22111-2024</t>
        </is>
      </c>
      <c r="B656" s="1" t="n">
        <v>45443</v>
      </c>
      <c r="C656" s="1" t="n">
        <v>46187</v>
      </c>
      <c r="D656" t="inlineStr">
        <is>
          <t>VÄSTERBOTTENS LÄN</t>
        </is>
      </c>
      <c r="E656" t="inlineStr">
        <is>
          <t>ÅSELE</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31659-2024</t>
        </is>
      </c>
      <c r="B657" s="1" t="n">
        <v>45506</v>
      </c>
      <c r="C657" s="1" t="n">
        <v>46187</v>
      </c>
      <c r="D657" t="inlineStr">
        <is>
          <t>VÄSTERBOTTENS LÄN</t>
        </is>
      </c>
      <c r="E657" t="inlineStr">
        <is>
          <t>ÅSELE</t>
        </is>
      </c>
      <c r="G657" t="n">
        <v>41.1</v>
      </c>
      <c r="H657" t="n">
        <v>0</v>
      </c>
      <c r="I657" t="n">
        <v>0</v>
      </c>
      <c r="J657" t="n">
        <v>0</v>
      </c>
      <c r="K657" t="n">
        <v>0</v>
      </c>
      <c r="L657" t="n">
        <v>0</v>
      </c>
      <c r="M657" t="n">
        <v>0</v>
      </c>
      <c r="N657" t="n">
        <v>0</v>
      </c>
      <c r="O657" t="n">
        <v>0</v>
      </c>
      <c r="P657" t="n">
        <v>0</v>
      </c>
      <c r="Q657" t="n">
        <v>0</v>
      </c>
      <c r="R657" s="2" t="inlineStr"/>
    </row>
    <row r="658" ht="15" customHeight="1">
      <c r="A658" t="inlineStr">
        <is>
          <t>A 41468-2022</t>
        </is>
      </c>
      <c r="B658" s="1" t="n">
        <v>44826</v>
      </c>
      <c r="C658" s="1" t="n">
        <v>46187</v>
      </c>
      <c r="D658" t="inlineStr">
        <is>
          <t>VÄSTERBOTTENS LÄN</t>
        </is>
      </c>
      <c r="E658" t="inlineStr">
        <is>
          <t>ÅSELE</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32214-2022</t>
        </is>
      </c>
      <c r="B659" s="1" t="n">
        <v>44781</v>
      </c>
      <c r="C659" s="1" t="n">
        <v>46187</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3059-2024</t>
        </is>
      </c>
      <c r="B660" s="1" t="n">
        <v>45316</v>
      </c>
      <c r="C660" s="1" t="n">
        <v>46187</v>
      </c>
      <c r="D660" t="inlineStr">
        <is>
          <t>VÄSTERBOTTENS LÄN</t>
        </is>
      </c>
      <c r="E660" t="inlineStr">
        <is>
          <t>ÅSELE</t>
        </is>
      </c>
      <c r="G660" t="n">
        <v>0.7</v>
      </c>
      <c r="H660" t="n">
        <v>0</v>
      </c>
      <c r="I660" t="n">
        <v>0</v>
      </c>
      <c r="J660" t="n">
        <v>0</v>
      </c>
      <c r="K660" t="n">
        <v>0</v>
      </c>
      <c r="L660" t="n">
        <v>0</v>
      </c>
      <c r="M660" t="n">
        <v>0</v>
      </c>
      <c r="N660" t="n">
        <v>0</v>
      </c>
      <c r="O660" t="n">
        <v>0</v>
      </c>
      <c r="P660" t="n">
        <v>0</v>
      </c>
      <c r="Q660" t="n">
        <v>0</v>
      </c>
      <c r="R660" s="2" t="inlineStr"/>
    </row>
    <row r="661" ht="15" customHeight="1">
      <c r="A661" t="inlineStr">
        <is>
          <t>A 44622-2024</t>
        </is>
      </c>
      <c r="B661" s="1" t="n">
        <v>45574.51344907407</v>
      </c>
      <c r="C661" s="1" t="n">
        <v>46187</v>
      </c>
      <c r="D661" t="inlineStr">
        <is>
          <t>VÄSTERBOTTENS LÄN</t>
        </is>
      </c>
      <c r="E661" t="inlineStr">
        <is>
          <t>ÅSELE</t>
        </is>
      </c>
      <c r="F661" t="inlineStr">
        <is>
          <t>SCA</t>
        </is>
      </c>
      <c r="G661" t="n">
        <v>14.9</v>
      </c>
      <c r="H661" t="n">
        <v>0</v>
      </c>
      <c r="I661" t="n">
        <v>0</v>
      </c>
      <c r="J661" t="n">
        <v>0</v>
      </c>
      <c r="K661" t="n">
        <v>0</v>
      </c>
      <c r="L661" t="n">
        <v>0</v>
      </c>
      <c r="M661" t="n">
        <v>0</v>
      </c>
      <c r="N661" t="n">
        <v>0</v>
      </c>
      <c r="O661" t="n">
        <v>0</v>
      </c>
      <c r="P661" t="n">
        <v>0</v>
      </c>
      <c r="Q661" t="n">
        <v>0</v>
      </c>
      <c r="R661" s="2" t="inlineStr"/>
    </row>
    <row r="662" ht="15" customHeight="1">
      <c r="A662" t="inlineStr">
        <is>
          <t>A 28728-2023</t>
        </is>
      </c>
      <c r="B662" s="1" t="n">
        <v>45103</v>
      </c>
      <c r="C662" s="1" t="n">
        <v>46187</v>
      </c>
      <c r="D662" t="inlineStr">
        <is>
          <t>VÄSTERBOTTENS LÄN</t>
        </is>
      </c>
      <c r="E662" t="inlineStr">
        <is>
          <t>ÅSELE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58386-2022</t>
        </is>
      </c>
      <c r="B663" s="1" t="n">
        <v>44894</v>
      </c>
      <c r="C663" s="1" t="n">
        <v>46187</v>
      </c>
      <c r="D663" t="inlineStr">
        <is>
          <t>VÄSTERBOTTENS LÄN</t>
        </is>
      </c>
      <c r="E663" t="inlineStr">
        <is>
          <t>ÅSELE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5955-2024</t>
        </is>
      </c>
      <c r="B664" s="1" t="n">
        <v>45336.44858796296</v>
      </c>
      <c r="C664" s="1" t="n">
        <v>46187</v>
      </c>
      <c r="D664" t="inlineStr">
        <is>
          <t>VÄSTERBOTTENS LÄN</t>
        </is>
      </c>
      <c r="E664" t="inlineStr">
        <is>
          <t>ÅSELE</t>
        </is>
      </c>
      <c r="F664" t="inlineStr">
        <is>
          <t>Naturvårdsverket</t>
        </is>
      </c>
      <c r="G664" t="n">
        <v>22.6</v>
      </c>
      <c r="H664" t="n">
        <v>0</v>
      </c>
      <c r="I664" t="n">
        <v>0</v>
      </c>
      <c r="J664" t="n">
        <v>0</v>
      </c>
      <c r="K664" t="n">
        <v>0</v>
      </c>
      <c r="L664" t="n">
        <v>0</v>
      </c>
      <c r="M664" t="n">
        <v>0</v>
      </c>
      <c r="N664" t="n">
        <v>0</v>
      </c>
      <c r="O664" t="n">
        <v>0</v>
      </c>
      <c r="P664" t="n">
        <v>0</v>
      </c>
      <c r="Q664" t="n">
        <v>0</v>
      </c>
      <c r="R664" s="2" t="inlineStr"/>
    </row>
    <row r="665" ht="15" customHeight="1">
      <c r="A665" t="inlineStr">
        <is>
          <t>A 45622-2023</t>
        </is>
      </c>
      <c r="B665" s="1" t="n">
        <v>45194.66240740741</v>
      </c>
      <c r="C665" s="1" t="n">
        <v>46187</v>
      </c>
      <c r="D665" t="inlineStr">
        <is>
          <t>VÄSTERBOTTENS LÄN</t>
        </is>
      </c>
      <c r="E665" t="inlineStr">
        <is>
          <t>ÅSELE</t>
        </is>
      </c>
      <c r="G665" t="n">
        <v>1.7</v>
      </c>
      <c r="H665" t="n">
        <v>0</v>
      </c>
      <c r="I665" t="n">
        <v>0</v>
      </c>
      <c r="J665" t="n">
        <v>0</v>
      </c>
      <c r="K665" t="n">
        <v>0</v>
      </c>
      <c r="L665" t="n">
        <v>0</v>
      </c>
      <c r="M665" t="n">
        <v>0</v>
      </c>
      <c r="N665" t="n">
        <v>0</v>
      </c>
      <c r="O665" t="n">
        <v>0</v>
      </c>
      <c r="P665" t="n">
        <v>0</v>
      </c>
      <c r="Q665" t="n">
        <v>0</v>
      </c>
      <c r="R665" s="2" t="inlineStr"/>
    </row>
    <row r="666" ht="15" customHeight="1">
      <c r="A666" t="inlineStr">
        <is>
          <t>A 57697-2025</t>
        </is>
      </c>
      <c r="B666" s="1" t="n">
        <v>45981.45693287037</v>
      </c>
      <c r="C666" s="1" t="n">
        <v>46187</v>
      </c>
      <c r="D666" t="inlineStr">
        <is>
          <t>VÄSTERBOTTENS LÄN</t>
        </is>
      </c>
      <c r="E666" t="inlineStr">
        <is>
          <t>ÅSELE</t>
        </is>
      </c>
      <c r="G666" t="n">
        <v>5.5</v>
      </c>
      <c r="H666" t="n">
        <v>0</v>
      </c>
      <c r="I666" t="n">
        <v>0</v>
      </c>
      <c r="J666" t="n">
        <v>0</v>
      </c>
      <c r="K666" t="n">
        <v>0</v>
      </c>
      <c r="L666" t="n">
        <v>0</v>
      </c>
      <c r="M666" t="n">
        <v>0</v>
      </c>
      <c r="N666" t="n">
        <v>0</v>
      </c>
      <c r="O666" t="n">
        <v>0</v>
      </c>
      <c r="P666" t="n">
        <v>0</v>
      </c>
      <c r="Q666" t="n">
        <v>0</v>
      </c>
      <c r="R666" s="2" t="inlineStr"/>
    </row>
    <row r="667" ht="15" customHeight="1">
      <c r="A667" t="inlineStr">
        <is>
          <t>A 4078-2025</t>
        </is>
      </c>
      <c r="B667" s="1" t="n">
        <v>45684.65501157408</v>
      </c>
      <c r="C667" s="1" t="n">
        <v>46187</v>
      </c>
      <c r="D667" t="inlineStr">
        <is>
          <t>VÄSTERBOTTENS LÄN</t>
        </is>
      </c>
      <c r="E667" t="inlineStr">
        <is>
          <t>ÅSELE</t>
        </is>
      </c>
      <c r="G667" t="n">
        <v>2.4</v>
      </c>
      <c r="H667" t="n">
        <v>0</v>
      </c>
      <c r="I667" t="n">
        <v>0</v>
      </c>
      <c r="J667" t="n">
        <v>0</v>
      </c>
      <c r="K667" t="n">
        <v>0</v>
      </c>
      <c r="L667" t="n">
        <v>0</v>
      </c>
      <c r="M667" t="n">
        <v>0</v>
      </c>
      <c r="N667" t="n">
        <v>0</v>
      </c>
      <c r="O667" t="n">
        <v>0</v>
      </c>
      <c r="P667" t="n">
        <v>0</v>
      </c>
      <c r="Q667" t="n">
        <v>0</v>
      </c>
      <c r="R667" s="2" t="inlineStr"/>
    </row>
    <row r="668" ht="15" customHeight="1">
      <c r="A668" t="inlineStr">
        <is>
          <t>A 20224-2026</t>
        </is>
      </c>
      <c r="B668" s="1" t="n">
        <v>46139.44859953703</v>
      </c>
      <c r="C668" s="1" t="n">
        <v>46187</v>
      </c>
      <c r="D668" t="inlineStr">
        <is>
          <t>VÄSTERBOTTENS LÄN</t>
        </is>
      </c>
      <c r="E668" t="inlineStr">
        <is>
          <t>ÅSELE</t>
        </is>
      </c>
      <c r="F668" t="inlineStr">
        <is>
          <t>SCA</t>
        </is>
      </c>
      <c r="G668" t="n">
        <v>19.4</v>
      </c>
      <c r="H668" t="n">
        <v>0</v>
      </c>
      <c r="I668" t="n">
        <v>0</v>
      </c>
      <c r="J668" t="n">
        <v>0</v>
      </c>
      <c r="K668" t="n">
        <v>0</v>
      </c>
      <c r="L668" t="n">
        <v>0</v>
      </c>
      <c r="M668" t="n">
        <v>0</v>
      </c>
      <c r="N668" t="n">
        <v>0</v>
      </c>
      <c r="O668" t="n">
        <v>0</v>
      </c>
      <c r="P668" t="n">
        <v>0</v>
      </c>
      <c r="Q668" t="n">
        <v>0</v>
      </c>
      <c r="R668" s="2" t="inlineStr"/>
    </row>
    <row r="669" ht="15" customHeight="1">
      <c r="A669" t="inlineStr">
        <is>
          <t>A 19979-2026</t>
        </is>
      </c>
      <c r="B669" s="1" t="n">
        <v>46136.44616898148</v>
      </c>
      <c r="C669" s="1" t="n">
        <v>46187</v>
      </c>
      <c r="D669" t="inlineStr">
        <is>
          <t>VÄSTERBOTTENS LÄN</t>
        </is>
      </c>
      <c r="E669" t="inlineStr">
        <is>
          <t>ÅSELE</t>
        </is>
      </c>
      <c r="G669" t="n">
        <v>6.5</v>
      </c>
      <c r="H669" t="n">
        <v>0</v>
      </c>
      <c r="I669" t="n">
        <v>0</v>
      </c>
      <c r="J669" t="n">
        <v>0</v>
      </c>
      <c r="K669" t="n">
        <v>0</v>
      </c>
      <c r="L669" t="n">
        <v>0</v>
      </c>
      <c r="M669" t="n">
        <v>0</v>
      </c>
      <c r="N669" t="n">
        <v>0</v>
      </c>
      <c r="O669" t="n">
        <v>0</v>
      </c>
      <c r="P669" t="n">
        <v>0</v>
      </c>
      <c r="Q669" t="n">
        <v>0</v>
      </c>
      <c r="R669" s="2" t="inlineStr"/>
    </row>
    <row r="670" ht="15" customHeight="1">
      <c r="A670" t="inlineStr">
        <is>
          <t>A 31183-2023</t>
        </is>
      </c>
      <c r="B670" s="1" t="n">
        <v>45113.94913194444</v>
      </c>
      <c r="C670" s="1" t="n">
        <v>46187</v>
      </c>
      <c r="D670" t="inlineStr">
        <is>
          <t>VÄSTERBOTTENS LÄN</t>
        </is>
      </c>
      <c r="E670" t="inlineStr">
        <is>
          <t>ÅSELE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41409-2023</t>
        </is>
      </c>
      <c r="B671" s="1" t="n">
        <v>45174.93927083333</v>
      </c>
      <c r="C671" s="1" t="n">
        <v>46187</v>
      </c>
      <c r="D671" t="inlineStr">
        <is>
          <t>VÄSTERBOTTENS LÄN</t>
        </is>
      </c>
      <c r="E671" t="inlineStr">
        <is>
          <t>ÅSELE</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19928-2025</t>
        </is>
      </c>
      <c r="B672" s="1" t="n">
        <v>45771</v>
      </c>
      <c r="C672" s="1" t="n">
        <v>46187</v>
      </c>
      <c r="D672" t="inlineStr">
        <is>
          <t>VÄSTERBOTTENS LÄN</t>
        </is>
      </c>
      <c r="E672" t="inlineStr">
        <is>
          <t>ÅSELE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42304-2024</t>
        </is>
      </c>
      <c r="B673" s="1" t="n">
        <v>45562</v>
      </c>
      <c r="C673" s="1" t="n">
        <v>46187</v>
      </c>
      <c r="D673" t="inlineStr">
        <is>
          <t>VÄSTERBOTTENS LÄN</t>
        </is>
      </c>
      <c r="E673" t="inlineStr">
        <is>
          <t>ÅSELE</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25636-2024</t>
        </is>
      </c>
      <c r="B674" s="1" t="n">
        <v>45463</v>
      </c>
      <c r="C674" s="1" t="n">
        <v>46187</v>
      </c>
      <c r="D674" t="inlineStr">
        <is>
          <t>VÄSTERBOTTENS LÄN</t>
        </is>
      </c>
      <c r="E674" t="inlineStr">
        <is>
          <t>ÅSELE</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39647-2025</t>
        </is>
      </c>
      <c r="B675" s="1" t="n">
        <v>45890</v>
      </c>
      <c r="C675" s="1" t="n">
        <v>46187</v>
      </c>
      <c r="D675" t="inlineStr">
        <is>
          <t>VÄSTERBOTTENS LÄN</t>
        </is>
      </c>
      <c r="E675" t="inlineStr">
        <is>
          <t>ÅSELE</t>
        </is>
      </c>
      <c r="F675" t="inlineStr">
        <is>
          <t>SCA</t>
        </is>
      </c>
      <c r="G675" t="n">
        <v>11.4</v>
      </c>
      <c r="H675" t="n">
        <v>0</v>
      </c>
      <c r="I675" t="n">
        <v>0</v>
      </c>
      <c r="J675" t="n">
        <v>0</v>
      </c>
      <c r="K675" t="n">
        <v>0</v>
      </c>
      <c r="L675" t="n">
        <v>0</v>
      </c>
      <c r="M675" t="n">
        <v>0</v>
      </c>
      <c r="N675" t="n">
        <v>0</v>
      </c>
      <c r="O675" t="n">
        <v>0</v>
      </c>
      <c r="P675" t="n">
        <v>0</v>
      </c>
      <c r="Q675" t="n">
        <v>0</v>
      </c>
      <c r="R675" s="2" t="inlineStr"/>
    </row>
    <row r="676" ht="15" customHeight="1">
      <c r="A676" t="inlineStr">
        <is>
          <t>A 48531-2024</t>
        </is>
      </c>
      <c r="B676" s="1" t="n">
        <v>45593</v>
      </c>
      <c r="C676" s="1" t="n">
        <v>46187</v>
      </c>
      <c r="D676" t="inlineStr">
        <is>
          <t>VÄSTERBOTTENS LÄN</t>
        </is>
      </c>
      <c r="E676" t="inlineStr">
        <is>
          <t>ÅSELE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54992-2024</t>
        </is>
      </c>
      <c r="B677" s="1" t="n">
        <v>45620.91673611111</v>
      </c>
      <c r="C677" s="1" t="n">
        <v>46187</v>
      </c>
      <c r="D677" t="inlineStr">
        <is>
          <t>VÄSTERBOTTENS LÄN</t>
        </is>
      </c>
      <c r="E677" t="inlineStr">
        <is>
          <t>ÅSELE</t>
        </is>
      </c>
      <c r="G677" t="n">
        <v>5.7</v>
      </c>
      <c r="H677" t="n">
        <v>0</v>
      </c>
      <c r="I677" t="n">
        <v>0</v>
      </c>
      <c r="J677" t="n">
        <v>0</v>
      </c>
      <c r="K677" t="n">
        <v>0</v>
      </c>
      <c r="L677" t="n">
        <v>0</v>
      </c>
      <c r="M677" t="n">
        <v>0</v>
      </c>
      <c r="N677" t="n">
        <v>0</v>
      </c>
      <c r="O677" t="n">
        <v>0</v>
      </c>
      <c r="P677" t="n">
        <v>0</v>
      </c>
      <c r="Q677" t="n">
        <v>0</v>
      </c>
      <c r="R677" s="2" t="inlineStr"/>
    </row>
    <row r="678" ht="15" customHeight="1">
      <c r="A678" t="inlineStr">
        <is>
          <t>A 25918-2026</t>
        </is>
      </c>
      <c r="B678" s="1" t="n">
        <v>46178.74909722222</v>
      </c>
      <c r="C678" s="1" t="n">
        <v>46187</v>
      </c>
      <c r="D678" t="inlineStr">
        <is>
          <t>VÄSTERBOTTENS LÄN</t>
        </is>
      </c>
      <c r="E678" t="inlineStr">
        <is>
          <t>ÅSELE</t>
        </is>
      </c>
      <c r="F678" t="inlineStr">
        <is>
          <t>Sveaskog</t>
        </is>
      </c>
      <c r="G678" t="n">
        <v>8.6</v>
      </c>
      <c r="H678" t="n">
        <v>0</v>
      </c>
      <c r="I678" t="n">
        <v>0</v>
      </c>
      <c r="J678" t="n">
        <v>0</v>
      </c>
      <c r="K678" t="n">
        <v>0</v>
      </c>
      <c r="L678" t="n">
        <v>0</v>
      </c>
      <c r="M678" t="n">
        <v>0</v>
      </c>
      <c r="N678" t="n">
        <v>0</v>
      </c>
      <c r="O678" t="n">
        <v>0</v>
      </c>
      <c r="P678" t="n">
        <v>0</v>
      </c>
      <c r="Q678" t="n">
        <v>0</v>
      </c>
      <c r="R678" s="2" t="inlineStr"/>
    </row>
    <row r="679" ht="15" customHeight="1">
      <c r="A679" t="inlineStr">
        <is>
          <t>A 33012-2023</t>
        </is>
      </c>
      <c r="B679" s="1" t="n">
        <v>45113</v>
      </c>
      <c r="C679" s="1" t="n">
        <v>46187</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57788-2023</t>
        </is>
      </c>
      <c r="B680" s="1" t="n">
        <v>45246</v>
      </c>
      <c r="C680" s="1" t="n">
        <v>46187</v>
      </c>
      <c r="D680" t="inlineStr">
        <is>
          <t>VÄSTERBOTTENS LÄN</t>
        </is>
      </c>
      <c r="E680" t="inlineStr">
        <is>
          <t>ÅSELE</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65040-2023</t>
        </is>
      </c>
      <c r="B681" s="1" t="n">
        <v>45282</v>
      </c>
      <c r="C681" s="1" t="n">
        <v>46187</v>
      </c>
      <c r="D681" t="inlineStr">
        <is>
          <t>VÄSTERBOTTENS LÄN</t>
        </is>
      </c>
      <c r="E681" t="inlineStr">
        <is>
          <t>ÅSELE</t>
        </is>
      </c>
      <c r="G681" t="n">
        <v>6.6</v>
      </c>
      <c r="H681" t="n">
        <v>0</v>
      </c>
      <c r="I681" t="n">
        <v>0</v>
      </c>
      <c r="J681" t="n">
        <v>0</v>
      </c>
      <c r="K681" t="n">
        <v>0</v>
      </c>
      <c r="L681" t="n">
        <v>0</v>
      </c>
      <c r="M681" t="n">
        <v>0</v>
      </c>
      <c r="N681" t="n">
        <v>0</v>
      </c>
      <c r="O681" t="n">
        <v>0</v>
      </c>
      <c r="P681" t="n">
        <v>0</v>
      </c>
      <c r="Q681" t="n">
        <v>0</v>
      </c>
      <c r="R681" s="2" t="inlineStr"/>
    </row>
    <row r="682" ht="15" customHeight="1">
      <c r="A682" t="inlineStr">
        <is>
          <t>A 34139-2024</t>
        </is>
      </c>
      <c r="B682" s="1" t="n">
        <v>45524.36006944445</v>
      </c>
      <c r="C682" s="1" t="n">
        <v>46187</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34144-2024</t>
        </is>
      </c>
      <c r="B683" s="1" t="n">
        <v>45524</v>
      </c>
      <c r="C683" s="1" t="n">
        <v>46187</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36372-2025</t>
        </is>
      </c>
      <c r="B684" s="1" t="n">
        <v>45867</v>
      </c>
      <c r="C684" s="1" t="n">
        <v>46187</v>
      </c>
      <c r="D684" t="inlineStr">
        <is>
          <t>VÄSTERBOTTENS LÄN</t>
        </is>
      </c>
      <c r="E684" t="inlineStr">
        <is>
          <t>ÅSELE</t>
        </is>
      </c>
      <c r="G684" t="n">
        <v>4.3</v>
      </c>
      <c r="H684" t="n">
        <v>0</v>
      </c>
      <c r="I684" t="n">
        <v>0</v>
      </c>
      <c r="J684" t="n">
        <v>0</v>
      </c>
      <c r="K684" t="n">
        <v>0</v>
      </c>
      <c r="L684" t="n">
        <v>0</v>
      </c>
      <c r="M684" t="n">
        <v>0</v>
      </c>
      <c r="N684" t="n">
        <v>0</v>
      </c>
      <c r="O684" t="n">
        <v>0</v>
      </c>
      <c r="P684" t="n">
        <v>0</v>
      </c>
      <c r="Q684" t="n">
        <v>0</v>
      </c>
      <c r="R684" s="2" t="inlineStr"/>
    </row>
    <row r="685" ht="15" customHeight="1">
      <c r="A685" t="inlineStr">
        <is>
          <t>A 33194-2024</t>
        </is>
      </c>
      <c r="B685" s="1" t="n">
        <v>45518</v>
      </c>
      <c r="C685" s="1" t="n">
        <v>46187</v>
      </c>
      <c r="D685" t="inlineStr">
        <is>
          <t>VÄSTERBOTTENS LÄN</t>
        </is>
      </c>
      <c r="E685" t="inlineStr">
        <is>
          <t>ÅSELE</t>
        </is>
      </c>
      <c r="G685" t="n">
        <v>2.7</v>
      </c>
      <c r="H685" t="n">
        <v>0</v>
      </c>
      <c r="I685" t="n">
        <v>0</v>
      </c>
      <c r="J685" t="n">
        <v>0</v>
      </c>
      <c r="K685" t="n">
        <v>0</v>
      </c>
      <c r="L685" t="n">
        <v>0</v>
      </c>
      <c r="M685" t="n">
        <v>0</v>
      </c>
      <c r="N685" t="n">
        <v>0</v>
      </c>
      <c r="O685" t="n">
        <v>0</v>
      </c>
      <c r="P685" t="n">
        <v>0</v>
      </c>
      <c r="Q685" t="n">
        <v>0</v>
      </c>
      <c r="R685" s="2" t="inlineStr"/>
    </row>
    <row r="686" ht="15" customHeight="1">
      <c r="A686" t="inlineStr">
        <is>
          <t>A 11291-2023</t>
        </is>
      </c>
      <c r="B686" s="1" t="n">
        <v>44992</v>
      </c>
      <c r="C686" s="1" t="n">
        <v>46187</v>
      </c>
      <c r="D686" t="inlineStr">
        <is>
          <t>VÄSTERBOTTENS LÄN</t>
        </is>
      </c>
      <c r="E686" t="inlineStr">
        <is>
          <t>ÅSELE</t>
        </is>
      </c>
      <c r="G686" t="n">
        <v>0.5</v>
      </c>
      <c r="H686" t="n">
        <v>0</v>
      </c>
      <c r="I686" t="n">
        <v>0</v>
      </c>
      <c r="J686" t="n">
        <v>0</v>
      </c>
      <c r="K686" t="n">
        <v>0</v>
      </c>
      <c r="L686" t="n">
        <v>0</v>
      </c>
      <c r="M686" t="n">
        <v>0</v>
      </c>
      <c r="N686" t="n">
        <v>0</v>
      </c>
      <c r="O686" t="n">
        <v>0</v>
      </c>
      <c r="P686" t="n">
        <v>0</v>
      </c>
      <c r="Q686" t="n">
        <v>0</v>
      </c>
      <c r="R686" s="2" t="inlineStr"/>
    </row>
    <row r="687" ht="15" customHeight="1">
      <c r="A687" t="inlineStr">
        <is>
          <t>A 42601-2024</t>
        </is>
      </c>
      <c r="B687" s="1" t="n">
        <v>45565</v>
      </c>
      <c r="C687" s="1" t="n">
        <v>46187</v>
      </c>
      <c r="D687" t="inlineStr">
        <is>
          <t>VÄSTERBOTTENS LÄN</t>
        </is>
      </c>
      <c r="E687" t="inlineStr">
        <is>
          <t>ÅSELE</t>
        </is>
      </c>
      <c r="F687" t="inlineStr">
        <is>
          <t>Holmen skog AB</t>
        </is>
      </c>
      <c r="G687" t="n">
        <v>8.6</v>
      </c>
      <c r="H687" t="n">
        <v>0</v>
      </c>
      <c r="I687" t="n">
        <v>0</v>
      </c>
      <c r="J687" t="n">
        <v>0</v>
      </c>
      <c r="K687" t="n">
        <v>0</v>
      </c>
      <c r="L687" t="n">
        <v>0</v>
      </c>
      <c r="M687" t="n">
        <v>0</v>
      </c>
      <c r="N687" t="n">
        <v>0</v>
      </c>
      <c r="O687" t="n">
        <v>0</v>
      </c>
      <c r="P687" t="n">
        <v>0</v>
      </c>
      <c r="Q687" t="n">
        <v>0</v>
      </c>
      <c r="R687" s="2" t="inlineStr"/>
    </row>
    <row r="688" ht="15" customHeight="1">
      <c r="A688" t="inlineStr">
        <is>
          <t>A 60524-2021</t>
        </is>
      </c>
      <c r="B688" s="1" t="n">
        <v>44496</v>
      </c>
      <c r="C688" s="1" t="n">
        <v>46187</v>
      </c>
      <c r="D688" t="inlineStr">
        <is>
          <t>VÄSTERBOTTENS LÄN</t>
        </is>
      </c>
      <c r="E688" t="inlineStr">
        <is>
          <t>ÅSELE</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50234-2025</t>
        </is>
      </c>
      <c r="B689" s="1" t="n">
        <v>45943.71912037037</v>
      </c>
      <c r="C689" s="1" t="n">
        <v>46187</v>
      </c>
      <c r="D689" t="inlineStr">
        <is>
          <t>VÄSTERBOTTENS LÄN</t>
        </is>
      </c>
      <c r="E689" t="inlineStr">
        <is>
          <t>ÅSELE</t>
        </is>
      </c>
      <c r="G689" t="n">
        <v>1.4</v>
      </c>
      <c r="H689" t="n">
        <v>0</v>
      </c>
      <c r="I689" t="n">
        <v>0</v>
      </c>
      <c r="J689" t="n">
        <v>0</v>
      </c>
      <c r="K689" t="n">
        <v>0</v>
      </c>
      <c r="L689" t="n">
        <v>0</v>
      </c>
      <c r="M689" t="n">
        <v>0</v>
      </c>
      <c r="N689" t="n">
        <v>0</v>
      </c>
      <c r="O689" t="n">
        <v>0</v>
      </c>
      <c r="P689" t="n">
        <v>0</v>
      </c>
      <c r="Q689" t="n">
        <v>0</v>
      </c>
      <c r="R689" s="2" t="inlineStr"/>
    </row>
    <row r="690" ht="15" customHeight="1">
      <c r="A690" t="inlineStr">
        <is>
          <t>A 22267-2023</t>
        </is>
      </c>
      <c r="B690" s="1" t="n">
        <v>45068</v>
      </c>
      <c r="C690" s="1" t="n">
        <v>46187</v>
      </c>
      <c r="D690" t="inlineStr">
        <is>
          <t>VÄSTERBOTTENS LÄN</t>
        </is>
      </c>
      <c r="E690" t="inlineStr">
        <is>
          <t>ÅSELE</t>
        </is>
      </c>
      <c r="G690" t="n">
        <v>2.1</v>
      </c>
      <c r="H690" t="n">
        <v>0</v>
      </c>
      <c r="I690" t="n">
        <v>0</v>
      </c>
      <c r="J690" t="n">
        <v>0</v>
      </c>
      <c r="K690" t="n">
        <v>0</v>
      </c>
      <c r="L690" t="n">
        <v>0</v>
      </c>
      <c r="M690" t="n">
        <v>0</v>
      </c>
      <c r="N690" t="n">
        <v>0</v>
      </c>
      <c r="O690" t="n">
        <v>0</v>
      </c>
      <c r="P690" t="n">
        <v>0</v>
      </c>
      <c r="Q690" t="n">
        <v>0</v>
      </c>
      <c r="R690" s="2" t="inlineStr"/>
    </row>
    <row r="691" ht="15" customHeight="1">
      <c r="A691" t="inlineStr">
        <is>
          <t>A 36852-2023</t>
        </is>
      </c>
      <c r="B691" s="1" t="n">
        <v>45154.54208333333</v>
      </c>
      <c r="C691" s="1" t="n">
        <v>46187</v>
      </c>
      <c r="D691" t="inlineStr">
        <is>
          <t>VÄSTERBOTTENS LÄN</t>
        </is>
      </c>
      <c r="E691" t="inlineStr">
        <is>
          <t>ÅSELE</t>
        </is>
      </c>
      <c r="F691" t="inlineStr">
        <is>
          <t>Holmen skog AB</t>
        </is>
      </c>
      <c r="G691" t="n">
        <v>11.8</v>
      </c>
      <c r="H691" t="n">
        <v>0</v>
      </c>
      <c r="I691" t="n">
        <v>0</v>
      </c>
      <c r="J691" t="n">
        <v>0</v>
      </c>
      <c r="K691" t="n">
        <v>0</v>
      </c>
      <c r="L691" t="n">
        <v>0</v>
      </c>
      <c r="M691" t="n">
        <v>0</v>
      </c>
      <c r="N691" t="n">
        <v>0</v>
      </c>
      <c r="O691" t="n">
        <v>0</v>
      </c>
      <c r="P691" t="n">
        <v>0</v>
      </c>
      <c r="Q691" t="n">
        <v>0</v>
      </c>
      <c r="R691" s="2" t="inlineStr"/>
    </row>
    <row r="692" ht="15" customHeight="1">
      <c r="A692" t="inlineStr">
        <is>
          <t>A 22945-2024</t>
        </is>
      </c>
      <c r="B692" s="1" t="n">
        <v>45448.94569444445</v>
      </c>
      <c r="C692" s="1" t="n">
        <v>46187</v>
      </c>
      <c r="D692" t="inlineStr">
        <is>
          <t>VÄSTERBOTTENS LÄN</t>
        </is>
      </c>
      <c r="E692" t="inlineStr">
        <is>
          <t>ÅSELE</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29736-2024</t>
        </is>
      </c>
      <c r="B693" s="1" t="n">
        <v>45485.38484953704</v>
      </c>
      <c r="C693" s="1" t="n">
        <v>46187</v>
      </c>
      <c r="D693" t="inlineStr">
        <is>
          <t>VÄSTERBOTTENS LÄN</t>
        </is>
      </c>
      <c r="E693" t="inlineStr">
        <is>
          <t>ÅSELE</t>
        </is>
      </c>
      <c r="G693" t="n">
        <v>0.2</v>
      </c>
      <c r="H693" t="n">
        <v>0</v>
      </c>
      <c r="I693" t="n">
        <v>0</v>
      </c>
      <c r="J693" t="n">
        <v>0</v>
      </c>
      <c r="K693" t="n">
        <v>0</v>
      </c>
      <c r="L693" t="n">
        <v>0</v>
      </c>
      <c r="M693" t="n">
        <v>0</v>
      </c>
      <c r="N693" t="n">
        <v>0</v>
      </c>
      <c r="O693" t="n">
        <v>0</v>
      </c>
      <c r="P693" t="n">
        <v>0</v>
      </c>
      <c r="Q693" t="n">
        <v>0</v>
      </c>
      <c r="R693" s="2" t="inlineStr"/>
    </row>
    <row r="694" ht="15" customHeight="1">
      <c r="A694" t="inlineStr">
        <is>
          <t>A 26677-2023</t>
        </is>
      </c>
      <c r="B694" s="1" t="n">
        <v>45093.31925925926</v>
      </c>
      <c r="C694" s="1" t="n">
        <v>46187</v>
      </c>
      <c r="D694" t="inlineStr">
        <is>
          <t>VÄSTERBOTTENS LÄN</t>
        </is>
      </c>
      <c r="E694" t="inlineStr">
        <is>
          <t>ÅSELE</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38197-2024</t>
        </is>
      </c>
      <c r="B695" s="1" t="n">
        <v>45545</v>
      </c>
      <c r="C695" s="1" t="n">
        <v>46187</v>
      </c>
      <c r="D695" t="inlineStr">
        <is>
          <t>VÄSTERBOTTENS LÄN</t>
        </is>
      </c>
      <c r="E695" t="inlineStr">
        <is>
          <t>ÅSELE</t>
        </is>
      </c>
      <c r="F695" t="inlineStr">
        <is>
          <t>Sveaskog</t>
        </is>
      </c>
      <c r="G695" t="n">
        <v>10.6</v>
      </c>
      <c r="H695" t="n">
        <v>0</v>
      </c>
      <c r="I695" t="n">
        <v>0</v>
      </c>
      <c r="J695" t="n">
        <v>0</v>
      </c>
      <c r="K695" t="n">
        <v>0</v>
      </c>
      <c r="L695" t="n">
        <v>0</v>
      </c>
      <c r="M695" t="n">
        <v>0</v>
      </c>
      <c r="N695" t="n">
        <v>0</v>
      </c>
      <c r="O695" t="n">
        <v>0</v>
      </c>
      <c r="P695" t="n">
        <v>0</v>
      </c>
      <c r="Q695" t="n">
        <v>0</v>
      </c>
      <c r="R695" s="2" t="inlineStr"/>
    </row>
    <row r="696" ht="15" customHeight="1">
      <c r="A696" t="inlineStr">
        <is>
          <t>A 11320-2023</t>
        </is>
      </c>
      <c r="B696" s="1" t="n">
        <v>44993.01296296297</v>
      </c>
      <c r="C696" s="1" t="n">
        <v>46187</v>
      </c>
      <c r="D696" t="inlineStr">
        <is>
          <t>VÄSTERBOTTENS LÄN</t>
        </is>
      </c>
      <c r="E696" t="inlineStr">
        <is>
          <t>ÅSELE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42883-2025</t>
        </is>
      </c>
      <c r="B697" s="1" t="n">
        <v>45908.6425</v>
      </c>
      <c r="C697" s="1" t="n">
        <v>46187</v>
      </c>
      <c r="D697" t="inlineStr">
        <is>
          <t>VÄSTERBOTTENS LÄN</t>
        </is>
      </c>
      <c r="E697" t="inlineStr">
        <is>
          <t>ÅSELE</t>
        </is>
      </c>
      <c r="G697" t="n">
        <v>1.8</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46187</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26901-2026</t>
        </is>
      </c>
      <c r="B699" s="1" t="n">
        <v>46185.48326388889</v>
      </c>
      <c r="C699" s="1" t="n">
        <v>46187</v>
      </c>
      <c r="D699" t="inlineStr">
        <is>
          <t>VÄSTERBOTTENS LÄN</t>
        </is>
      </c>
      <c r="E699" t="inlineStr">
        <is>
          <t>ÅSELE</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48328-2024</t>
        </is>
      </c>
      <c r="B700" s="1" t="n">
        <v>45590</v>
      </c>
      <c r="C700" s="1" t="n">
        <v>46187</v>
      </c>
      <c r="D700" t="inlineStr">
        <is>
          <t>VÄSTERBOTTENS LÄN</t>
        </is>
      </c>
      <c r="E700" t="inlineStr">
        <is>
          <t>ÅSELE</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20962-2026</t>
        </is>
      </c>
      <c r="B701" s="1" t="n">
        <v>46142.54586805555</v>
      </c>
      <c r="C701" s="1" t="n">
        <v>46187</v>
      </c>
      <c r="D701" t="inlineStr">
        <is>
          <t>VÄSTERBOTTENS LÄN</t>
        </is>
      </c>
      <c r="E701" t="inlineStr">
        <is>
          <t>ÅSELE</t>
        </is>
      </c>
      <c r="F701" t="inlineStr">
        <is>
          <t>Sveaskog</t>
        </is>
      </c>
      <c r="G701" t="n">
        <v>15.2</v>
      </c>
      <c r="H701" t="n">
        <v>0</v>
      </c>
      <c r="I701" t="n">
        <v>0</v>
      </c>
      <c r="J701" t="n">
        <v>0</v>
      </c>
      <c r="K701" t="n">
        <v>0</v>
      </c>
      <c r="L701" t="n">
        <v>0</v>
      </c>
      <c r="M701" t="n">
        <v>0</v>
      </c>
      <c r="N701" t="n">
        <v>0</v>
      </c>
      <c r="O701" t="n">
        <v>0</v>
      </c>
      <c r="P701" t="n">
        <v>0</v>
      </c>
      <c r="Q701" t="n">
        <v>0</v>
      </c>
      <c r="R701" s="2" t="inlineStr"/>
    </row>
    <row r="702" ht="15" customHeight="1">
      <c r="A702" t="inlineStr">
        <is>
          <t>A 26774-2025</t>
        </is>
      </c>
      <c r="B702" s="1" t="n">
        <v>45810.57378472222</v>
      </c>
      <c r="C702" s="1" t="n">
        <v>46187</v>
      </c>
      <c r="D702" t="inlineStr">
        <is>
          <t>VÄSTERBOTTENS LÄN</t>
        </is>
      </c>
      <c r="E702" t="inlineStr">
        <is>
          <t>ÅSELE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20955-2026</t>
        </is>
      </c>
      <c r="B703" s="1" t="n">
        <v>46142.53533564815</v>
      </c>
      <c r="C703" s="1" t="n">
        <v>46187</v>
      </c>
      <c r="D703" t="inlineStr">
        <is>
          <t>VÄSTERBOTTENS LÄN</t>
        </is>
      </c>
      <c r="E703" t="inlineStr">
        <is>
          <t>ÅSELE</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53638-2022</t>
        </is>
      </c>
      <c r="B704" s="1" t="n">
        <v>44879</v>
      </c>
      <c r="C704" s="1" t="n">
        <v>46187</v>
      </c>
      <c r="D704" t="inlineStr">
        <is>
          <t>VÄSTERBOTTENS LÄN</t>
        </is>
      </c>
      <c r="E704" t="inlineStr">
        <is>
          <t>ÅSELE</t>
        </is>
      </c>
      <c r="G704" t="n">
        <v>4.7</v>
      </c>
      <c r="H704" t="n">
        <v>0</v>
      </c>
      <c r="I704" t="n">
        <v>0</v>
      </c>
      <c r="J704" t="n">
        <v>0</v>
      </c>
      <c r="K704" t="n">
        <v>0</v>
      </c>
      <c r="L704" t="n">
        <v>0</v>
      </c>
      <c r="M704" t="n">
        <v>0</v>
      </c>
      <c r="N704" t="n">
        <v>0</v>
      </c>
      <c r="O704" t="n">
        <v>0</v>
      </c>
      <c r="P704" t="n">
        <v>0</v>
      </c>
      <c r="Q704" t="n">
        <v>0</v>
      </c>
      <c r="R704" s="2" t="inlineStr"/>
    </row>
    <row r="705" ht="15" customHeight="1">
      <c r="A705" t="inlineStr">
        <is>
          <t>A 31402-2022</t>
        </is>
      </c>
      <c r="B705" s="1" t="n">
        <v>44774</v>
      </c>
      <c r="C705" s="1" t="n">
        <v>46187</v>
      </c>
      <c r="D705" t="inlineStr">
        <is>
          <t>VÄSTERBOTTENS LÄN</t>
        </is>
      </c>
      <c r="E705" t="inlineStr">
        <is>
          <t>ÅSELE</t>
        </is>
      </c>
      <c r="G705" t="n">
        <v>7.7</v>
      </c>
      <c r="H705" t="n">
        <v>0</v>
      </c>
      <c r="I705" t="n">
        <v>0</v>
      </c>
      <c r="J705" t="n">
        <v>0</v>
      </c>
      <c r="K705" t="n">
        <v>0</v>
      </c>
      <c r="L705" t="n">
        <v>0</v>
      </c>
      <c r="M705" t="n">
        <v>0</v>
      </c>
      <c r="N705" t="n">
        <v>0</v>
      </c>
      <c r="O705" t="n">
        <v>0</v>
      </c>
      <c r="P705" t="n">
        <v>0</v>
      </c>
      <c r="Q705" t="n">
        <v>0</v>
      </c>
      <c r="R705" s="2" t="inlineStr"/>
    </row>
    <row r="706" ht="15" customHeight="1">
      <c r="A706" t="inlineStr">
        <is>
          <t>A 27033-2026</t>
        </is>
      </c>
      <c r="B706" s="1" t="n">
        <v>46185.67752314815</v>
      </c>
      <c r="C706" s="1" t="n">
        <v>46187</v>
      </c>
      <c r="D706" t="inlineStr">
        <is>
          <t>VÄSTERBOTTENS LÄN</t>
        </is>
      </c>
      <c r="E706" t="inlineStr">
        <is>
          <t>ÅSELE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27036-2026</t>
        </is>
      </c>
      <c r="B707" s="1" t="n">
        <v>46185.67783564814</v>
      </c>
      <c r="C707" s="1" t="n">
        <v>46187</v>
      </c>
      <c r="D707" t="inlineStr">
        <is>
          <t>VÄSTERBOTTENS LÄN</t>
        </is>
      </c>
      <c r="E707" t="inlineStr">
        <is>
          <t>ÅSELE</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27049-2026</t>
        </is>
      </c>
      <c r="B708" s="1" t="n">
        <v>46185.69855324074</v>
      </c>
      <c r="C708" s="1" t="n">
        <v>46187</v>
      </c>
      <c r="D708" t="inlineStr">
        <is>
          <t>VÄSTERBOTTENS LÄN</t>
        </is>
      </c>
      <c r="E708" t="inlineStr">
        <is>
          <t>ÅSELE</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27050-2026</t>
        </is>
      </c>
      <c r="B709" s="1" t="n">
        <v>46185.69868055556</v>
      </c>
      <c r="C709" s="1" t="n">
        <v>46187</v>
      </c>
      <c r="D709" t="inlineStr">
        <is>
          <t>VÄSTERBOTTENS LÄN</t>
        </is>
      </c>
      <c r="E709" t="inlineStr">
        <is>
          <t>ÅSELE</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41160-2024</t>
        </is>
      </c>
      <c r="B710" s="1" t="n">
        <v>45559.47989583333</v>
      </c>
      <c r="C710" s="1" t="n">
        <v>46187</v>
      </c>
      <c r="D710" t="inlineStr">
        <is>
          <t>VÄSTERBOTTENS LÄN</t>
        </is>
      </c>
      <c r="E710" t="inlineStr">
        <is>
          <t>ÅSELE</t>
        </is>
      </c>
      <c r="F710" t="inlineStr">
        <is>
          <t>Sveaskog</t>
        </is>
      </c>
      <c r="G710" t="n">
        <v>18.8</v>
      </c>
      <c r="H710" t="n">
        <v>0</v>
      </c>
      <c r="I710" t="n">
        <v>0</v>
      </c>
      <c r="J710" t="n">
        <v>0</v>
      </c>
      <c r="K710" t="n">
        <v>0</v>
      </c>
      <c r="L710" t="n">
        <v>0</v>
      </c>
      <c r="M710" t="n">
        <v>0</v>
      </c>
      <c r="N710" t="n">
        <v>0</v>
      </c>
      <c r="O710" t="n">
        <v>0</v>
      </c>
      <c r="P710" t="n">
        <v>0</v>
      </c>
      <c r="Q710" t="n">
        <v>0</v>
      </c>
      <c r="R710" s="2" t="inlineStr"/>
    </row>
    <row r="711" ht="15" customHeight="1">
      <c r="A711" t="inlineStr">
        <is>
          <t>A 54958-2024</t>
        </is>
      </c>
      <c r="B711" s="1" t="n">
        <v>45619.7193287037</v>
      </c>
      <c r="C711" s="1" t="n">
        <v>46187</v>
      </c>
      <c r="D711" t="inlineStr">
        <is>
          <t>VÄSTERBOTTENS LÄN</t>
        </is>
      </c>
      <c r="E711" t="inlineStr">
        <is>
          <t>ÅSELE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13552-2024</t>
        </is>
      </c>
      <c r="B712" s="1" t="n">
        <v>45387.95409722222</v>
      </c>
      <c r="C712" s="1" t="n">
        <v>46187</v>
      </c>
      <c r="D712" t="inlineStr">
        <is>
          <t>VÄSTERBOTTENS LÄN</t>
        </is>
      </c>
      <c r="E712" t="inlineStr">
        <is>
          <t>ÅSELE</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20985-2026</t>
        </is>
      </c>
      <c r="B713" s="1" t="n">
        <v>46142.59431712963</v>
      </c>
      <c r="C713" s="1" t="n">
        <v>46187</v>
      </c>
      <c r="D713" t="inlineStr">
        <is>
          <t>VÄSTERBOTTENS LÄN</t>
        </is>
      </c>
      <c r="E713" t="inlineStr">
        <is>
          <t>ÅSELE</t>
        </is>
      </c>
      <c r="F713" t="inlineStr">
        <is>
          <t>SCA</t>
        </is>
      </c>
      <c r="G713" t="n">
        <v>7.4</v>
      </c>
      <c r="H713" t="n">
        <v>0</v>
      </c>
      <c r="I713" t="n">
        <v>0</v>
      </c>
      <c r="J713" t="n">
        <v>0</v>
      </c>
      <c r="K713" t="n">
        <v>0</v>
      </c>
      <c r="L713" t="n">
        <v>0</v>
      </c>
      <c r="M713" t="n">
        <v>0</v>
      </c>
      <c r="N713" t="n">
        <v>0</v>
      </c>
      <c r="O713" t="n">
        <v>0</v>
      </c>
      <c r="P713" t="n">
        <v>0</v>
      </c>
      <c r="Q713" t="n">
        <v>0</v>
      </c>
      <c r="R713" s="2" t="inlineStr"/>
    </row>
    <row r="714" ht="15" customHeight="1">
      <c r="A714" t="inlineStr">
        <is>
          <t>A 27034-2026</t>
        </is>
      </c>
      <c r="B714" s="1" t="n">
        <v>46185.67768518518</v>
      </c>
      <c r="C714" s="1" t="n">
        <v>46187</v>
      </c>
      <c r="D714" t="inlineStr">
        <is>
          <t>VÄSTERBOTTENS LÄN</t>
        </is>
      </c>
      <c r="E714" t="inlineStr">
        <is>
          <t>ÅSELE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1733-2025</t>
        </is>
      </c>
      <c r="B715" s="1" t="n">
        <v>45671</v>
      </c>
      <c r="C715" s="1" t="n">
        <v>46187</v>
      </c>
      <c r="D715" t="inlineStr">
        <is>
          <t>VÄSTERBOTTENS LÄN</t>
        </is>
      </c>
      <c r="E715" t="inlineStr">
        <is>
          <t>ÅSELE</t>
        </is>
      </c>
      <c r="F715" t="inlineStr">
        <is>
          <t>Sveaskog</t>
        </is>
      </c>
      <c r="G715" t="n">
        <v>18.2</v>
      </c>
      <c r="H715" t="n">
        <v>0</v>
      </c>
      <c r="I715" t="n">
        <v>0</v>
      </c>
      <c r="J715" t="n">
        <v>0</v>
      </c>
      <c r="K715" t="n">
        <v>0</v>
      </c>
      <c r="L715" t="n">
        <v>0</v>
      </c>
      <c r="M715" t="n">
        <v>0</v>
      </c>
      <c r="N715" t="n">
        <v>0</v>
      </c>
      <c r="O715" t="n">
        <v>0</v>
      </c>
      <c r="P715" t="n">
        <v>0</v>
      </c>
      <c r="Q715" t="n">
        <v>0</v>
      </c>
      <c r="R715" s="2" t="inlineStr"/>
    </row>
    <row r="716" ht="15" customHeight="1">
      <c r="A716" t="inlineStr">
        <is>
          <t>A 19330-2024</t>
        </is>
      </c>
      <c r="B716" s="1" t="n">
        <v>45428</v>
      </c>
      <c r="C716" s="1" t="n">
        <v>46187</v>
      </c>
      <c r="D716" t="inlineStr">
        <is>
          <t>VÄSTERBOTTENS LÄN</t>
        </is>
      </c>
      <c r="E716" t="inlineStr">
        <is>
          <t>ÅSELE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27047-2026</t>
        </is>
      </c>
      <c r="B717" s="1" t="n">
        <v>46185.69836805556</v>
      </c>
      <c r="C717" s="1" t="n">
        <v>46187</v>
      </c>
      <c r="D717" t="inlineStr">
        <is>
          <t>VÄSTERBOTTENS LÄN</t>
        </is>
      </c>
      <c r="E717" t="inlineStr">
        <is>
          <t>ÅSELE</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45311-2024</t>
        </is>
      </c>
      <c r="B718" s="1" t="n">
        <v>45576.43226851852</v>
      </c>
      <c r="C718" s="1" t="n">
        <v>46187</v>
      </c>
      <c r="D718" t="inlineStr">
        <is>
          <t>VÄSTERBOTTENS LÄN</t>
        </is>
      </c>
      <c r="E718" t="inlineStr">
        <is>
          <t>ÅSELE</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17285-2025</t>
        </is>
      </c>
      <c r="B719" s="1" t="n">
        <v>45756.57349537037</v>
      </c>
      <c r="C719" s="1" t="n">
        <v>46187</v>
      </c>
      <c r="D719" t="inlineStr">
        <is>
          <t>VÄSTERBOTTENS LÄN</t>
        </is>
      </c>
      <c r="E719" t="inlineStr">
        <is>
          <t>ÅSELE</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61542-2024</t>
        </is>
      </c>
      <c r="B720" s="1" t="n">
        <v>45645</v>
      </c>
      <c r="C720" s="1" t="n">
        <v>46187</v>
      </c>
      <c r="D720" t="inlineStr">
        <is>
          <t>VÄSTERBOTTENS LÄN</t>
        </is>
      </c>
      <c r="E720" t="inlineStr">
        <is>
          <t>ÅSELE</t>
        </is>
      </c>
      <c r="G720" t="n">
        <v>1.2</v>
      </c>
      <c r="H720" t="n">
        <v>0</v>
      </c>
      <c r="I720" t="n">
        <v>0</v>
      </c>
      <c r="J720" t="n">
        <v>0</v>
      </c>
      <c r="K720" t="n">
        <v>0</v>
      </c>
      <c r="L720" t="n">
        <v>0</v>
      </c>
      <c r="M720" t="n">
        <v>0</v>
      </c>
      <c r="N720" t="n">
        <v>0</v>
      </c>
      <c r="O720" t="n">
        <v>0</v>
      </c>
      <c r="P720" t="n">
        <v>0</v>
      </c>
      <c r="Q720" t="n">
        <v>0</v>
      </c>
      <c r="R720" s="2" t="inlineStr"/>
    </row>
    <row r="721" ht="15" customHeight="1">
      <c r="A721" t="inlineStr">
        <is>
          <t>A 15777-2025</t>
        </is>
      </c>
      <c r="B721" s="1" t="n">
        <v>45748</v>
      </c>
      <c r="C721" s="1" t="n">
        <v>46187</v>
      </c>
      <c r="D721" t="inlineStr">
        <is>
          <t>VÄSTERBOTTENS LÄN</t>
        </is>
      </c>
      <c r="E721" t="inlineStr">
        <is>
          <t>ÅSELE</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30588-2024</t>
        </is>
      </c>
      <c r="B722" s="1" t="n">
        <v>45492</v>
      </c>
      <c r="C722" s="1" t="n">
        <v>46187</v>
      </c>
      <c r="D722" t="inlineStr">
        <is>
          <t>VÄSTERBOTTENS LÄN</t>
        </is>
      </c>
      <c r="E722" t="inlineStr">
        <is>
          <t>ÅSELE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7621-2025</t>
        </is>
      </c>
      <c r="B723" s="1" t="n">
        <v>45705.71922453704</v>
      </c>
      <c r="C723" s="1" t="n">
        <v>46187</v>
      </c>
      <c r="D723" t="inlineStr">
        <is>
          <t>VÄSTERBOTTENS LÄN</t>
        </is>
      </c>
      <c r="E723" t="inlineStr">
        <is>
          <t>ÅSELE</t>
        </is>
      </c>
      <c r="G723" t="n">
        <v>5.9</v>
      </c>
      <c r="H723" t="n">
        <v>0</v>
      </c>
      <c r="I723" t="n">
        <v>0</v>
      </c>
      <c r="J723" t="n">
        <v>0</v>
      </c>
      <c r="K723" t="n">
        <v>0</v>
      </c>
      <c r="L723" t="n">
        <v>0</v>
      </c>
      <c r="M723" t="n">
        <v>0</v>
      </c>
      <c r="N723" t="n">
        <v>0</v>
      </c>
      <c r="O723" t="n">
        <v>0</v>
      </c>
      <c r="P723" t="n">
        <v>0</v>
      </c>
      <c r="Q723" t="n">
        <v>0</v>
      </c>
      <c r="R723" s="2" t="inlineStr"/>
    </row>
    <row r="724" ht="15" customHeight="1">
      <c r="A724" t="inlineStr">
        <is>
          <t>A 12359-2024</t>
        </is>
      </c>
      <c r="B724" s="1" t="n">
        <v>45378.93795138889</v>
      </c>
      <c r="C724" s="1" t="n">
        <v>46187</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8878-2024</t>
        </is>
      </c>
      <c r="B725" s="1" t="n">
        <v>45357</v>
      </c>
      <c r="C725" s="1" t="n">
        <v>46187</v>
      </c>
      <c r="D725" t="inlineStr">
        <is>
          <t>VÄSTERBOTTENS LÄN</t>
        </is>
      </c>
      <c r="E725" t="inlineStr">
        <is>
          <t>ÅSELE</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42910-2024</t>
        </is>
      </c>
      <c r="B726" s="1" t="n">
        <v>45566.94626157408</v>
      </c>
      <c r="C726" s="1" t="n">
        <v>46187</v>
      </c>
      <c r="D726" t="inlineStr">
        <is>
          <t>VÄSTERBOTTENS LÄN</t>
        </is>
      </c>
      <c r="E726" t="inlineStr">
        <is>
          <t>ÅSELE</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38350-2024</t>
        </is>
      </c>
      <c r="B727" s="1" t="n">
        <v>45545</v>
      </c>
      <c r="C727" s="1" t="n">
        <v>46187</v>
      </c>
      <c r="D727" t="inlineStr">
        <is>
          <t>VÄSTERBOTTENS LÄN</t>
        </is>
      </c>
      <c r="E727" t="inlineStr">
        <is>
          <t>ÅSELE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45477-2024</t>
        </is>
      </c>
      <c r="B728" s="1" t="n">
        <v>45576.83114583333</v>
      </c>
      <c r="C728" s="1" t="n">
        <v>46187</v>
      </c>
      <c r="D728" t="inlineStr">
        <is>
          <t>VÄSTERBOTTENS LÄN</t>
        </is>
      </c>
      <c r="E728" t="inlineStr">
        <is>
          <t>ÅSELE</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5012-2024</t>
        </is>
      </c>
      <c r="B729" s="1" t="n">
        <v>45329</v>
      </c>
      <c r="C729" s="1" t="n">
        <v>46187</v>
      </c>
      <c r="D729" t="inlineStr">
        <is>
          <t>VÄSTERBOTTENS LÄN</t>
        </is>
      </c>
      <c r="E729" t="inlineStr">
        <is>
          <t>ÅSELE</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34779-2024</t>
        </is>
      </c>
      <c r="B730" s="1" t="n">
        <v>45526.63690972222</v>
      </c>
      <c r="C730" s="1" t="n">
        <v>46187</v>
      </c>
      <c r="D730" t="inlineStr">
        <is>
          <t>VÄSTERBOTTENS LÄN</t>
        </is>
      </c>
      <c r="E730" t="inlineStr">
        <is>
          <t>ÅSELE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27939-2024</t>
        </is>
      </c>
      <c r="B731" s="1" t="n">
        <v>45476</v>
      </c>
      <c r="C731" s="1" t="n">
        <v>46187</v>
      </c>
      <c r="D731" t="inlineStr">
        <is>
          <t>VÄSTERBOTTENS LÄN</t>
        </is>
      </c>
      <c r="E731" t="inlineStr">
        <is>
          <t>ÅSELE</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41583-2024</t>
        </is>
      </c>
      <c r="B732" s="1" t="n">
        <v>45560.55664351852</v>
      </c>
      <c r="C732" s="1" t="n">
        <v>46187</v>
      </c>
      <c r="D732" t="inlineStr">
        <is>
          <t>VÄSTERBOTTENS LÄN</t>
        </is>
      </c>
      <c r="E732" t="inlineStr">
        <is>
          <t>ÅSELE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14167-2024</t>
        </is>
      </c>
      <c r="B733" s="1" t="n">
        <v>45392</v>
      </c>
      <c r="C733" s="1" t="n">
        <v>46187</v>
      </c>
      <c r="D733" t="inlineStr">
        <is>
          <t>VÄSTERBOTTENS LÄN</t>
        </is>
      </c>
      <c r="E733" t="inlineStr">
        <is>
          <t>ÅSELE</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4921-2024</t>
        </is>
      </c>
      <c r="B734" s="1" t="n">
        <v>45329</v>
      </c>
      <c r="C734" s="1" t="n">
        <v>46187</v>
      </c>
      <c r="D734" t="inlineStr">
        <is>
          <t>VÄSTERBOTTENS LÄN</t>
        </is>
      </c>
      <c r="E734" t="inlineStr">
        <is>
          <t>ÅSELE</t>
        </is>
      </c>
      <c r="F734" t="inlineStr">
        <is>
          <t>Övriga Aktiebolag</t>
        </is>
      </c>
      <c r="G734" t="n">
        <v>7.9</v>
      </c>
      <c r="H734" t="n">
        <v>0</v>
      </c>
      <c r="I734" t="n">
        <v>0</v>
      </c>
      <c r="J734" t="n">
        <v>0</v>
      </c>
      <c r="K734" t="n">
        <v>0</v>
      </c>
      <c r="L734" t="n">
        <v>0</v>
      </c>
      <c r="M734" t="n">
        <v>0</v>
      </c>
      <c r="N734" t="n">
        <v>0</v>
      </c>
      <c r="O734" t="n">
        <v>0</v>
      </c>
      <c r="P734" t="n">
        <v>0</v>
      </c>
      <c r="Q734" t="n">
        <v>0</v>
      </c>
      <c r="R734" s="2" t="inlineStr"/>
    </row>
    <row r="735" ht="15" customHeight="1">
      <c r="A735" t="inlineStr">
        <is>
          <t>A 10760-2023</t>
        </is>
      </c>
      <c r="B735" s="1" t="n">
        <v>44988.92247685185</v>
      </c>
      <c r="C735" s="1" t="n">
        <v>46187</v>
      </c>
      <c r="D735" t="inlineStr">
        <is>
          <t>VÄSTERBOTTENS LÄN</t>
        </is>
      </c>
      <c r="E735" t="inlineStr">
        <is>
          <t>ÅSELE</t>
        </is>
      </c>
      <c r="G735" t="n">
        <v>0.3</v>
      </c>
      <c r="H735" t="n">
        <v>0</v>
      </c>
      <c r="I735" t="n">
        <v>0</v>
      </c>
      <c r="J735" t="n">
        <v>0</v>
      </c>
      <c r="K735" t="n">
        <v>0</v>
      </c>
      <c r="L735" t="n">
        <v>0</v>
      </c>
      <c r="M735" t="n">
        <v>0</v>
      </c>
      <c r="N735" t="n">
        <v>0</v>
      </c>
      <c r="O735" t="n">
        <v>0</v>
      </c>
      <c r="P735" t="n">
        <v>0</v>
      </c>
      <c r="Q735" t="n">
        <v>0</v>
      </c>
      <c r="R735" s="2" t="inlineStr"/>
    </row>
    <row r="736" ht="15" customHeight="1">
      <c r="A736" t="inlineStr">
        <is>
          <t>A 10761-2023</t>
        </is>
      </c>
      <c r="B736" s="1" t="n">
        <v>44988.92252314815</v>
      </c>
      <c r="C736" s="1" t="n">
        <v>46187</v>
      </c>
      <c r="D736" t="inlineStr">
        <is>
          <t>VÄSTERBOTTENS LÄN</t>
        </is>
      </c>
      <c r="E736" t="inlineStr">
        <is>
          <t>ÅSELE</t>
        </is>
      </c>
      <c r="G736" t="n">
        <v>0.3</v>
      </c>
      <c r="H736" t="n">
        <v>0</v>
      </c>
      <c r="I736" t="n">
        <v>0</v>
      </c>
      <c r="J736" t="n">
        <v>0</v>
      </c>
      <c r="K736" t="n">
        <v>0</v>
      </c>
      <c r="L736" t="n">
        <v>0</v>
      </c>
      <c r="M736" t="n">
        <v>0</v>
      </c>
      <c r="N736" t="n">
        <v>0</v>
      </c>
      <c r="O736" t="n">
        <v>0</v>
      </c>
      <c r="P736" t="n">
        <v>0</v>
      </c>
      <c r="Q736" t="n">
        <v>0</v>
      </c>
      <c r="R736" s="2" t="inlineStr"/>
    </row>
    <row r="737" ht="15" customHeight="1">
      <c r="A737" t="inlineStr">
        <is>
          <t>A 55920-2023</t>
        </is>
      </c>
      <c r="B737" s="1" t="n">
        <v>45239.96893518518</v>
      </c>
      <c r="C737" s="1" t="n">
        <v>46187</v>
      </c>
      <c r="D737" t="inlineStr">
        <is>
          <t>VÄSTERBOTTENS LÄN</t>
        </is>
      </c>
      <c r="E737" t="inlineStr">
        <is>
          <t>ÅSELE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28087-2023</t>
        </is>
      </c>
      <c r="B738" s="1" t="n">
        <v>45099</v>
      </c>
      <c r="C738" s="1" t="n">
        <v>46187</v>
      </c>
      <c r="D738" t="inlineStr">
        <is>
          <t>VÄSTERBOTTENS LÄN</t>
        </is>
      </c>
      <c r="E738" t="inlineStr">
        <is>
          <t>ÅSELE</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29054-2023</t>
        </is>
      </c>
      <c r="B739" s="1" t="n">
        <v>45104.92340277778</v>
      </c>
      <c r="C739" s="1" t="n">
        <v>46187</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29055-2023</t>
        </is>
      </c>
      <c r="B740" s="1" t="n">
        <v>45104.9234375</v>
      </c>
      <c r="C740" s="1" t="n">
        <v>46187</v>
      </c>
      <c r="D740" t="inlineStr">
        <is>
          <t>VÄSTERBOTTENS LÄN</t>
        </is>
      </c>
      <c r="E740" t="inlineStr">
        <is>
          <t>ÅSELE</t>
        </is>
      </c>
      <c r="G740" t="n">
        <v>3.5</v>
      </c>
      <c r="H740" t="n">
        <v>0</v>
      </c>
      <c r="I740" t="n">
        <v>0</v>
      </c>
      <c r="J740" t="n">
        <v>0</v>
      </c>
      <c r="K740" t="n">
        <v>0</v>
      </c>
      <c r="L740" t="n">
        <v>0</v>
      </c>
      <c r="M740" t="n">
        <v>0</v>
      </c>
      <c r="N740" t="n">
        <v>0</v>
      </c>
      <c r="O740" t="n">
        <v>0</v>
      </c>
      <c r="P740" t="n">
        <v>0</v>
      </c>
      <c r="Q740" t="n">
        <v>0</v>
      </c>
      <c r="R740" s="2" t="inlineStr"/>
    </row>
    <row r="741" ht="15" customHeight="1">
      <c r="A741" t="inlineStr">
        <is>
          <t>A 20276-2025</t>
        </is>
      </c>
      <c r="B741" s="1" t="n">
        <v>45774.32366898148</v>
      </c>
      <c r="C741" s="1" t="n">
        <v>46187</v>
      </c>
      <c r="D741" t="inlineStr">
        <is>
          <t>VÄSTERBOTTENS LÄN</t>
        </is>
      </c>
      <c r="E741" t="inlineStr">
        <is>
          <t>ÅSELE</t>
        </is>
      </c>
      <c r="G741" t="n">
        <v>16.3</v>
      </c>
      <c r="H741" t="n">
        <v>0</v>
      </c>
      <c r="I741" t="n">
        <v>0</v>
      </c>
      <c r="J741" t="n">
        <v>0</v>
      </c>
      <c r="K741" t="n">
        <v>0</v>
      </c>
      <c r="L741" t="n">
        <v>0</v>
      </c>
      <c r="M741" t="n">
        <v>0</v>
      </c>
      <c r="N741" t="n">
        <v>0</v>
      </c>
      <c r="O741" t="n">
        <v>0</v>
      </c>
      <c r="P741" t="n">
        <v>0</v>
      </c>
      <c r="Q741" t="n">
        <v>0</v>
      </c>
      <c r="R741" s="2" t="inlineStr"/>
    </row>
    <row r="742" ht="15" customHeight="1">
      <c r="A742" t="inlineStr">
        <is>
          <t>A 32993-2023</t>
        </is>
      </c>
      <c r="B742" s="1" t="n">
        <v>45113</v>
      </c>
      <c r="C742" s="1" t="n">
        <v>46187</v>
      </c>
      <c r="D742" t="inlineStr">
        <is>
          <t>VÄSTERBOTTENS LÄN</t>
        </is>
      </c>
      <c r="E742" t="inlineStr">
        <is>
          <t>ÅSELE</t>
        </is>
      </c>
      <c r="G742" t="n">
        <v>3.2</v>
      </c>
      <c r="H742" t="n">
        <v>0</v>
      </c>
      <c r="I742" t="n">
        <v>0</v>
      </c>
      <c r="J742" t="n">
        <v>0</v>
      </c>
      <c r="K742" t="n">
        <v>0</v>
      </c>
      <c r="L742" t="n">
        <v>0</v>
      </c>
      <c r="M742" t="n">
        <v>0</v>
      </c>
      <c r="N742" t="n">
        <v>0</v>
      </c>
      <c r="O742" t="n">
        <v>0</v>
      </c>
      <c r="P742" t="n">
        <v>0</v>
      </c>
      <c r="Q742" t="n">
        <v>0</v>
      </c>
      <c r="R742" s="2" t="inlineStr"/>
    </row>
    <row r="743" ht="15" customHeight="1">
      <c r="A743" t="inlineStr">
        <is>
          <t>A 4901-2024</t>
        </is>
      </c>
      <c r="B743" s="1" t="n">
        <v>45329</v>
      </c>
      <c r="C743" s="1" t="n">
        <v>46187</v>
      </c>
      <c r="D743" t="inlineStr">
        <is>
          <t>VÄSTERBOTTENS LÄN</t>
        </is>
      </c>
      <c r="E743" t="inlineStr">
        <is>
          <t>ÅSELE</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20036-2025</t>
        </is>
      </c>
      <c r="B744" s="1" t="n">
        <v>45772.36670138889</v>
      </c>
      <c r="C744" s="1" t="n">
        <v>46187</v>
      </c>
      <c r="D744" t="inlineStr">
        <is>
          <t>VÄSTERBOTTENS LÄN</t>
        </is>
      </c>
      <c r="E744" t="inlineStr">
        <is>
          <t>ÅSELE</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41411-2023</t>
        </is>
      </c>
      <c r="B745" s="1" t="n">
        <v>45174.93942129629</v>
      </c>
      <c r="C745" s="1" t="n">
        <v>46187</v>
      </c>
      <c r="D745" t="inlineStr">
        <is>
          <t>VÄSTERBOTTENS LÄN</t>
        </is>
      </c>
      <c r="E745" t="inlineStr">
        <is>
          <t>ÅSELE</t>
        </is>
      </c>
      <c r="F745" t="inlineStr">
        <is>
          <t>SCA</t>
        </is>
      </c>
      <c r="G745" t="n">
        <v>12.7</v>
      </c>
      <c r="H745" t="n">
        <v>0</v>
      </c>
      <c r="I745" t="n">
        <v>0</v>
      </c>
      <c r="J745" t="n">
        <v>0</v>
      </c>
      <c r="K745" t="n">
        <v>0</v>
      </c>
      <c r="L745" t="n">
        <v>0</v>
      </c>
      <c r="M745" t="n">
        <v>0</v>
      </c>
      <c r="N745" t="n">
        <v>0</v>
      </c>
      <c r="O745" t="n">
        <v>0</v>
      </c>
      <c r="P745" t="n">
        <v>0</v>
      </c>
      <c r="Q745" t="n">
        <v>0</v>
      </c>
      <c r="R745" s="2" t="inlineStr"/>
    </row>
    <row r="746" ht="15" customHeight="1">
      <c r="A746" t="inlineStr">
        <is>
          <t>A 8634-2023</t>
        </is>
      </c>
      <c r="B746" s="1" t="n">
        <v>44977.93446759259</v>
      </c>
      <c r="C746" s="1" t="n">
        <v>46187</v>
      </c>
      <c r="D746" t="inlineStr">
        <is>
          <t>VÄSTERBOTTENS LÄN</t>
        </is>
      </c>
      <c r="E746" t="inlineStr">
        <is>
          <t>ÅSELE</t>
        </is>
      </c>
      <c r="G746" t="n">
        <v>1</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45092.35770833334</v>
      </c>
      <c r="C747" s="1" t="n">
        <v>46187</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41427-2024</t>
        </is>
      </c>
      <c r="B748" s="1" t="n">
        <v>45560.35121527778</v>
      </c>
      <c r="C748" s="1" t="n">
        <v>46187</v>
      </c>
      <c r="D748" t="inlineStr">
        <is>
          <t>VÄSTERBOTTENS LÄN</t>
        </is>
      </c>
      <c r="E748" t="inlineStr">
        <is>
          <t>ÅSELE</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28939-2024</t>
        </is>
      </c>
      <c r="B749" s="1" t="n">
        <v>45481.37263888889</v>
      </c>
      <c r="C749" s="1" t="n">
        <v>46187</v>
      </c>
      <c r="D749" t="inlineStr">
        <is>
          <t>VÄSTERBOTTENS LÄN</t>
        </is>
      </c>
      <c r="E749" t="inlineStr">
        <is>
          <t>ÅSELE</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1407-2023</t>
        </is>
      </c>
      <c r="B750" s="1" t="n">
        <v>44936</v>
      </c>
      <c r="C750" s="1" t="n">
        <v>46187</v>
      </c>
      <c r="D750" t="inlineStr">
        <is>
          <t>VÄSTERBOTTENS LÄN</t>
        </is>
      </c>
      <c r="E750" t="inlineStr">
        <is>
          <t>ÅSELE</t>
        </is>
      </c>
      <c r="G750" t="n">
        <v>11.5</v>
      </c>
      <c r="H750" t="n">
        <v>0</v>
      </c>
      <c r="I750" t="n">
        <v>0</v>
      </c>
      <c r="J750" t="n">
        <v>0</v>
      </c>
      <c r="K750" t="n">
        <v>0</v>
      </c>
      <c r="L750" t="n">
        <v>0</v>
      </c>
      <c r="M750" t="n">
        <v>0</v>
      </c>
      <c r="N750" t="n">
        <v>0</v>
      </c>
      <c r="O750" t="n">
        <v>0</v>
      </c>
      <c r="P750" t="n">
        <v>0</v>
      </c>
      <c r="Q750" t="n">
        <v>0</v>
      </c>
      <c r="R750" s="2" t="inlineStr"/>
    </row>
    <row r="751" ht="15" customHeight="1">
      <c r="A751" t="inlineStr">
        <is>
          <t>A 56646-2022</t>
        </is>
      </c>
      <c r="B751" s="1" t="n">
        <v>44888</v>
      </c>
      <c r="C751" s="1" t="n">
        <v>46187</v>
      </c>
      <c r="D751" t="inlineStr">
        <is>
          <t>VÄSTERBOTTENS LÄN</t>
        </is>
      </c>
      <c r="E751" t="inlineStr">
        <is>
          <t>ÅSELE</t>
        </is>
      </c>
      <c r="G751" t="n">
        <v>5.1</v>
      </c>
      <c r="H751" t="n">
        <v>0</v>
      </c>
      <c r="I751" t="n">
        <v>0</v>
      </c>
      <c r="J751" t="n">
        <v>0</v>
      </c>
      <c r="K751" t="n">
        <v>0</v>
      </c>
      <c r="L751" t="n">
        <v>0</v>
      </c>
      <c r="M751" t="n">
        <v>0</v>
      </c>
      <c r="N751" t="n">
        <v>0</v>
      </c>
      <c r="O751" t="n">
        <v>0</v>
      </c>
      <c r="P751" t="n">
        <v>0</v>
      </c>
      <c r="Q751" t="n">
        <v>0</v>
      </c>
      <c r="R751" s="2" t="inlineStr"/>
    </row>
    <row r="752" ht="15" customHeight="1">
      <c r="A752" t="inlineStr">
        <is>
          <t>A 10176-2024</t>
        </is>
      </c>
      <c r="B752" s="1" t="n">
        <v>45364</v>
      </c>
      <c r="C752" s="1" t="n">
        <v>46187</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14925-2023</t>
        </is>
      </c>
      <c r="B753" s="1" t="n">
        <v>45014</v>
      </c>
      <c r="C753" s="1" t="n">
        <v>46187</v>
      </c>
      <c r="D753" t="inlineStr">
        <is>
          <t>VÄSTERBOTTENS LÄN</t>
        </is>
      </c>
      <c r="E753" t="inlineStr">
        <is>
          <t>ÅSELE</t>
        </is>
      </c>
      <c r="G753" t="n">
        <v>9.4</v>
      </c>
      <c r="H753" t="n">
        <v>0</v>
      </c>
      <c r="I753" t="n">
        <v>0</v>
      </c>
      <c r="J753" t="n">
        <v>0</v>
      </c>
      <c r="K753" t="n">
        <v>0</v>
      </c>
      <c r="L753" t="n">
        <v>0</v>
      </c>
      <c r="M753" t="n">
        <v>0</v>
      </c>
      <c r="N753" t="n">
        <v>0</v>
      </c>
      <c r="O753" t="n">
        <v>0</v>
      </c>
      <c r="P753" t="n">
        <v>0</v>
      </c>
      <c r="Q753" t="n">
        <v>0</v>
      </c>
      <c r="R753" s="2" t="inlineStr"/>
    </row>
    <row r="754" ht="15" customHeight="1">
      <c r="A754" t="inlineStr">
        <is>
          <t>A 48299-2024</t>
        </is>
      </c>
      <c r="B754" s="1" t="n">
        <v>45590</v>
      </c>
      <c r="C754" s="1" t="n">
        <v>46187</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62748-2022</t>
        </is>
      </c>
      <c r="B755" s="1" t="n">
        <v>44925.93875</v>
      </c>
      <c r="C755" s="1" t="n">
        <v>46187</v>
      </c>
      <c r="D755" t="inlineStr">
        <is>
          <t>VÄSTERBOTTENS LÄN</t>
        </is>
      </c>
      <c r="E755" t="inlineStr">
        <is>
          <t>ÅSELE</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1640-2025</t>
        </is>
      </c>
      <c r="B756" s="1" t="n">
        <v>45670</v>
      </c>
      <c r="C756" s="1" t="n">
        <v>46187</v>
      </c>
      <c r="D756" t="inlineStr">
        <is>
          <t>VÄSTERBOTTENS LÄN</t>
        </is>
      </c>
      <c r="E756" t="inlineStr">
        <is>
          <t>ÅSELE</t>
        </is>
      </c>
      <c r="G756" t="n">
        <v>2.9</v>
      </c>
      <c r="H756" t="n">
        <v>0</v>
      </c>
      <c r="I756" t="n">
        <v>0</v>
      </c>
      <c r="J756" t="n">
        <v>0</v>
      </c>
      <c r="K756" t="n">
        <v>0</v>
      </c>
      <c r="L756" t="n">
        <v>0</v>
      </c>
      <c r="M756" t="n">
        <v>0</v>
      </c>
      <c r="N756" t="n">
        <v>0</v>
      </c>
      <c r="O756" t="n">
        <v>0</v>
      </c>
      <c r="P756" t="n">
        <v>0</v>
      </c>
      <c r="Q756" t="n">
        <v>0</v>
      </c>
      <c r="R756" s="2" t="inlineStr"/>
    </row>
    <row r="757" ht="15" customHeight="1">
      <c r="A757" t="inlineStr">
        <is>
          <t>A 44677-2023</t>
        </is>
      </c>
      <c r="B757" s="1" t="n">
        <v>45189</v>
      </c>
      <c r="C757" s="1" t="n">
        <v>46187</v>
      </c>
      <c r="D757" t="inlineStr">
        <is>
          <t>VÄSTERBOTTENS LÄN</t>
        </is>
      </c>
      <c r="E757" t="inlineStr">
        <is>
          <t>ÅSELE</t>
        </is>
      </c>
      <c r="G757" t="n">
        <v>7.9</v>
      </c>
      <c r="H757" t="n">
        <v>0</v>
      </c>
      <c r="I757" t="n">
        <v>0</v>
      </c>
      <c r="J757" t="n">
        <v>0</v>
      </c>
      <c r="K757" t="n">
        <v>0</v>
      </c>
      <c r="L757" t="n">
        <v>0</v>
      </c>
      <c r="M757" t="n">
        <v>0</v>
      </c>
      <c r="N757" t="n">
        <v>0</v>
      </c>
      <c r="O757" t="n">
        <v>0</v>
      </c>
      <c r="P757" t="n">
        <v>0</v>
      </c>
      <c r="Q757" t="n">
        <v>0</v>
      </c>
      <c r="R757" s="2" t="inlineStr"/>
    </row>
    <row r="758" ht="15" customHeight="1">
      <c r="A758" t="inlineStr">
        <is>
          <t>A 64949-2023</t>
        </is>
      </c>
      <c r="B758" s="1" t="n">
        <v>45282.94709490741</v>
      </c>
      <c r="C758" s="1" t="n">
        <v>46187</v>
      </c>
      <c r="D758" t="inlineStr">
        <is>
          <t>VÄSTERBOTTENS LÄN</t>
        </is>
      </c>
      <c r="E758" t="inlineStr">
        <is>
          <t>ÅSELE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4342-2023</t>
        </is>
      </c>
      <c r="B759" s="1" t="n">
        <v>44953.97421296296</v>
      </c>
      <c r="C759" s="1" t="n">
        <v>46187</v>
      </c>
      <c r="D759" t="inlineStr">
        <is>
          <t>VÄSTERBOTTENS LÄN</t>
        </is>
      </c>
      <c r="E759" t="inlineStr">
        <is>
          <t>ÅSELE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18301-2025</t>
        </is>
      </c>
      <c r="B760" s="1" t="n">
        <v>45762.43146990741</v>
      </c>
      <c r="C760" s="1" t="n">
        <v>46187</v>
      </c>
      <c r="D760" t="inlineStr">
        <is>
          <t>VÄSTERBOTTENS LÄN</t>
        </is>
      </c>
      <c r="E760" t="inlineStr">
        <is>
          <t>ÅSELE</t>
        </is>
      </c>
      <c r="G760" t="n">
        <v>7.1</v>
      </c>
      <c r="H760" t="n">
        <v>0</v>
      </c>
      <c r="I760" t="n">
        <v>0</v>
      </c>
      <c r="J760" t="n">
        <v>0</v>
      </c>
      <c r="K760" t="n">
        <v>0</v>
      </c>
      <c r="L760" t="n">
        <v>0</v>
      </c>
      <c r="M760" t="n">
        <v>0</v>
      </c>
      <c r="N760" t="n">
        <v>0</v>
      </c>
      <c r="O760" t="n">
        <v>0</v>
      </c>
      <c r="P760" t="n">
        <v>0</v>
      </c>
      <c r="Q760" t="n">
        <v>0</v>
      </c>
      <c r="R760" s="2" t="inlineStr"/>
    </row>
    <row r="761" ht="15" customHeight="1">
      <c r="A761" t="inlineStr">
        <is>
          <t>A 60868-2022</t>
        </is>
      </c>
      <c r="B761" s="1" t="n">
        <v>44908</v>
      </c>
      <c r="C761" s="1" t="n">
        <v>46187</v>
      </c>
      <c r="D761" t="inlineStr">
        <is>
          <t>VÄSTERBOTTENS LÄN</t>
        </is>
      </c>
      <c r="E761" t="inlineStr">
        <is>
          <t>ÅSELE</t>
        </is>
      </c>
      <c r="G761" t="n">
        <v>2</v>
      </c>
      <c r="H761" t="n">
        <v>0</v>
      </c>
      <c r="I761" t="n">
        <v>0</v>
      </c>
      <c r="J761" t="n">
        <v>0</v>
      </c>
      <c r="K761" t="n">
        <v>0</v>
      </c>
      <c r="L761" t="n">
        <v>0</v>
      </c>
      <c r="M761" t="n">
        <v>0</v>
      </c>
      <c r="N761" t="n">
        <v>0</v>
      </c>
      <c r="O761" t="n">
        <v>0</v>
      </c>
      <c r="P761" t="n">
        <v>0</v>
      </c>
      <c r="Q761" t="n">
        <v>0</v>
      </c>
      <c r="R761" s="2" t="inlineStr"/>
    </row>
    <row r="762" ht="15" customHeight="1">
      <c r="A762" t="inlineStr">
        <is>
          <t>A 18034-2025</t>
        </is>
      </c>
      <c r="B762" s="1" t="n">
        <v>45761</v>
      </c>
      <c r="C762" s="1" t="n">
        <v>46187</v>
      </c>
      <c r="D762" t="inlineStr">
        <is>
          <t>VÄSTERBOTTENS LÄN</t>
        </is>
      </c>
      <c r="E762" t="inlineStr">
        <is>
          <t>ÅSELE</t>
        </is>
      </c>
      <c r="G762" t="n">
        <v>6.7</v>
      </c>
      <c r="H762" t="n">
        <v>0</v>
      </c>
      <c r="I762" t="n">
        <v>0</v>
      </c>
      <c r="J762" t="n">
        <v>0</v>
      </c>
      <c r="K762" t="n">
        <v>0</v>
      </c>
      <c r="L762" t="n">
        <v>0</v>
      </c>
      <c r="M762" t="n">
        <v>0</v>
      </c>
      <c r="N762" t="n">
        <v>0</v>
      </c>
      <c r="O762" t="n">
        <v>0</v>
      </c>
      <c r="P762" t="n">
        <v>0</v>
      </c>
      <c r="Q762" t="n">
        <v>0</v>
      </c>
      <c r="R762" s="2" t="inlineStr"/>
    </row>
    <row r="763" ht="15" customHeight="1">
      <c r="A763" t="inlineStr">
        <is>
          <t>A 43768-2023</t>
        </is>
      </c>
      <c r="B763" s="1" t="n">
        <v>45187.50721064815</v>
      </c>
      <c r="C763" s="1" t="n">
        <v>46187</v>
      </c>
      <c r="D763" t="inlineStr">
        <is>
          <t>VÄSTERBOTTENS LÄN</t>
        </is>
      </c>
      <c r="E763" t="inlineStr">
        <is>
          <t>ÅSELE</t>
        </is>
      </c>
      <c r="G763" t="n">
        <v>1.7</v>
      </c>
      <c r="H763" t="n">
        <v>0</v>
      </c>
      <c r="I763" t="n">
        <v>0</v>
      </c>
      <c r="J763" t="n">
        <v>0</v>
      </c>
      <c r="K763" t="n">
        <v>0</v>
      </c>
      <c r="L763" t="n">
        <v>0</v>
      </c>
      <c r="M763" t="n">
        <v>0</v>
      </c>
      <c r="N763" t="n">
        <v>0</v>
      </c>
      <c r="O763" t="n">
        <v>0</v>
      </c>
      <c r="P763" t="n">
        <v>0</v>
      </c>
      <c r="Q763" t="n">
        <v>0</v>
      </c>
      <c r="R763" s="2" t="inlineStr"/>
    </row>
    <row r="764" ht="15" customHeight="1">
      <c r="A764" t="inlineStr">
        <is>
          <t>A 28954-2024</t>
        </is>
      </c>
      <c r="B764" s="1" t="n">
        <v>45481.40775462963</v>
      </c>
      <c r="C764" s="1" t="n">
        <v>46187</v>
      </c>
      <c r="D764" t="inlineStr">
        <is>
          <t>VÄSTERBOTTENS LÄN</t>
        </is>
      </c>
      <c r="E764" t="inlineStr">
        <is>
          <t>ÅSELE</t>
        </is>
      </c>
      <c r="F764" t="inlineStr">
        <is>
          <t>Sveaskog</t>
        </is>
      </c>
      <c r="G764" t="n">
        <v>7.1</v>
      </c>
      <c r="H764" t="n">
        <v>0</v>
      </c>
      <c r="I764" t="n">
        <v>0</v>
      </c>
      <c r="J764" t="n">
        <v>0</v>
      </c>
      <c r="K764" t="n">
        <v>0</v>
      </c>
      <c r="L764" t="n">
        <v>0</v>
      </c>
      <c r="M764" t="n">
        <v>0</v>
      </c>
      <c r="N764" t="n">
        <v>0</v>
      </c>
      <c r="O764" t="n">
        <v>0</v>
      </c>
      <c r="P764" t="n">
        <v>0</v>
      </c>
      <c r="Q764" t="n">
        <v>0</v>
      </c>
      <c r="R764" s="2" t="inlineStr"/>
    </row>
    <row r="765" ht="15" customHeight="1">
      <c r="A765" t="inlineStr">
        <is>
          <t>A 31474-2024</t>
        </is>
      </c>
      <c r="B765" s="1" t="n">
        <v>45505.95200231481</v>
      </c>
      <c r="C765" s="1" t="n">
        <v>46187</v>
      </c>
      <c r="D765" t="inlineStr">
        <is>
          <t>VÄSTERBOTTENS LÄN</t>
        </is>
      </c>
      <c r="E765" t="inlineStr">
        <is>
          <t>ÅSELE</t>
        </is>
      </c>
      <c r="F765" t="inlineStr">
        <is>
          <t>SCA</t>
        </is>
      </c>
      <c r="G765" t="n">
        <v>6.3</v>
      </c>
      <c r="H765" t="n">
        <v>0</v>
      </c>
      <c r="I765" t="n">
        <v>0</v>
      </c>
      <c r="J765" t="n">
        <v>0</v>
      </c>
      <c r="K765" t="n">
        <v>0</v>
      </c>
      <c r="L765" t="n">
        <v>0</v>
      </c>
      <c r="M765" t="n">
        <v>0</v>
      </c>
      <c r="N765" t="n">
        <v>0</v>
      </c>
      <c r="O765" t="n">
        <v>0</v>
      </c>
      <c r="P765" t="n">
        <v>0</v>
      </c>
      <c r="Q765" t="n">
        <v>0</v>
      </c>
      <c r="R765" s="2" t="inlineStr"/>
    </row>
    <row r="766" ht="15" customHeight="1">
      <c r="A766" t="inlineStr">
        <is>
          <t>A 31348-2023</t>
        </is>
      </c>
      <c r="B766" s="1" t="n">
        <v>45114.4889699074</v>
      </c>
      <c r="C766" s="1" t="n">
        <v>46187</v>
      </c>
      <c r="D766" t="inlineStr">
        <is>
          <t>VÄSTERBOTTENS LÄN</t>
        </is>
      </c>
      <c r="E766" t="inlineStr">
        <is>
          <t>ÅSELE</t>
        </is>
      </c>
      <c r="F766" t="inlineStr">
        <is>
          <t>Holmen skog AB</t>
        </is>
      </c>
      <c r="G766" t="n">
        <v>5.8</v>
      </c>
      <c r="H766" t="n">
        <v>0</v>
      </c>
      <c r="I766" t="n">
        <v>0</v>
      </c>
      <c r="J766" t="n">
        <v>0</v>
      </c>
      <c r="K766" t="n">
        <v>0</v>
      </c>
      <c r="L766" t="n">
        <v>0</v>
      </c>
      <c r="M766" t="n">
        <v>0</v>
      </c>
      <c r="N766" t="n">
        <v>0</v>
      </c>
      <c r="O766" t="n">
        <v>0</v>
      </c>
      <c r="P766" t="n">
        <v>0</v>
      </c>
      <c r="Q766" t="n">
        <v>0</v>
      </c>
      <c r="R766" s="2" t="inlineStr"/>
    </row>
    <row r="767" ht="15" customHeight="1">
      <c r="A767" t="inlineStr">
        <is>
          <t>A 27868-2023</t>
        </is>
      </c>
      <c r="B767" s="1" t="n">
        <v>45098</v>
      </c>
      <c r="C767" s="1" t="n">
        <v>46187</v>
      </c>
      <c r="D767" t="inlineStr">
        <is>
          <t>VÄSTERBOTTENS LÄN</t>
        </is>
      </c>
      <c r="E767" t="inlineStr">
        <is>
          <t>ÅSELE</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70186-2021</t>
        </is>
      </c>
      <c r="B768" s="1" t="n">
        <v>44533.94483796296</v>
      </c>
      <c r="C768" s="1" t="n">
        <v>46187</v>
      </c>
      <c r="D768" t="inlineStr">
        <is>
          <t>VÄSTERBOTTENS LÄN</t>
        </is>
      </c>
      <c r="E768" t="inlineStr">
        <is>
          <t>ÅSELE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8724-2025</t>
        </is>
      </c>
      <c r="B769" s="1" t="n">
        <v>45712.51121527778</v>
      </c>
      <c r="C769" s="1" t="n">
        <v>46187</v>
      </c>
      <c r="D769" t="inlineStr">
        <is>
          <t>VÄSTERBOTTENS LÄN</t>
        </is>
      </c>
      <c r="E769" t="inlineStr">
        <is>
          <t>ÅSELE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39989-2023</t>
        </is>
      </c>
      <c r="B770" s="1" t="n">
        <v>45167</v>
      </c>
      <c r="C770" s="1" t="n">
        <v>46187</v>
      </c>
      <c r="D770" t="inlineStr">
        <is>
          <t>VÄSTERBOTTENS LÄN</t>
        </is>
      </c>
      <c r="E770" t="inlineStr">
        <is>
          <t>ÅSELE</t>
        </is>
      </c>
      <c r="G770" t="n">
        <v>5.2</v>
      </c>
      <c r="H770" t="n">
        <v>0</v>
      </c>
      <c r="I770" t="n">
        <v>0</v>
      </c>
      <c r="J770" t="n">
        <v>0</v>
      </c>
      <c r="K770" t="n">
        <v>0</v>
      </c>
      <c r="L770" t="n">
        <v>0</v>
      </c>
      <c r="M770" t="n">
        <v>0</v>
      </c>
      <c r="N770" t="n">
        <v>0</v>
      </c>
      <c r="O770" t="n">
        <v>0</v>
      </c>
      <c r="P770" t="n">
        <v>0</v>
      </c>
      <c r="Q770" t="n">
        <v>0</v>
      </c>
      <c r="R770" s="2" t="inlineStr"/>
    </row>
    <row r="771" ht="15" customHeight="1">
      <c r="A771" t="inlineStr">
        <is>
          <t>A 31118-2024</t>
        </is>
      </c>
      <c r="B771" s="1" t="n">
        <v>45502</v>
      </c>
      <c r="C771" s="1" t="n">
        <v>46187</v>
      </c>
      <c r="D771" t="inlineStr">
        <is>
          <t>VÄSTERBOTTENS LÄN</t>
        </is>
      </c>
      <c r="E771" t="inlineStr">
        <is>
          <t>ÅSELE</t>
        </is>
      </c>
      <c r="F771" t="inlineStr">
        <is>
          <t>Holmen skog AB</t>
        </is>
      </c>
      <c r="G771" t="n">
        <v>1.6</v>
      </c>
      <c r="H771" t="n">
        <v>0</v>
      </c>
      <c r="I771" t="n">
        <v>0</v>
      </c>
      <c r="J771" t="n">
        <v>0</v>
      </c>
      <c r="K771" t="n">
        <v>0</v>
      </c>
      <c r="L771" t="n">
        <v>0</v>
      </c>
      <c r="M771" t="n">
        <v>0</v>
      </c>
      <c r="N771" t="n">
        <v>0</v>
      </c>
      <c r="O771" t="n">
        <v>0</v>
      </c>
      <c r="P771" t="n">
        <v>0</v>
      </c>
      <c r="Q771" t="n">
        <v>0</v>
      </c>
      <c r="R771" s="2" t="inlineStr"/>
    </row>
    <row r="772" ht="15" customHeight="1">
      <c r="A772" t="inlineStr">
        <is>
          <t>A 45297-2024</t>
        </is>
      </c>
      <c r="B772" s="1" t="n">
        <v>45576.40248842593</v>
      </c>
      <c r="C772" s="1" t="n">
        <v>46187</v>
      </c>
      <c r="D772" t="inlineStr">
        <is>
          <t>VÄSTERBOTTENS LÄN</t>
        </is>
      </c>
      <c r="E772" t="inlineStr">
        <is>
          <t>ÅSELE</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36115-2024</t>
        </is>
      </c>
      <c r="B773" s="1" t="n">
        <v>45534.30681712963</v>
      </c>
      <c r="C773" s="1" t="n">
        <v>46187</v>
      </c>
      <c r="D773" t="inlineStr">
        <is>
          <t>VÄSTERBOTTENS LÄN</t>
        </is>
      </c>
      <c r="E773" t="inlineStr">
        <is>
          <t>ÅSELE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29599-2024</t>
        </is>
      </c>
      <c r="B774" s="1" t="n">
        <v>45484.59297453704</v>
      </c>
      <c r="C774" s="1" t="n">
        <v>46187</v>
      </c>
      <c r="D774" t="inlineStr">
        <is>
          <t>VÄSTERBOTTENS LÄN</t>
        </is>
      </c>
      <c r="E774" t="inlineStr">
        <is>
          <t>ÅSELE</t>
        </is>
      </c>
      <c r="F774" t="inlineStr">
        <is>
          <t>Sveaskog</t>
        </is>
      </c>
      <c r="G774" t="n">
        <v>5.7</v>
      </c>
      <c r="H774" t="n">
        <v>0</v>
      </c>
      <c r="I774" t="n">
        <v>0</v>
      </c>
      <c r="J774" t="n">
        <v>0</v>
      </c>
      <c r="K774" t="n">
        <v>0</v>
      </c>
      <c r="L774" t="n">
        <v>0</v>
      </c>
      <c r="M774" t="n">
        <v>0</v>
      </c>
      <c r="N774" t="n">
        <v>0</v>
      </c>
      <c r="O774" t="n">
        <v>0</v>
      </c>
      <c r="P774" t="n">
        <v>0</v>
      </c>
      <c r="Q774" t="n">
        <v>0</v>
      </c>
      <c r="R774" s="2" t="inlineStr"/>
    </row>
    <row r="775" ht="15" customHeight="1">
      <c r="A775" t="inlineStr">
        <is>
          <t>A 4084-2023</t>
        </is>
      </c>
      <c r="B775" s="1" t="n">
        <v>44952</v>
      </c>
      <c r="C775" s="1" t="n">
        <v>46187</v>
      </c>
      <c r="D775" t="inlineStr">
        <is>
          <t>VÄSTERBOTTENS LÄN</t>
        </is>
      </c>
      <c r="E775" t="inlineStr">
        <is>
          <t>ÅSELE</t>
        </is>
      </c>
      <c r="G775" t="n">
        <v>4.5</v>
      </c>
      <c r="H775" t="n">
        <v>0</v>
      </c>
      <c r="I775" t="n">
        <v>0</v>
      </c>
      <c r="J775" t="n">
        <v>0</v>
      </c>
      <c r="K775" t="n">
        <v>0</v>
      </c>
      <c r="L775" t="n">
        <v>0</v>
      </c>
      <c r="M775" t="n">
        <v>0</v>
      </c>
      <c r="N775" t="n">
        <v>0</v>
      </c>
      <c r="O775" t="n">
        <v>0</v>
      </c>
      <c r="P775" t="n">
        <v>0</v>
      </c>
      <c r="Q775" t="n">
        <v>0</v>
      </c>
      <c r="R775" s="2" t="inlineStr"/>
    </row>
    <row r="776" ht="15" customHeight="1">
      <c r="A776" t="inlineStr">
        <is>
          <t>A 2608-2024</t>
        </is>
      </c>
      <c r="B776" s="1" t="n">
        <v>45313.76722222222</v>
      </c>
      <c r="C776" s="1" t="n">
        <v>46187</v>
      </c>
      <c r="D776" t="inlineStr">
        <is>
          <t>VÄSTERBOTTENS LÄN</t>
        </is>
      </c>
      <c r="E776" t="inlineStr">
        <is>
          <t>ÅSELE</t>
        </is>
      </c>
      <c r="F776" t="inlineStr">
        <is>
          <t>Övriga Aktiebolag</t>
        </is>
      </c>
      <c r="G776" t="n">
        <v>20.6</v>
      </c>
      <c r="H776" t="n">
        <v>0</v>
      </c>
      <c r="I776" t="n">
        <v>0</v>
      </c>
      <c r="J776" t="n">
        <v>0</v>
      </c>
      <c r="K776" t="n">
        <v>0</v>
      </c>
      <c r="L776" t="n">
        <v>0</v>
      </c>
      <c r="M776" t="n">
        <v>0</v>
      </c>
      <c r="N776" t="n">
        <v>0</v>
      </c>
      <c r="O776" t="n">
        <v>0</v>
      </c>
      <c r="P776" t="n">
        <v>0</v>
      </c>
      <c r="Q776" t="n">
        <v>0</v>
      </c>
      <c r="R776" s="2" t="inlineStr"/>
    </row>
    <row r="777" ht="15" customHeight="1">
      <c r="A777" t="inlineStr">
        <is>
          <t>A 6682-2024</t>
        </is>
      </c>
      <c r="B777" s="1" t="n">
        <v>45341.92533564815</v>
      </c>
      <c r="C777" s="1" t="n">
        <v>46187</v>
      </c>
      <c r="D777" t="inlineStr">
        <is>
          <t>VÄSTERBOTTENS LÄN</t>
        </is>
      </c>
      <c r="E777" t="inlineStr">
        <is>
          <t>ÅSELE</t>
        </is>
      </c>
      <c r="G777" t="n">
        <v>0.4</v>
      </c>
      <c r="H777" t="n">
        <v>0</v>
      </c>
      <c r="I777" t="n">
        <v>0</v>
      </c>
      <c r="J777" t="n">
        <v>0</v>
      </c>
      <c r="K777" t="n">
        <v>0</v>
      </c>
      <c r="L777" t="n">
        <v>0</v>
      </c>
      <c r="M777" t="n">
        <v>0</v>
      </c>
      <c r="N777" t="n">
        <v>0</v>
      </c>
      <c r="O777" t="n">
        <v>0</v>
      </c>
      <c r="P777" t="n">
        <v>0</v>
      </c>
      <c r="Q777" t="n">
        <v>0</v>
      </c>
      <c r="R777" s="2" t="inlineStr"/>
    </row>
    <row r="778" ht="15" customHeight="1">
      <c r="A778" t="inlineStr">
        <is>
          <t>A 55615-2024</t>
        </is>
      </c>
      <c r="B778" s="1" t="n">
        <v>45622.58969907407</v>
      </c>
      <c r="C778" s="1" t="n">
        <v>46187</v>
      </c>
      <c r="D778" t="inlineStr">
        <is>
          <t>VÄSTERBOTTENS LÄN</t>
        </is>
      </c>
      <c r="E778" t="inlineStr">
        <is>
          <t>ÅSELE</t>
        </is>
      </c>
      <c r="G778" t="n">
        <v>1.2</v>
      </c>
      <c r="H778" t="n">
        <v>0</v>
      </c>
      <c r="I778" t="n">
        <v>0</v>
      </c>
      <c r="J778" t="n">
        <v>0</v>
      </c>
      <c r="K778" t="n">
        <v>0</v>
      </c>
      <c r="L778" t="n">
        <v>0</v>
      </c>
      <c r="M778" t="n">
        <v>0</v>
      </c>
      <c r="N778" t="n">
        <v>0</v>
      </c>
      <c r="O778" t="n">
        <v>0</v>
      </c>
      <c r="P778" t="n">
        <v>0</v>
      </c>
      <c r="Q778" t="n">
        <v>0</v>
      </c>
      <c r="R778" s="2" t="inlineStr"/>
    </row>
    <row r="779" ht="15" customHeight="1">
      <c r="A779" t="inlineStr">
        <is>
          <t>A 3111-2024</t>
        </is>
      </c>
      <c r="B779" s="1" t="n">
        <v>45316</v>
      </c>
      <c r="C779" s="1" t="n">
        <v>46187</v>
      </c>
      <c r="D779" t="inlineStr">
        <is>
          <t>VÄSTERBOTTENS LÄN</t>
        </is>
      </c>
      <c r="E779" t="inlineStr">
        <is>
          <t>ÅSELE</t>
        </is>
      </c>
      <c r="G779" t="n">
        <v>1.6</v>
      </c>
      <c r="H779" t="n">
        <v>0</v>
      </c>
      <c r="I779" t="n">
        <v>0</v>
      </c>
      <c r="J779" t="n">
        <v>0</v>
      </c>
      <c r="K779" t="n">
        <v>0</v>
      </c>
      <c r="L779" t="n">
        <v>0</v>
      </c>
      <c r="M779" t="n">
        <v>0</v>
      </c>
      <c r="N779" t="n">
        <v>0</v>
      </c>
      <c r="O779" t="n">
        <v>0</v>
      </c>
      <c r="P779" t="n">
        <v>0</v>
      </c>
      <c r="Q779" t="n">
        <v>0</v>
      </c>
      <c r="R779" s="2" t="inlineStr"/>
    </row>
    <row r="780" ht="15" customHeight="1">
      <c r="A780" t="inlineStr">
        <is>
          <t>A 52772-2024</t>
        </is>
      </c>
      <c r="B780" s="1" t="n">
        <v>45610</v>
      </c>
      <c r="C780" s="1" t="n">
        <v>46187</v>
      </c>
      <c r="D780" t="inlineStr">
        <is>
          <t>VÄSTERBOTTENS LÄN</t>
        </is>
      </c>
      <c r="E780" t="inlineStr">
        <is>
          <t>ÅSELE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34189-2021</t>
        </is>
      </c>
      <c r="B781" s="1" t="n">
        <v>44379.50560185185</v>
      </c>
      <c r="C781" s="1" t="n">
        <v>46187</v>
      </c>
      <c r="D781" t="inlineStr">
        <is>
          <t>VÄSTERBOTTENS LÄN</t>
        </is>
      </c>
      <c r="E781" t="inlineStr">
        <is>
          <t>ÅSELE</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56572-2022</t>
        </is>
      </c>
      <c r="B782" s="1" t="n">
        <v>44888</v>
      </c>
      <c r="C782" s="1" t="n">
        <v>46187</v>
      </c>
      <c r="D782" t="inlineStr">
        <is>
          <t>VÄSTERBOTTENS LÄN</t>
        </is>
      </c>
      <c r="E782" t="inlineStr">
        <is>
          <t>ÅSELE</t>
        </is>
      </c>
      <c r="G782" t="n">
        <v>1.1</v>
      </c>
      <c r="H782" t="n">
        <v>0</v>
      </c>
      <c r="I782" t="n">
        <v>0</v>
      </c>
      <c r="J782" t="n">
        <v>0</v>
      </c>
      <c r="K782" t="n">
        <v>0</v>
      </c>
      <c r="L782" t="n">
        <v>0</v>
      </c>
      <c r="M782" t="n">
        <v>0</v>
      </c>
      <c r="N782" t="n">
        <v>0</v>
      </c>
      <c r="O782" t="n">
        <v>0</v>
      </c>
      <c r="P782" t="n">
        <v>0</v>
      </c>
      <c r="Q782" t="n">
        <v>0</v>
      </c>
      <c r="R782" s="2" t="inlineStr"/>
    </row>
    <row r="783" ht="15" customHeight="1">
      <c r="A783" t="inlineStr">
        <is>
          <t>A 41408-2024</t>
        </is>
      </c>
      <c r="B783" s="1" t="n">
        <v>45560.34202546296</v>
      </c>
      <c r="C783" s="1" t="n">
        <v>46187</v>
      </c>
      <c r="D783" t="inlineStr">
        <is>
          <t>VÄSTERBOTTENS LÄN</t>
        </is>
      </c>
      <c r="E783" t="inlineStr">
        <is>
          <t>ÅSELE</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2609-2024</t>
        </is>
      </c>
      <c r="B784" s="1" t="n">
        <v>45313</v>
      </c>
      <c r="C784" s="1" t="n">
        <v>46187</v>
      </c>
      <c r="D784" t="inlineStr">
        <is>
          <t>VÄSTERBOTTENS LÄN</t>
        </is>
      </c>
      <c r="E784" t="inlineStr">
        <is>
          <t>ÅSELE</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46187</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46187</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61330-2024</t>
        </is>
      </c>
      <c r="B787" s="1" t="n">
        <v>45645</v>
      </c>
      <c r="C787" s="1" t="n">
        <v>46187</v>
      </c>
      <c r="D787" t="inlineStr">
        <is>
          <t>VÄSTERBOTTENS LÄN</t>
        </is>
      </c>
      <c r="E787" t="inlineStr">
        <is>
          <t>ÅSELE</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65038-2023</t>
        </is>
      </c>
      <c r="B788" s="1" t="n">
        <v>45282</v>
      </c>
      <c r="C788" s="1" t="n">
        <v>46187</v>
      </c>
      <c r="D788" t="inlineStr">
        <is>
          <t>VÄSTERBOTTENS LÄN</t>
        </is>
      </c>
      <c r="E788" t="inlineStr">
        <is>
          <t>ÅSELE</t>
        </is>
      </c>
      <c r="G788" t="n">
        <v>1</v>
      </c>
      <c r="H788" t="n">
        <v>0</v>
      </c>
      <c r="I788" t="n">
        <v>0</v>
      </c>
      <c r="J788" t="n">
        <v>0</v>
      </c>
      <c r="K788" t="n">
        <v>0</v>
      </c>
      <c r="L788" t="n">
        <v>0</v>
      </c>
      <c r="M788" t="n">
        <v>0</v>
      </c>
      <c r="N788" t="n">
        <v>0</v>
      </c>
      <c r="O788" t="n">
        <v>0</v>
      </c>
      <c r="P788" t="n">
        <v>0</v>
      </c>
      <c r="Q788" t="n">
        <v>0</v>
      </c>
      <c r="R788" s="2" t="inlineStr"/>
    </row>
    <row r="789" ht="15" customHeight="1">
      <c r="A789" t="inlineStr">
        <is>
          <t>A 1275-2025</t>
        </is>
      </c>
      <c r="B789" s="1" t="n">
        <v>45666</v>
      </c>
      <c r="C789" s="1" t="n">
        <v>46187</v>
      </c>
      <c r="D789" t="inlineStr">
        <is>
          <t>VÄSTERBOTTENS LÄN</t>
        </is>
      </c>
      <c r="E789" t="inlineStr">
        <is>
          <t>ÅSELE</t>
        </is>
      </c>
      <c r="G789" t="n">
        <v>8.1</v>
      </c>
      <c r="H789" t="n">
        <v>0</v>
      </c>
      <c r="I789" t="n">
        <v>0</v>
      </c>
      <c r="J789" t="n">
        <v>0</v>
      </c>
      <c r="K789" t="n">
        <v>0</v>
      </c>
      <c r="L789" t="n">
        <v>0</v>
      </c>
      <c r="M789" t="n">
        <v>0</v>
      </c>
      <c r="N789" t="n">
        <v>0</v>
      </c>
      <c r="O789" t="n">
        <v>0</v>
      </c>
      <c r="P789" t="n">
        <v>0</v>
      </c>
      <c r="Q789" t="n">
        <v>0</v>
      </c>
      <c r="R789" s="2" t="inlineStr"/>
    </row>
    <row r="790" ht="15" customHeight="1">
      <c r="A790" t="inlineStr">
        <is>
          <t>A 63060-2023</t>
        </is>
      </c>
      <c r="B790" s="1" t="n">
        <v>45272.95590277778</v>
      </c>
      <c r="C790" s="1" t="n">
        <v>46187</v>
      </c>
      <c r="D790" t="inlineStr">
        <is>
          <t>VÄSTERBOTTENS LÄN</t>
        </is>
      </c>
      <c r="E790" t="inlineStr">
        <is>
          <t>ÅSELE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13403-2025</t>
        </is>
      </c>
      <c r="B791" s="1" t="n">
        <v>45735</v>
      </c>
      <c r="C791" s="1" t="n">
        <v>46187</v>
      </c>
      <c r="D791" t="inlineStr">
        <is>
          <t>VÄSTERBOTTENS LÄN</t>
        </is>
      </c>
      <c r="E791" t="inlineStr">
        <is>
          <t>ÅSELE</t>
        </is>
      </c>
      <c r="G791" t="n">
        <v>1.6</v>
      </c>
      <c r="H791" t="n">
        <v>0</v>
      </c>
      <c r="I791" t="n">
        <v>0</v>
      </c>
      <c r="J791" t="n">
        <v>0</v>
      </c>
      <c r="K791" t="n">
        <v>0</v>
      </c>
      <c r="L791" t="n">
        <v>0</v>
      </c>
      <c r="M791" t="n">
        <v>0</v>
      </c>
      <c r="N791" t="n">
        <v>0</v>
      </c>
      <c r="O791" t="n">
        <v>0</v>
      </c>
      <c r="P791" t="n">
        <v>0</v>
      </c>
      <c r="Q791" t="n">
        <v>0</v>
      </c>
      <c r="R791" s="2" t="inlineStr"/>
    </row>
    <row r="792" ht="15" customHeight="1">
      <c r="A792" t="inlineStr">
        <is>
          <t>A 31119-2023</t>
        </is>
      </c>
      <c r="B792" s="1" t="n">
        <v>45099</v>
      </c>
      <c r="C792" s="1" t="n">
        <v>46187</v>
      </c>
      <c r="D792" t="inlineStr">
        <is>
          <t>VÄSTERBOTTENS LÄN</t>
        </is>
      </c>
      <c r="E792" t="inlineStr">
        <is>
          <t>ÅSELE</t>
        </is>
      </c>
      <c r="G792" t="n">
        <v>5</v>
      </c>
      <c r="H792" t="n">
        <v>0</v>
      </c>
      <c r="I792" t="n">
        <v>0</v>
      </c>
      <c r="J792" t="n">
        <v>0</v>
      </c>
      <c r="K792" t="n">
        <v>0</v>
      </c>
      <c r="L792" t="n">
        <v>0</v>
      </c>
      <c r="M792" t="n">
        <v>0</v>
      </c>
      <c r="N792" t="n">
        <v>0</v>
      </c>
      <c r="O792" t="n">
        <v>0</v>
      </c>
      <c r="P792" t="n">
        <v>0</v>
      </c>
      <c r="Q792" t="n">
        <v>0</v>
      </c>
      <c r="R792" s="2" t="inlineStr"/>
    </row>
    <row r="793">
      <c r="A793" t="inlineStr">
        <is>
          <t>A 39401-2022</t>
        </is>
      </c>
      <c r="B793" s="1" t="n">
        <v>44817.94894675926</v>
      </c>
      <c r="C793" s="1" t="n">
        <v>46187</v>
      </c>
      <c r="D793" t="inlineStr">
        <is>
          <t>VÄSTERBOTTENS LÄN</t>
        </is>
      </c>
      <c r="E793" t="inlineStr">
        <is>
          <t>ÅSELE</t>
        </is>
      </c>
      <c r="F793" t="inlineStr">
        <is>
          <t>SCA</t>
        </is>
      </c>
      <c r="G793" t="n">
        <v>3.2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2026-06-14T09:27:09Z</dcterms:created>
  <dcterms:modified xmlns:dcterms="http://purl.org/dc/terms/" xmlns:xsi="http://www.w3.org/2001/XMLSchema-instance" xsi:type="dcterms:W3CDTF">2026-06-14T09:27:09Z</dcterms:modified>
</cp:coreProperties>
</file>