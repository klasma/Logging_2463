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45629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45629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45629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45629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45629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45629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45629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45629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45629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45629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45629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43837-2020</t>
        </is>
      </c>
      <c r="B13" s="1" t="n">
        <v>44082</v>
      </c>
      <c r="C13" s="1" t="n">
        <v>45629</v>
      </c>
      <c r="D13" t="inlineStr">
        <is>
          <t>VÄSTERBOTTENS LÄN</t>
        </is>
      </c>
      <c r="E13" t="inlineStr">
        <is>
          <t>ÅSELE</t>
        </is>
      </c>
      <c r="F13" t="inlineStr">
        <is>
          <t>SCA</t>
        </is>
      </c>
      <c r="G13" t="n">
        <v>3.8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Granticka
Tretåig hackspett
Stuplav
Vedticka
Vågbandad barkbock</t>
        </is>
      </c>
      <c r="S13">
        <f>HYPERLINK("https://klasma.github.io/Logging_2463/artfynd/A 43837-2020 artfynd.xlsx", "A 43837-2020")</f>
        <v/>
      </c>
      <c r="T13">
        <f>HYPERLINK("https://klasma.github.io/Logging_2463/kartor/A 43837-2020 karta.png", "A 43837-2020")</f>
        <v/>
      </c>
      <c r="V13">
        <f>HYPERLINK("https://klasma.github.io/Logging_2463/klagomål/A 43837-2020 FSC-klagomål.docx", "A 43837-2020")</f>
        <v/>
      </c>
      <c r="W13">
        <f>HYPERLINK("https://klasma.github.io/Logging_2463/klagomålsmail/A 43837-2020 FSC-klagomål mail.docx", "A 43837-2020")</f>
        <v/>
      </c>
      <c r="X13">
        <f>HYPERLINK("https://klasma.github.io/Logging_2463/tillsyn/A 43837-2020 tillsynsbegäran.docx", "A 43837-2020")</f>
        <v/>
      </c>
      <c r="Y13">
        <f>HYPERLINK("https://klasma.github.io/Logging_2463/tillsynsmail/A 43837-2020 tillsynsbegäran mail.docx", "A 43837-2020")</f>
        <v/>
      </c>
      <c r="Z13">
        <f>HYPERLINK("https://klasma.github.io/Logging_2463/fåglar/A 43837-2020 prioriterade fågelarter.docx", "A 43837-2020")</f>
        <v/>
      </c>
    </row>
    <row r="14" ht="15" customHeight="1">
      <c r="A14" t="inlineStr">
        <is>
          <t>A 54166-2020</t>
        </is>
      </c>
      <c r="B14" s="1" t="n">
        <v>44125</v>
      </c>
      <c r="C14" s="1" t="n">
        <v>45629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11.3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Granticka
Lunglav
Skogshare
Vedtrappmossa
Bollvitmossa
Skinnlav</t>
        </is>
      </c>
      <c r="S14">
        <f>HYPERLINK("https://klasma.github.io/Logging_2463/artfynd/A 54166-2020 artfynd.xlsx", "A 54166-2020")</f>
        <v/>
      </c>
      <c r="T14">
        <f>HYPERLINK("https://klasma.github.io/Logging_2463/kartor/A 54166-2020 karta.png", "A 54166-2020")</f>
        <v/>
      </c>
      <c r="V14">
        <f>HYPERLINK("https://klasma.github.io/Logging_2463/klagomål/A 54166-2020 FSC-klagomål.docx", "A 54166-2020")</f>
        <v/>
      </c>
      <c r="W14">
        <f>HYPERLINK("https://klasma.github.io/Logging_2463/klagomålsmail/A 54166-2020 FSC-klagomål mail.docx", "A 54166-2020")</f>
        <v/>
      </c>
      <c r="X14">
        <f>HYPERLINK("https://klasma.github.io/Logging_2463/tillsyn/A 54166-2020 tillsynsbegäran.docx", "A 54166-2020")</f>
        <v/>
      </c>
      <c r="Y14">
        <f>HYPERLINK("https://klasma.github.io/Logging_2463/tillsynsmail/A 54166-2020 tillsynsbegäran mail.docx", "A 54166-2020")</f>
        <v/>
      </c>
    </row>
    <row r="15" ht="15" customHeight="1">
      <c r="A15" t="inlineStr">
        <is>
          <t>A 30946-2023</t>
        </is>
      </c>
      <c r="B15" s="1" t="n">
        <v>45113</v>
      </c>
      <c r="C15" s="1" t="n">
        <v>45629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19.7</v>
      </c>
      <c r="H15" t="n">
        <v>2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Lunglav
Talltita
Tretåig hackspett
Stuplav</t>
        </is>
      </c>
      <c r="S15">
        <f>HYPERLINK("https://klasma.github.io/Logging_2463/artfynd/A 30946-2023 artfynd.xlsx", "A 30946-2023")</f>
        <v/>
      </c>
      <c r="T15">
        <f>HYPERLINK("https://klasma.github.io/Logging_2463/kartor/A 30946-2023 karta.png", "A 30946-2023")</f>
        <v/>
      </c>
      <c r="V15">
        <f>HYPERLINK("https://klasma.github.io/Logging_2463/klagomål/A 30946-2023 FSC-klagomål.docx", "A 30946-2023")</f>
        <v/>
      </c>
      <c r="W15">
        <f>HYPERLINK("https://klasma.github.io/Logging_2463/klagomålsmail/A 30946-2023 FSC-klagomål mail.docx", "A 30946-2023")</f>
        <v/>
      </c>
      <c r="X15">
        <f>HYPERLINK("https://klasma.github.io/Logging_2463/tillsyn/A 30946-2023 tillsynsbegäran.docx", "A 30946-2023")</f>
        <v/>
      </c>
      <c r="Y15">
        <f>HYPERLINK("https://klasma.github.io/Logging_2463/tillsynsmail/A 30946-2023 tillsynsbegäran mail.docx", "A 30946-2023")</f>
        <v/>
      </c>
      <c r="Z15">
        <f>HYPERLINK("https://klasma.github.io/Logging_2463/fåglar/A 30946-2023 prioriterade fågelarter.docx", "A 30946-2023")</f>
        <v/>
      </c>
    </row>
    <row r="16" ht="15" customHeight="1">
      <c r="A16" t="inlineStr">
        <is>
          <t>A 2601-2024</t>
        </is>
      </c>
      <c r="B16" s="1" t="n">
        <v>45313</v>
      </c>
      <c r="C16" s="1" t="n">
        <v>45629</v>
      </c>
      <c r="D16" t="inlineStr">
        <is>
          <t>VÄSTERBOTTENS LÄN</t>
        </is>
      </c>
      <c r="E16" t="inlineStr">
        <is>
          <t>ÅSELE</t>
        </is>
      </c>
      <c r="F16" t="inlineStr">
        <is>
          <t>Övriga Aktiebolag</t>
        </is>
      </c>
      <c r="G16" t="n">
        <v>6</v>
      </c>
      <c r="H16" t="n">
        <v>0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Blanksvart spiklav
Dvärgbägarlav
Gammelgransskål
Lunglav
Ullticka
Vedskivlav</t>
        </is>
      </c>
      <c r="S16">
        <f>HYPERLINK("https://klasma.github.io/Logging_2463/artfynd/A 2601-2024 artfynd.xlsx", "A 2601-2024")</f>
        <v/>
      </c>
      <c r="T16">
        <f>HYPERLINK("https://klasma.github.io/Logging_2463/kartor/A 2601-2024 karta.png", "A 2601-2024")</f>
        <v/>
      </c>
      <c r="V16">
        <f>HYPERLINK("https://klasma.github.io/Logging_2463/klagomål/A 2601-2024 FSC-klagomål.docx", "A 2601-2024")</f>
        <v/>
      </c>
      <c r="W16">
        <f>HYPERLINK("https://klasma.github.io/Logging_2463/klagomålsmail/A 2601-2024 FSC-klagomål mail.docx", "A 2601-2024")</f>
        <v/>
      </c>
      <c r="X16">
        <f>HYPERLINK("https://klasma.github.io/Logging_2463/tillsyn/A 2601-2024 tillsynsbegäran.docx", "A 2601-2024")</f>
        <v/>
      </c>
      <c r="Y16">
        <f>HYPERLINK("https://klasma.github.io/Logging_2463/tillsynsmail/A 2601-2024 tillsynsbegäran mail.docx", "A 2601-2024")</f>
        <v/>
      </c>
    </row>
    <row r="17" ht="15" customHeight="1">
      <c r="A17" t="inlineStr">
        <is>
          <t>A 33768-2020</t>
        </is>
      </c>
      <c r="B17" s="1" t="n">
        <v>44026</v>
      </c>
      <c r="C17" s="1" t="n">
        <v>45629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5.5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Gammelgransskål
Granticka
Harticka
Lunglav
Tretåig hackspett</t>
        </is>
      </c>
      <c r="S17">
        <f>HYPERLINK("https://klasma.github.io/Logging_2463/artfynd/A 33768-2020 artfynd.xlsx", "A 33768-2020")</f>
        <v/>
      </c>
      <c r="T17">
        <f>HYPERLINK("https://klasma.github.io/Logging_2463/kartor/A 33768-2020 karta.png", "A 33768-2020")</f>
        <v/>
      </c>
      <c r="V17">
        <f>HYPERLINK("https://klasma.github.io/Logging_2463/klagomål/A 33768-2020 FSC-klagomål.docx", "A 33768-2020")</f>
        <v/>
      </c>
      <c r="W17">
        <f>HYPERLINK("https://klasma.github.io/Logging_2463/klagomålsmail/A 33768-2020 FSC-klagomål mail.docx", "A 33768-2020")</f>
        <v/>
      </c>
      <c r="X17">
        <f>HYPERLINK("https://klasma.github.io/Logging_2463/tillsyn/A 33768-2020 tillsynsbegäran.docx", "A 33768-2020")</f>
        <v/>
      </c>
      <c r="Y17">
        <f>HYPERLINK("https://klasma.github.io/Logging_2463/tillsynsmail/A 33768-2020 tillsynsbegäran mail.docx", "A 33768-2020")</f>
        <v/>
      </c>
      <c r="Z17">
        <f>HYPERLINK("https://klasma.github.io/Logging_2463/fåglar/A 33768-2020 prioriterade fågelarter.docx", "A 33768-2020")</f>
        <v/>
      </c>
    </row>
    <row r="18" ht="15" customHeight="1">
      <c r="A18" t="inlineStr">
        <is>
          <t>A 54138-2021</t>
        </is>
      </c>
      <c r="B18" s="1" t="n">
        <v>44470</v>
      </c>
      <c r="C18" s="1" t="n">
        <v>45629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22.1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Lunglav
Motaggsvamp
Mörk kolflarnlav
Tallvägstekel
Skarp dropptaggsvamp</t>
        </is>
      </c>
      <c r="S18">
        <f>HYPERLINK("https://klasma.github.io/Logging_2463/artfynd/A 54138-2021 artfynd.xlsx", "A 54138-2021")</f>
        <v/>
      </c>
      <c r="T18">
        <f>HYPERLINK("https://klasma.github.io/Logging_2463/kartor/A 54138-2021 karta.png", "A 54138-2021")</f>
        <v/>
      </c>
      <c r="V18">
        <f>HYPERLINK("https://klasma.github.io/Logging_2463/klagomål/A 54138-2021 FSC-klagomål.docx", "A 54138-2021")</f>
        <v/>
      </c>
      <c r="W18">
        <f>HYPERLINK("https://klasma.github.io/Logging_2463/klagomålsmail/A 54138-2021 FSC-klagomål mail.docx", "A 54138-2021")</f>
        <v/>
      </c>
      <c r="X18">
        <f>HYPERLINK("https://klasma.github.io/Logging_2463/tillsyn/A 54138-2021 tillsynsbegäran.docx", "A 54138-2021")</f>
        <v/>
      </c>
      <c r="Y18">
        <f>HYPERLINK("https://klasma.github.io/Logging_2463/tillsynsmail/A 54138-2021 tillsynsbegäran mail.docx", "A 54138-2021")</f>
        <v/>
      </c>
    </row>
    <row r="19" ht="15" customHeight="1">
      <c r="A19" t="inlineStr">
        <is>
          <t>A 61301-2021</t>
        </is>
      </c>
      <c r="B19" s="1" t="n">
        <v>44498</v>
      </c>
      <c r="C19" s="1" t="n">
        <v>45629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24.7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Harticka
Lunglav
Skrovellav
Stuplav</t>
        </is>
      </c>
      <c r="S19">
        <f>HYPERLINK("https://klasma.github.io/Logging_2463/artfynd/A 61301-2021 artfynd.xlsx", "A 61301-2021")</f>
        <v/>
      </c>
      <c r="T19">
        <f>HYPERLINK("https://klasma.github.io/Logging_2463/kartor/A 61301-2021 karta.png", "A 61301-2021")</f>
        <v/>
      </c>
      <c r="V19">
        <f>HYPERLINK("https://klasma.github.io/Logging_2463/klagomål/A 61301-2021 FSC-klagomål.docx", "A 61301-2021")</f>
        <v/>
      </c>
      <c r="W19">
        <f>HYPERLINK("https://klasma.github.io/Logging_2463/klagomålsmail/A 61301-2021 FSC-klagomål mail.docx", "A 61301-2021")</f>
        <v/>
      </c>
      <c r="X19">
        <f>HYPERLINK("https://klasma.github.io/Logging_2463/tillsyn/A 61301-2021 tillsynsbegäran.docx", "A 61301-2021")</f>
        <v/>
      </c>
      <c r="Y19">
        <f>HYPERLINK("https://klasma.github.io/Logging_2463/tillsynsmail/A 61301-2021 tillsynsbegäran mail.docx", "A 61301-2021")</f>
        <v/>
      </c>
    </row>
    <row r="20" ht="15" customHeight="1">
      <c r="A20" t="inlineStr">
        <is>
          <t>A 42046-2023</t>
        </is>
      </c>
      <c r="B20" s="1" t="n">
        <v>45177</v>
      </c>
      <c r="C20" s="1" t="n">
        <v>45629</v>
      </c>
      <c r="D20" t="inlineStr">
        <is>
          <t>VÄSTERBOTTENS LÄN</t>
        </is>
      </c>
      <c r="E20" t="inlineStr">
        <is>
          <t>ÅSELE</t>
        </is>
      </c>
      <c r="F20" t="inlineStr">
        <is>
          <t>Holmen skog AB</t>
        </is>
      </c>
      <c r="G20" t="n">
        <v>3.6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Kortskaftad ärgspik
Lunglav
Skrovellav
Luddlav</t>
        </is>
      </c>
      <c r="S20">
        <f>HYPERLINK("https://klasma.github.io/Logging_2463/artfynd/A 42046-2023 artfynd.xlsx", "A 42046-2023")</f>
        <v/>
      </c>
      <c r="T20">
        <f>HYPERLINK("https://klasma.github.io/Logging_2463/kartor/A 42046-2023 karta.png", "A 42046-2023")</f>
        <v/>
      </c>
      <c r="V20">
        <f>HYPERLINK("https://klasma.github.io/Logging_2463/klagomål/A 42046-2023 FSC-klagomål.docx", "A 42046-2023")</f>
        <v/>
      </c>
      <c r="W20">
        <f>HYPERLINK("https://klasma.github.io/Logging_2463/klagomålsmail/A 42046-2023 FSC-klagomål mail.docx", "A 42046-2023")</f>
        <v/>
      </c>
      <c r="X20">
        <f>HYPERLINK("https://klasma.github.io/Logging_2463/tillsyn/A 42046-2023 tillsynsbegäran.docx", "A 42046-2023")</f>
        <v/>
      </c>
      <c r="Y20">
        <f>HYPERLINK("https://klasma.github.io/Logging_2463/tillsynsmail/A 42046-2023 tillsynsbegäran mail.docx", "A 42046-2023")</f>
        <v/>
      </c>
    </row>
    <row r="21" ht="15" customHeight="1">
      <c r="A21" t="inlineStr">
        <is>
          <t>A 8655-2024</t>
        </is>
      </c>
      <c r="B21" s="1" t="n">
        <v>45356</v>
      </c>
      <c r="C21" s="1" t="n">
        <v>45629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12.3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Skrovellav
Bårdlav
Stuplav</t>
        </is>
      </c>
      <c r="S21">
        <f>HYPERLINK("https://klasma.github.io/Logging_2463/artfynd/A 8655-2024 artfynd.xlsx", "A 8655-2024")</f>
        <v/>
      </c>
      <c r="T21">
        <f>HYPERLINK("https://klasma.github.io/Logging_2463/kartor/A 8655-2024 karta.png", "A 8655-2024")</f>
        <v/>
      </c>
      <c r="V21">
        <f>HYPERLINK("https://klasma.github.io/Logging_2463/klagomål/A 8655-2024 FSC-klagomål.docx", "A 8655-2024")</f>
        <v/>
      </c>
      <c r="W21">
        <f>HYPERLINK("https://klasma.github.io/Logging_2463/klagomålsmail/A 8655-2024 FSC-klagomål mail.docx", "A 8655-2024")</f>
        <v/>
      </c>
      <c r="X21">
        <f>HYPERLINK("https://klasma.github.io/Logging_2463/tillsyn/A 8655-2024 tillsynsbegäran.docx", "A 8655-2024")</f>
        <v/>
      </c>
      <c r="Y21">
        <f>HYPERLINK("https://klasma.github.io/Logging_2463/tillsynsmail/A 8655-2024 tillsynsbegäran mail.docx", "A 8655-2024")</f>
        <v/>
      </c>
    </row>
    <row r="22" ht="15" customHeight="1">
      <c r="A22" t="inlineStr">
        <is>
          <t>A 54340-2024</t>
        </is>
      </c>
      <c r="B22" s="1" t="n">
        <v>45617</v>
      </c>
      <c r="C22" s="1" t="n">
        <v>45629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Garnlav
Granticka
Ullticka
Vitgrynig nållav</t>
        </is>
      </c>
      <c r="S22">
        <f>HYPERLINK("https://klasma.github.io/Logging_2463/artfynd/A 54340-2024 artfynd.xlsx", "A 54340-2024")</f>
        <v/>
      </c>
      <c r="T22">
        <f>HYPERLINK("https://klasma.github.io/Logging_2463/kartor/A 54340-2024 karta.png", "A 54340-2024")</f>
        <v/>
      </c>
      <c r="V22">
        <f>HYPERLINK("https://klasma.github.io/Logging_2463/klagomål/A 54340-2024 FSC-klagomål.docx", "A 54340-2024")</f>
        <v/>
      </c>
      <c r="W22">
        <f>HYPERLINK("https://klasma.github.io/Logging_2463/klagomålsmail/A 54340-2024 FSC-klagomål mail.docx", "A 54340-2024")</f>
        <v/>
      </c>
      <c r="X22">
        <f>HYPERLINK("https://klasma.github.io/Logging_2463/tillsyn/A 54340-2024 tillsynsbegäran.docx", "A 54340-2024")</f>
        <v/>
      </c>
      <c r="Y22">
        <f>HYPERLINK("https://klasma.github.io/Logging_2463/tillsynsmail/A 54340-2024 tillsynsbegäran mail.docx", "A 54340-2024")</f>
        <v/>
      </c>
    </row>
    <row r="23" ht="15" customHeight="1">
      <c r="A23" t="inlineStr">
        <is>
          <t>A 32121-2022</t>
        </is>
      </c>
      <c r="B23" s="1" t="n">
        <v>44778</v>
      </c>
      <c r="C23" s="1" t="n">
        <v>45629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3.2</v>
      </c>
      <c r="H23" t="n">
        <v>0</v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Blackticka
Grantickeporing
Vågticka
Korallblylav</t>
        </is>
      </c>
      <c r="S23">
        <f>HYPERLINK("https://klasma.github.io/Logging_2463/artfynd/A 32121-2022 artfynd.xlsx", "A 32121-2022")</f>
        <v/>
      </c>
      <c r="T23">
        <f>HYPERLINK("https://klasma.github.io/Logging_2463/kartor/A 32121-2022 karta.png", "A 32121-2022")</f>
        <v/>
      </c>
      <c r="V23">
        <f>HYPERLINK("https://klasma.github.io/Logging_2463/klagomål/A 32121-2022 FSC-klagomål.docx", "A 32121-2022")</f>
        <v/>
      </c>
      <c r="W23">
        <f>HYPERLINK("https://klasma.github.io/Logging_2463/klagomålsmail/A 32121-2022 FSC-klagomål mail.docx", "A 32121-2022")</f>
        <v/>
      </c>
      <c r="X23">
        <f>HYPERLINK("https://klasma.github.io/Logging_2463/tillsyn/A 32121-2022 tillsynsbegäran.docx", "A 32121-2022")</f>
        <v/>
      </c>
      <c r="Y23">
        <f>HYPERLINK("https://klasma.github.io/Logging_2463/tillsynsmail/A 32121-2022 tillsynsbegäran mail.docx", "A 32121-2022")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45629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45629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45629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45629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45629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45629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45629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45629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45629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45629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45629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45629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45629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45629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45629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45629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45629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45629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45629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45629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45629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45629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45629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45629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45629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45629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45629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45629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45629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45629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45629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45629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45629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45629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45629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29318-2023</t>
        </is>
      </c>
      <c r="B59" s="1" t="n">
        <v>45105</v>
      </c>
      <c r="C59" s="1" t="n">
        <v>45629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HYPERLINK("https://klasma.github.io/Logging_2463/artfynd/A 29318-2023 artfynd.xlsx", "A 29318-2023")</f>
        <v/>
      </c>
      <c r="T59">
        <f>HYPERLINK("https://klasma.github.io/Logging_2463/kartor/A 29318-2023 karta.png", "A 29318-2023")</f>
        <v/>
      </c>
      <c r="V59">
        <f>HYPERLINK("https://klasma.github.io/Logging_2463/klagomål/A 29318-2023 FSC-klagomål.docx", "A 29318-2023")</f>
        <v/>
      </c>
      <c r="W59">
        <f>HYPERLINK("https://klasma.github.io/Logging_2463/klagomålsmail/A 29318-2023 FSC-klagomål mail.docx", "A 29318-2023")</f>
        <v/>
      </c>
      <c r="X59">
        <f>HYPERLINK("https://klasma.github.io/Logging_2463/tillsyn/A 29318-2023 tillsynsbegäran.docx", "A 29318-2023")</f>
        <v/>
      </c>
      <c r="Y59">
        <f>HYPERLINK("https://klasma.github.io/Logging_2463/tillsynsmail/A 29318-2023 tillsynsbegäran mail.docx", "A 29318-2023")</f>
        <v/>
      </c>
    </row>
    <row r="60" ht="15" customHeight="1">
      <c r="A60" t="inlineStr">
        <is>
          <t>A 30615-2023</t>
        </is>
      </c>
      <c r="B60" s="1" t="n">
        <v>45112</v>
      </c>
      <c r="C60" s="1" t="n">
        <v>45629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10.1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30615-2023 artfynd.xlsx", "A 30615-2023")</f>
        <v/>
      </c>
      <c r="T60">
        <f>HYPERLINK("https://klasma.github.io/Logging_2463/kartor/A 30615-2023 karta.png", "A 30615-2023")</f>
        <v/>
      </c>
      <c r="V60">
        <f>HYPERLINK("https://klasma.github.io/Logging_2463/klagomål/A 30615-2023 FSC-klagomål.docx", "A 30615-2023")</f>
        <v/>
      </c>
      <c r="W60">
        <f>HYPERLINK("https://klasma.github.io/Logging_2463/klagomålsmail/A 30615-2023 FSC-klagomål mail.docx", "A 30615-2023")</f>
        <v/>
      </c>
      <c r="X60">
        <f>HYPERLINK("https://klasma.github.io/Logging_2463/tillsyn/A 30615-2023 tillsynsbegäran.docx", "A 30615-2023")</f>
        <v/>
      </c>
      <c r="Y60">
        <f>HYPERLINK("https://klasma.github.io/Logging_2463/tillsynsmail/A 30615-2023 tillsynsbegäran mail.docx", "A 30615-2023")</f>
        <v/>
      </c>
    </row>
    <row r="61" ht="15" customHeight="1">
      <c r="A61" t="inlineStr">
        <is>
          <t>A 31194-2023</t>
        </is>
      </c>
      <c r="B61" s="1" t="n">
        <v>45113</v>
      </c>
      <c r="C61" s="1" t="n">
        <v>45629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HYPERLINK("https://klasma.github.io/Logging_2463/artfynd/A 31194-2023 artfynd.xlsx", "A 31194-2023")</f>
        <v/>
      </c>
      <c r="T61">
        <f>HYPERLINK("https://klasma.github.io/Logging_2463/kartor/A 31194-2023 karta.png", "A 31194-2023")</f>
        <v/>
      </c>
      <c r="V61">
        <f>HYPERLINK("https://klasma.github.io/Logging_2463/klagomål/A 31194-2023 FSC-klagomål.docx", "A 31194-2023")</f>
        <v/>
      </c>
      <c r="W61">
        <f>HYPERLINK("https://klasma.github.io/Logging_2463/klagomålsmail/A 31194-2023 FSC-klagomål mail.docx", "A 31194-2023")</f>
        <v/>
      </c>
      <c r="X61">
        <f>HYPERLINK("https://klasma.github.io/Logging_2463/tillsyn/A 31194-2023 tillsynsbegäran.docx", "A 31194-2023")</f>
        <v/>
      </c>
      <c r="Y61">
        <f>HYPERLINK("https://klasma.github.io/Logging_2463/tillsynsmail/A 31194-2023 tillsynsbegäran mail.docx", "A 31194-2023")</f>
        <v/>
      </c>
    </row>
    <row r="62" ht="15" customHeight="1">
      <c r="A62" t="inlineStr">
        <is>
          <t>A 48743-2023</t>
        </is>
      </c>
      <c r="B62" s="1" t="n">
        <v>45208</v>
      </c>
      <c r="C62" s="1" t="n">
        <v>45629</v>
      </c>
      <c r="D62" t="inlineStr">
        <is>
          <t>VÄSTERBOTTENS LÄN</t>
        </is>
      </c>
      <c r="E62" t="inlineStr">
        <is>
          <t>ÅSELE</t>
        </is>
      </c>
      <c r="G62" t="n">
        <v>18.5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HYPERLINK("https://klasma.github.io/Logging_2463/artfynd/A 48743-2023 artfynd.xlsx", "A 48743-2023")</f>
        <v/>
      </c>
      <c r="T62">
        <f>HYPERLINK("https://klasma.github.io/Logging_2463/kartor/A 48743-2023 karta.png", "A 48743-2023")</f>
        <v/>
      </c>
      <c r="V62">
        <f>HYPERLINK("https://klasma.github.io/Logging_2463/klagomål/A 48743-2023 FSC-klagomål.docx", "A 48743-2023")</f>
        <v/>
      </c>
      <c r="W62">
        <f>HYPERLINK("https://klasma.github.io/Logging_2463/klagomålsmail/A 48743-2023 FSC-klagomål mail.docx", "A 48743-2023")</f>
        <v/>
      </c>
      <c r="X62">
        <f>HYPERLINK("https://klasma.github.io/Logging_2463/tillsyn/A 48743-2023 tillsynsbegäran.docx", "A 48743-2023")</f>
        <v/>
      </c>
      <c r="Y62">
        <f>HYPERLINK("https://klasma.github.io/Logging_2463/tillsynsmail/A 48743-2023 tillsynsbegäran mail.docx", "A 48743-2023")</f>
        <v/>
      </c>
    </row>
    <row r="63" ht="15" customHeight="1">
      <c r="A63" t="inlineStr">
        <is>
          <t>A 54741-2023</t>
        </is>
      </c>
      <c r="B63" s="1" t="n">
        <v>45236</v>
      </c>
      <c r="C63" s="1" t="n">
        <v>45629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23.4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HYPERLINK("https://klasma.github.io/Logging_2463/artfynd/A 54741-2023 artfynd.xlsx", "A 54741-2023")</f>
        <v/>
      </c>
      <c r="T63">
        <f>HYPERLINK("https://klasma.github.io/Logging_2463/kartor/A 54741-2023 karta.png", "A 54741-2023")</f>
        <v/>
      </c>
      <c r="V63">
        <f>HYPERLINK("https://klasma.github.io/Logging_2463/klagomål/A 54741-2023 FSC-klagomål.docx", "A 54741-2023")</f>
        <v/>
      </c>
      <c r="W63">
        <f>HYPERLINK("https://klasma.github.io/Logging_2463/klagomålsmail/A 54741-2023 FSC-klagomål mail.docx", "A 54741-2023")</f>
        <v/>
      </c>
      <c r="X63">
        <f>HYPERLINK("https://klasma.github.io/Logging_2463/tillsyn/A 54741-2023 tillsynsbegäran.docx", "A 54741-2023")</f>
        <v/>
      </c>
      <c r="Y63">
        <f>HYPERLINK("https://klasma.github.io/Logging_2463/tillsynsmail/A 54741-2023 tillsynsbegäran mail.docx", "A 54741-2023")</f>
        <v/>
      </c>
    </row>
    <row r="64" ht="15" customHeight="1">
      <c r="A64" t="inlineStr">
        <is>
          <t>A 23944-2024</t>
        </is>
      </c>
      <c r="B64" s="1" t="n">
        <v>45455</v>
      </c>
      <c r="C64" s="1" t="n">
        <v>45629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23944-2024 artfynd.xlsx", "A 23944-2024")</f>
        <v/>
      </c>
      <c r="T64">
        <f>HYPERLINK("https://klasma.github.io/Logging_2463/kartor/A 23944-2024 karta.png", "A 23944-2024")</f>
        <v/>
      </c>
      <c r="V64">
        <f>HYPERLINK("https://klasma.github.io/Logging_2463/klagomål/A 23944-2024 FSC-klagomål.docx", "A 23944-2024")</f>
        <v/>
      </c>
      <c r="W64">
        <f>HYPERLINK("https://klasma.github.io/Logging_2463/klagomålsmail/A 23944-2024 FSC-klagomål mail.docx", "A 23944-2024")</f>
        <v/>
      </c>
      <c r="X64">
        <f>HYPERLINK("https://klasma.github.io/Logging_2463/tillsyn/A 23944-2024 tillsynsbegäran.docx", "A 23944-2024")</f>
        <v/>
      </c>
      <c r="Y64">
        <f>HYPERLINK("https://klasma.github.io/Logging_2463/tillsynsmail/A 23944-2024 tillsynsbegäran mail.docx", "A 23944-2024")</f>
        <v/>
      </c>
    </row>
    <row r="65" ht="15" customHeight="1">
      <c r="A65" t="inlineStr">
        <is>
          <t>A 25638-2024</t>
        </is>
      </c>
      <c r="B65" s="1" t="n">
        <v>45463</v>
      </c>
      <c r="C65" s="1" t="n">
        <v>45629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HYPERLINK("https://klasma.github.io/Logging_2463/artfynd/A 25638-2024 artfynd.xlsx", "A 25638-2024")</f>
        <v/>
      </c>
      <c r="T65">
        <f>HYPERLINK("https://klasma.github.io/Logging_2463/kartor/A 25638-2024 karta.png", "A 25638-2024")</f>
        <v/>
      </c>
      <c r="V65">
        <f>HYPERLINK("https://klasma.github.io/Logging_2463/klagomål/A 25638-2024 FSC-klagomål.docx", "A 25638-2024")</f>
        <v/>
      </c>
      <c r="W65">
        <f>HYPERLINK("https://klasma.github.io/Logging_2463/klagomålsmail/A 25638-2024 FSC-klagomål mail.docx", "A 25638-2024")</f>
        <v/>
      </c>
      <c r="X65">
        <f>HYPERLINK("https://klasma.github.io/Logging_2463/tillsyn/A 25638-2024 tillsynsbegäran.docx", "A 25638-2024")</f>
        <v/>
      </c>
      <c r="Y65">
        <f>HYPERLINK("https://klasma.github.io/Logging_2463/tillsynsmail/A 25638-2024 tillsynsbegäran mail.docx", "A 25638-2024")</f>
        <v/>
      </c>
    </row>
    <row r="66" ht="15" customHeight="1">
      <c r="A66" t="inlineStr">
        <is>
          <t>A 25546-2024</t>
        </is>
      </c>
      <c r="B66" s="1" t="n">
        <v>45463</v>
      </c>
      <c r="C66" s="1" t="n">
        <v>45629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16.5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Violmussling</t>
        </is>
      </c>
      <c r="S66">
        <f>HYPERLINK("https://klasma.github.io/Logging_2463/artfynd/A 25546-2024 artfynd.xlsx", "A 25546-2024")</f>
        <v/>
      </c>
      <c r="T66">
        <f>HYPERLINK("https://klasma.github.io/Logging_2463/kartor/A 25546-2024 karta.png", "A 25546-2024")</f>
        <v/>
      </c>
      <c r="V66">
        <f>HYPERLINK("https://klasma.github.io/Logging_2463/klagomål/A 25546-2024 FSC-klagomål.docx", "A 25546-2024")</f>
        <v/>
      </c>
      <c r="W66">
        <f>HYPERLINK("https://klasma.github.io/Logging_2463/klagomålsmail/A 25546-2024 FSC-klagomål mail.docx", "A 25546-2024")</f>
        <v/>
      </c>
      <c r="X66">
        <f>HYPERLINK("https://klasma.github.io/Logging_2463/tillsyn/A 25546-2024 tillsynsbegäran.docx", "A 25546-2024")</f>
        <v/>
      </c>
      <c r="Y66">
        <f>HYPERLINK("https://klasma.github.io/Logging_2463/tillsynsmail/A 25546-2024 tillsynsbegäran mail.docx", "A 25546-2024")</f>
        <v/>
      </c>
    </row>
    <row r="67" ht="15" customHeight="1">
      <c r="A67" t="inlineStr">
        <is>
          <t>A 25576-2024</t>
        </is>
      </c>
      <c r="B67" s="1" t="n">
        <v>45463</v>
      </c>
      <c r="C67" s="1" t="n">
        <v>45629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HYPERLINK("https://klasma.github.io/Logging_2463/artfynd/A 25576-2024 artfynd.xlsx", "A 25576-2024")</f>
        <v/>
      </c>
      <c r="T67">
        <f>HYPERLINK("https://klasma.github.io/Logging_2463/kartor/A 25576-2024 karta.png", "A 25576-2024")</f>
        <v/>
      </c>
      <c r="V67">
        <f>HYPERLINK("https://klasma.github.io/Logging_2463/klagomål/A 25576-2024 FSC-klagomål.docx", "A 25576-2024")</f>
        <v/>
      </c>
      <c r="W67">
        <f>HYPERLINK("https://klasma.github.io/Logging_2463/klagomålsmail/A 25576-2024 FSC-klagomål mail.docx", "A 25576-2024")</f>
        <v/>
      </c>
      <c r="X67">
        <f>HYPERLINK("https://klasma.github.io/Logging_2463/tillsyn/A 25576-2024 tillsynsbegäran.docx", "A 25576-2024")</f>
        <v/>
      </c>
      <c r="Y67">
        <f>HYPERLINK("https://klasma.github.io/Logging_2463/tillsynsmail/A 25576-2024 tillsynsbegäran mail.docx", "A 25576-2024")</f>
        <v/>
      </c>
    </row>
    <row r="68" ht="15" customHeight="1">
      <c r="A68" t="inlineStr">
        <is>
          <t>A 27960-2024</t>
        </is>
      </c>
      <c r="B68" s="1" t="n">
        <v>45476</v>
      </c>
      <c r="C68" s="1" t="n">
        <v>45629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HYPERLINK("https://klasma.github.io/Logging_2463/artfynd/A 27960-2024 artfynd.xlsx", "A 27960-2024")</f>
        <v/>
      </c>
      <c r="T68">
        <f>HYPERLINK("https://klasma.github.io/Logging_2463/kartor/A 27960-2024 karta.png", "A 27960-2024")</f>
        <v/>
      </c>
      <c r="V68">
        <f>HYPERLINK("https://klasma.github.io/Logging_2463/klagomål/A 27960-2024 FSC-klagomål.docx", "A 27960-2024")</f>
        <v/>
      </c>
      <c r="W68">
        <f>HYPERLINK("https://klasma.github.io/Logging_2463/klagomålsmail/A 27960-2024 FSC-klagomål mail.docx", "A 27960-2024")</f>
        <v/>
      </c>
      <c r="X68">
        <f>HYPERLINK("https://klasma.github.io/Logging_2463/tillsyn/A 27960-2024 tillsynsbegäran.docx", "A 27960-2024")</f>
        <v/>
      </c>
      <c r="Y68">
        <f>HYPERLINK("https://klasma.github.io/Logging_2463/tillsynsmail/A 27960-2024 tillsynsbegäran mail.docx", "A 27960-2024")</f>
        <v/>
      </c>
    </row>
    <row r="69" ht="15" customHeight="1">
      <c r="A69" t="inlineStr">
        <is>
          <t>A 28959-2024</t>
        </is>
      </c>
      <c r="B69" s="1" t="n">
        <v>45481</v>
      </c>
      <c r="C69" s="1" t="n">
        <v>45629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28959-2024 artfynd.xlsx", "A 28959-2024")</f>
        <v/>
      </c>
      <c r="T69">
        <f>HYPERLINK("https://klasma.github.io/Logging_2463/kartor/A 28959-2024 karta.png", "A 28959-2024")</f>
        <v/>
      </c>
      <c r="V69">
        <f>HYPERLINK("https://klasma.github.io/Logging_2463/klagomål/A 28959-2024 FSC-klagomål.docx", "A 28959-2024")</f>
        <v/>
      </c>
      <c r="W69">
        <f>HYPERLINK("https://klasma.github.io/Logging_2463/klagomålsmail/A 28959-2024 FSC-klagomål mail.docx", "A 28959-2024")</f>
        <v/>
      </c>
      <c r="X69">
        <f>HYPERLINK("https://klasma.github.io/Logging_2463/tillsyn/A 28959-2024 tillsynsbegäran.docx", "A 28959-2024")</f>
        <v/>
      </c>
      <c r="Y69">
        <f>HYPERLINK("https://klasma.github.io/Logging_2463/tillsynsmail/A 28959-2024 tillsynsbegäran mail.docx", "A 28959-2024")</f>
        <v/>
      </c>
    </row>
    <row r="70" ht="15" customHeight="1">
      <c r="A70" t="inlineStr">
        <is>
          <t>A 29513-2024</t>
        </is>
      </c>
      <c r="B70" s="1" t="n">
        <v>45484</v>
      </c>
      <c r="C70" s="1" t="n">
        <v>45629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5.2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HYPERLINK("https://klasma.github.io/Logging_2463/artfynd/A 29513-2024 artfynd.xlsx", "A 29513-2024")</f>
        <v/>
      </c>
      <c r="T70">
        <f>HYPERLINK("https://klasma.github.io/Logging_2463/kartor/A 29513-2024 karta.png", "A 29513-2024")</f>
        <v/>
      </c>
      <c r="V70">
        <f>HYPERLINK("https://klasma.github.io/Logging_2463/klagomål/A 29513-2024 FSC-klagomål.docx", "A 29513-2024")</f>
        <v/>
      </c>
      <c r="W70">
        <f>HYPERLINK("https://klasma.github.io/Logging_2463/klagomålsmail/A 29513-2024 FSC-klagomål mail.docx", "A 29513-2024")</f>
        <v/>
      </c>
      <c r="X70">
        <f>HYPERLINK("https://klasma.github.io/Logging_2463/tillsyn/A 29513-2024 tillsynsbegäran.docx", "A 29513-2024")</f>
        <v/>
      </c>
      <c r="Y70">
        <f>HYPERLINK("https://klasma.github.io/Logging_2463/tillsynsmail/A 29513-2024 tillsynsbegäran mail.docx", "A 29513-2024")</f>
        <v/>
      </c>
    </row>
    <row r="71" ht="15" customHeight="1">
      <c r="A71" t="inlineStr">
        <is>
          <t>A 31518-2024</t>
        </is>
      </c>
      <c r="B71" s="1" t="n">
        <v>45505</v>
      </c>
      <c r="C71" s="1" t="n">
        <v>45629</v>
      </c>
      <c r="D71" t="inlineStr">
        <is>
          <t>VÄSTERBOTTENS LÄN</t>
        </is>
      </c>
      <c r="E71" t="inlineStr">
        <is>
          <t>ÅSELE</t>
        </is>
      </c>
      <c r="F71" t="inlineStr">
        <is>
          <t>SCA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31518-2024 artfynd.xlsx", "A 31518-2024")</f>
        <v/>
      </c>
      <c r="T71">
        <f>HYPERLINK("https://klasma.github.io/Logging_2463/kartor/A 31518-2024 karta.png", "A 31518-2024")</f>
        <v/>
      </c>
      <c r="V71">
        <f>HYPERLINK("https://klasma.github.io/Logging_2463/klagomål/A 31518-2024 FSC-klagomål.docx", "A 31518-2024")</f>
        <v/>
      </c>
      <c r="W71">
        <f>HYPERLINK("https://klasma.github.io/Logging_2463/klagomålsmail/A 31518-2024 FSC-klagomål mail.docx", "A 31518-2024")</f>
        <v/>
      </c>
      <c r="X71">
        <f>HYPERLINK("https://klasma.github.io/Logging_2463/tillsyn/A 31518-2024 tillsynsbegäran.docx", "A 31518-2024")</f>
        <v/>
      </c>
      <c r="Y71">
        <f>HYPERLINK("https://klasma.github.io/Logging_2463/tillsynsmail/A 31518-2024 tillsynsbegäran mail.docx", "A 31518-2024")</f>
        <v/>
      </c>
    </row>
    <row r="72" ht="15" customHeight="1">
      <c r="A72" t="inlineStr">
        <is>
          <t>A 39556-2024</t>
        </is>
      </c>
      <c r="B72" s="1" t="n">
        <v>45552</v>
      </c>
      <c r="C72" s="1" t="n">
        <v>45629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HYPERLINK("https://klasma.github.io/Logging_2463/artfynd/A 39556-2024 artfynd.xlsx", "A 39556-2024")</f>
        <v/>
      </c>
      <c r="T72">
        <f>HYPERLINK("https://klasma.github.io/Logging_2463/kartor/A 39556-2024 karta.png", "A 39556-2024")</f>
        <v/>
      </c>
      <c r="V72">
        <f>HYPERLINK("https://klasma.github.io/Logging_2463/klagomål/A 39556-2024 FSC-klagomål.docx", "A 39556-2024")</f>
        <v/>
      </c>
      <c r="W72">
        <f>HYPERLINK("https://klasma.github.io/Logging_2463/klagomålsmail/A 39556-2024 FSC-klagomål mail.docx", "A 39556-2024")</f>
        <v/>
      </c>
      <c r="X72">
        <f>HYPERLINK("https://klasma.github.io/Logging_2463/tillsyn/A 39556-2024 tillsynsbegäran.docx", "A 39556-2024")</f>
        <v/>
      </c>
      <c r="Y72">
        <f>HYPERLINK("https://klasma.github.io/Logging_2463/tillsynsmail/A 39556-2024 tillsynsbegäran mail.docx", "A 39556-2024")</f>
        <v/>
      </c>
    </row>
    <row r="73" ht="15" customHeight="1">
      <c r="A73" t="inlineStr">
        <is>
          <t>A 42132-2024</t>
        </is>
      </c>
      <c r="B73" s="1" t="n">
        <v>45562</v>
      </c>
      <c r="C73" s="1" t="n">
        <v>45629</v>
      </c>
      <c r="D73" t="inlineStr">
        <is>
          <t>VÄSTERBOTTENS LÄN</t>
        </is>
      </c>
      <c r="E73" t="inlineStr">
        <is>
          <t>ÅSELE</t>
        </is>
      </c>
      <c r="F73" t="inlineStr">
        <is>
          <t>Holmen skog AB</t>
        </is>
      </c>
      <c r="G73" t="n">
        <v>18.5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HYPERLINK("https://klasma.github.io/Logging_2463/artfynd/A 42132-2024 artfynd.xlsx", "A 42132-2024")</f>
        <v/>
      </c>
      <c r="T73">
        <f>HYPERLINK("https://klasma.github.io/Logging_2463/kartor/A 42132-2024 karta.png", "A 42132-2024")</f>
        <v/>
      </c>
      <c r="V73">
        <f>HYPERLINK("https://klasma.github.io/Logging_2463/klagomål/A 42132-2024 FSC-klagomål.docx", "A 42132-2024")</f>
        <v/>
      </c>
      <c r="W73">
        <f>HYPERLINK("https://klasma.github.io/Logging_2463/klagomålsmail/A 42132-2024 FSC-klagomål mail.docx", "A 42132-2024")</f>
        <v/>
      </c>
      <c r="X73">
        <f>HYPERLINK("https://klasma.github.io/Logging_2463/tillsyn/A 42132-2024 tillsynsbegäran.docx", "A 42132-2024")</f>
        <v/>
      </c>
      <c r="Y73">
        <f>HYPERLINK("https://klasma.github.io/Logging_2463/tillsynsmail/A 42132-2024 tillsynsbegäran mail.docx", "A 42132-2024")</f>
        <v/>
      </c>
    </row>
    <row r="74" ht="15" customHeight="1">
      <c r="A74" t="inlineStr">
        <is>
          <t>A 43459-2024</t>
        </is>
      </c>
      <c r="B74" s="1" t="n">
        <v>45568</v>
      </c>
      <c r="C74" s="1" t="n">
        <v>45629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7.9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HYPERLINK("https://klasma.github.io/Logging_2463/artfynd/A 43459-2024 artfynd.xlsx", "A 43459-2024")</f>
        <v/>
      </c>
      <c r="T74">
        <f>HYPERLINK("https://klasma.github.io/Logging_2463/kartor/A 43459-2024 karta.png", "A 43459-2024")</f>
        <v/>
      </c>
      <c r="V74">
        <f>HYPERLINK("https://klasma.github.io/Logging_2463/klagomål/A 43459-2024 FSC-klagomål.docx", "A 43459-2024")</f>
        <v/>
      </c>
      <c r="W74">
        <f>HYPERLINK("https://klasma.github.io/Logging_2463/klagomålsmail/A 43459-2024 FSC-klagomål mail.docx", "A 43459-2024")</f>
        <v/>
      </c>
      <c r="X74">
        <f>HYPERLINK("https://klasma.github.io/Logging_2463/tillsyn/A 43459-2024 tillsynsbegäran.docx", "A 43459-2024")</f>
        <v/>
      </c>
      <c r="Y74">
        <f>HYPERLINK("https://klasma.github.io/Logging_2463/tillsynsmail/A 43459-2024 tillsynsbegäran mail.docx", "A 43459-2024")</f>
        <v/>
      </c>
    </row>
    <row r="75" ht="15" customHeight="1">
      <c r="A75" t="inlineStr">
        <is>
          <t>A 18692-2019</t>
        </is>
      </c>
      <c r="B75" s="1" t="n">
        <v>43559</v>
      </c>
      <c r="C75" s="1" t="n">
        <v>45629</v>
      </c>
      <c r="D75" t="inlineStr">
        <is>
          <t>VÄSTERBOTTENS LÄN</t>
        </is>
      </c>
      <c r="E75" t="inlineStr">
        <is>
          <t>ÅSELE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22279-2019</t>
        </is>
      </c>
      <c r="B76" s="1" t="n">
        <v>43585</v>
      </c>
      <c r="C76" s="1" t="n">
        <v>45629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22461-2019</t>
        </is>
      </c>
      <c r="B77" s="1" t="n">
        <v>43585</v>
      </c>
      <c r="C77" s="1" t="n">
        <v>45629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22278-2019</t>
        </is>
      </c>
      <c r="B78" s="1" t="n">
        <v>43585</v>
      </c>
      <c r="C78" s="1" t="n">
        <v>45629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22277-2019</t>
        </is>
      </c>
      <c r="B79" s="1" t="n">
        <v>43585</v>
      </c>
      <c r="C79" s="1" t="n">
        <v>45629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22591-2019</t>
        </is>
      </c>
      <c r="B80" s="1" t="n">
        <v>43587</v>
      </c>
      <c r="C80" s="1" t="n">
        <v>45629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23316-2019</t>
        </is>
      </c>
      <c r="B81" s="1" t="n">
        <v>43591</v>
      </c>
      <c r="C81" s="1" t="n">
        <v>45629</v>
      </c>
      <c r="D81" t="inlineStr">
        <is>
          <t>VÄSTERBOTTENS LÄN</t>
        </is>
      </c>
      <c r="E81" t="inlineStr">
        <is>
          <t>ÅSELE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24790-2019</t>
        </is>
      </c>
      <c r="B82" s="1" t="n">
        <v>43601</v>
      </c>
      <c r="C82" s="1" t="n">
        <v>45629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28710-2019</t>
        </is>
      </c>
      <c r="B83" s="1" t="n">
        <v>43614</v>
      </c>
      <c r="C83" s="1" t="n">
        <v>45629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30883-2019</t>
        </is>
      </c>
      <c r="B84" s="1" t="n">
        <v>43636</v>
      </c>
      <c r="C84" s="1" t="n">
        <v>45629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35564-2019</t>
        </is>
      </c>
      <c r="B85" s="1" t="n">
        <v>43664</v>
      </c>
      <c r="C85" s="1" t="n">
        <v>45629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41.5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35613-2019</t>
        </is>
      </c>
      <c r="B86" s="1" t="n">
        <v>43664</v>
      </c>
      <c r="C86" s="1" t="n">
        <v>45629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35562-2019</t>
        </is>
      </c>
      <c r="B87" s="1" t="n">
        <v>43664</v>
      </c>
      <c r="C87" s="1" t="n">
        <v>45629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38772-2019</t>
        </is>
      </c>
      <c r="B88" s="1" t="n">
        <v>43686</v>
      </c>
      <c r="C88" s="1" t="n">
        <v>45629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40862-2019</t>
        </is>
      </c>
      <c r="B89" s="1" t="n">
        <v>43697</v>
      </c>
      <c r="C89" s="1" t="n">
        <v>45629</v>
      </c>
      <c r="D89" t="inlineStr">
        <is>
          <t>VÄSTERBOTTENS LÄN</t>
        </is>
      </c>
      <c r="E89" t="inlineStr">
        <is>
          <t>ÅSELE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41912-2019</t>
        </is>
      </c>
      <c r="B90" s="1" t="n">
        <v>43700</v>
      </c>
      <c r="C90" s="1" t="n">
        <v>45629</v>
      </c>
      <c r="D90" t="inlineStr">
        <is>
          <t>VÄSTERBOTTENS LÄN</t>
        </is>
      </c>
      <c r="E90" t="inlineStr">
        <is>
          <t>ÅSELE</t>
        </is>
      </c>
      <c r="F90" t="inlineStr">
        <is>
          <t>Naturvårdsverket</t>
        </is>
      </c>
      <c r="G90" t="n">
        <v>18.9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43666-2019</t>
        </is>
      </c>
      <c r="B91" s="1" t="n">
        <v>43704</v>
      </c>
      <c r="C91" s="1" t="n">
        <v>45629</v>
      </c>
      <c r="D91" t="inlineStr">
        <is>
          <t>VÄSTERBOTTENS LÄN</t>
        </is>
      </c>
      <c r="E91" t="inlineStr">
        <is>
          <t>ÅSELE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43211-2019</t>
        </is>
      </c>
      <c r="B92" s="1" t="n">
        <v>43705</v>
      </c>
      <c r="C92" s="1" t="n">
        <v>45629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43658-2019</t>
        </is>
      </c>
      <c r="B93" s="1" t="n">
        <v>43707</v>
      </c>
      <c r="C93" s="1" t="n">
        <v>45629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44017-2019</t>
        </is>
      </c>
      <c r="B94" s="1" t="n">
        <v>43709</v>
      </c>
      <c r="C94" s="1" t="n">
        <v>45629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50913-2019</t>
        </is>
      </c>
      <c r="B95" s="1" t="n">
        <v>43738</v>
      </c>
      <c r="C95" s="1" t="n">
        <v>45629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50920-2019</t>
        </is>
      </c>
      <c r="B96" s="1" t="n">
        <v>43738</v>
      </c>
      <c r="C96" s="1" t="n">
        <v>45629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50928-2019</t>
        </is>
      </c>
      <c r="B97" s="1" t="n">
        <v>43738</v>
      </c>
      <c r="C97" s="1" t="n">
        <v>45629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51242-2019</t>
        </is>
      </c>
      <c r="B98" s="1" t="n">
        <v>43739</v>
      </c>
      <c r="C98" s="1" t="n">
        <v>45629</v>
      </c>
      <c r="D98" t="inlineStr">
        <is>
          <t>VÄSTERBOTTENS LÄN</t>
        </is>
      </c>
      <c r="E98" t="inlineStr">
        <is>
          <t>ÅSELE</t>
        </is>
      </c>
      <c r="F98" t="inlineStr">
        <is>
          <t>Holmen skog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51702-2019</t>
        </is>
      </c>
      <c r="B99" s="1" t="n">
        <v>43740</v>
      </c>
      <c r="C99" s="1" t="n">
        <v>45629</v>
      </c>
      <c r="D99" t="inlineStr">
        <is>
          <t>VÄSTERBOTTENS LÄN</t>
        </is>
      </c>
      <c r="E99" t="inlineStr">
        <is>
          <t>ÅSELE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53478-2019</t>
        </is>
      </c>
      <c r="B100" s="1" t="n">
        <v>43748</v>
      </c>
      <c r="C100" s="1" t="n">
        <v>45629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55156-2019</t>
        </is>
      </c>
      <c r="B101" s="1" t="n">
        <v>43752</v>
      </c>
      <c r="C101" s="1" t="n">
        <v>45629</v>
      </c>
      <c r="D101" t="inlineStr">
        <is>
          <t>VÄSTERBOTTENS LÄN</t>
        </is>
      </c>
      <c r="E101" t="inlineStr">
        <is>
          <t>ÅSELE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54368-2019</t>
        </is>
      </c>
      <c r="B102" s="1" t="n">
        <v>43753</v>
      </c>
      <c r="C102" s="1" t="n">
        <v>45629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54408-2019</t>
        </is>
      </c>
      <c r="B103" s="1" t="n">
        <v>43754</v>
      </c>
      <c r="C103" s="1" t="n">
        <v>45629</v>
      </c>
      <c r="D103" t="inlineStr">
        <is>
          <t>VÄSTERBOTTENS LÄN</t>
        </is>
      </c>
      <c r="E103" t="inlineStr">
        <is>
          <t>ÅSELE</t>
        </is>
      </c>
      <c r="F103" t="inlineStr">
        <is>
          <t>Holmen skog AB</t>
        </is>
      </c>
      <c r="G103" t="n">
        <v>15.2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54931-2019</t>
        </is>
      </c>
      <c r="B104" s="1" t="n">
        <v>43755</v>
      </c>
      <c r="C104" s="1" t="n">
        <v>45629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55432-2019</t>
        </is>
      </c>
      <c r="B105" s="1" t="n">
        <v>43760</v>
      </c>
      <c r="C105" s="1" t="n">
        <v>45629</v>
      </c>
      <c r="D105" t="inlineStr">
        <is>
          <t>VÄSTERBOTTENS LÄN</t>
        </is>
      </c>
      <c r="E105" t="inlineStr">
        <is>
          <t>ÅSELE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55885-2019</t>
        </is>
      </c>
      <c r="B106" s="1" t="n">
        <v>43761</v>
      </c>
      <c r="C106" s="1" t="n">
        <v>45629</v>
      </c>
      <c r="D106" t="inlineStr">
        <is>
          <t>VÄSTERBOTTENS LÄN</t>
        </is>
      </c>
      <c r="E106" t="inlineStr">
        <is>
          <t>ÅSELE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57697-2019</t>
        </is>
      </c>
      <c r="B107" s="1" t="n">
        <v>43768</v>
      </c>
      <c r="C107" s="1" t="n">
        <v>45629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57878-2019</t>
        </is>
      </c>
      <c r="B108" s="1" t="n">
        <v>43768</v>
      </c>
      <c r="C108" s="1" t="n">
        <v>45629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58075-2019</t>
        </is>
      </c>
      <c r="B109" s="1" t="n">
        <v>43769</v>
      </c>
      <c r="C109" s="1" t="n">
        <v>45629</v>
      </c>
      <c r="D109" t="inlineStr">
        <is>
          <t>VÄSTERBOTTENS LÄN</t>
        </is>
      </c>
      <c r="E109" t="inlineStr">
        <is>
          <t>ÅSELE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59130-2019</t>
        </is>
      </c>
      <c r="B110" s="1" t="n">
        <v>43769</v>
      </c>
      <c r="C110" s="1" t="n">
        <v>45629</v>
      </c>
      <c r="D110" t="inlineStr">
        <is>
          <t>VÄSTERBOTTENS LÄN</t>
        </is>
      </c>
      <c r="E110" t="inlineStr">
        <is>
          <t>ÅSELE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63402-2019</t>
        </is>
      </c>
      <c r="B111" s="1" t="n">
        <v>43787</v>
      </c>
      <c r="C111" s="1" t="n">
        <v>45629</v>
      </c>
      <c r="D111" t="inlineStr">
        <is>
          <t>VÄSTERBOTTENS LÄN</t>
        </is>
      </c>
      <c r="E111" t="inlineStr">
        <is>
          <t>ÅSELE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63434-2019</t>
        </is>
      </c>
      <c r="B112" s="1" t="n">
        <v>43787</v>
      </c>
      <c r="C112" s="1" t="n">
        <v>45629</v>
      </c>
      <c r="D112" t="inlineStr">
        <is>
          <t>VÄSTERBOTTENS LÄN</t>
        </is>
      </c>
      <c r="E112" t="inlineStr">
        <is>
          <t>ÅSELE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64670-2019</t>
        </is>
      </c>
      <c r="B113" s="1" t="n">
        <v>43794</v>
      </c>
      <c r="C113" s="1" t="n">
        <v>45629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64676-2019</t>
        </is>
      </c>
      <c r="B114" s="1" t="n">
        <v>43794</v>
      </c>
      <c r="C114" s="1" t="n">
        <v>45629</v>
      </c>
      <c r="D114" t="inlineStr">
        <is>
          <t>VÄSTERBOTTENS LÄN</t>
        </is>
      </c>
      <c r="E114" t="inlineStr">
        <is>
          <t>ÅSELE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63835-2019</t>
        </is>
      </c>
      <c r="B115" s="1" t="n">
        <v>43795</v>
      </c>
      <c r="C115" s="1" t="n">
        <v>45629</v>
      </c>
      <c r="D115" t="inlineStr">
        <is>
          <t>VÄSTERBOTTENS LÄN</t>
        </is>
      </c>
      <c r="E115" t="inlineStr">
        <is>
          <t>ÅSELE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2924-2020</t>
        </is>
      </c>
      <c r="B116" s="1" t="n">
        <v>43803</v>
      </c>
      <c r="C116" s="1" t="n">
        <v>45629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65568-2019</t>
        </is>
      </c>
      <c r="B117" s="1" t="n">
        <v>43803</v>
      </c>
      <c r="C117" s="1" t="n">
        <v>45629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65572-2019</t>
        </is>
      </c>
      <c r="B118" s="1" t="n">
        <v>43803</v>
      </c>
      <c r="C118" s="1" t="n">
        <v>45629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66033-2019</t>
        </is>
      </c>
      <c r="B119" s="1" t="n">
        <v>43805</v>
      </c>
      <c r="C119" s="1" t="n">
        <v>45629</v>
      </c>
      <c r="D119" t="inlineStr">
        <is>
          <t>VÄSTERBOTTENS LÄN</t>
        </is>
      </c>
      <c r="E119" t="inlineStr">
        <is>
          <t>ÅSELE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66974-2019</t>
        </is>
      </c>
      <c r="B120" s="1" t="n">
        <v>43810</v>
      </c>
      <c r="C120" s="1" t="n">
        <v>45629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906-2020</t>
        </is>
      </c>
      <c r="B121" s="1" t="n">
        <v>43818</v>
      </c>
      <c r="C121" s="1" t="n">
        <v>45629</v>
      </c>
      <c r="D121" t="inlineStr">
        <is>
          <t>VÄSTERBOTTENS LÄN</t>
        </is>
      </c>
      <c r="E121" t="inlineStr">
        <is>
          <t>ÅSELE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230-2020</t>
        </is>
      </c>
      <c r="B122" s="1" t="n">
        <v>43833</v>
      </c>
      <c r="C122" s="1" t="n">
        <v>45629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2457-2020</t>
        </is>
      </c>
      <c r="B123" s="1" t="n">
        <v>43841</v>
      </c>
      <c r="C123" s="1" t="n">
        <v>45629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34.1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2591-2020</t>
        </is>
      </c>
      <c r="B124" s="1" t="n">
        <v>43843</v>
      </c>
      <c r="C124" s="1" t="n">
        <v>45629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2582-2020</t>
        </is>
      </c>
      <c r="B125" s="1" t="n">
        <v>43843</v>
      </c>
      <c r="C125" s="1" t="n">
        <v>45629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2096-2020</t>
        </is>
      </c>
      <c r="B126" s="1" t="n">
        <v>43845</v>
      </c>
      <c r="C126" s="1" t="n">
        <v>45629</v>
      </c>
      <c r="D126" t="inlineStr">
        <is>
          <t>VÄSTERBOTTENS LÄN</t>
        </is>
      </c>
      <c r="E126" t="inlineStr">
        <is>
          <t>ÅSELE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4891-2020</t>
        </is>
      </c>
      <c r="B127" s="1" t="n">
        <v>43852</v>
      </c>
      <c r="C127" s="1" t="n">
        <v>45629</v>
      </c>
      <c r="D127" t="inlineStr">
        <is>
          <t>VÄSTERBOTTENS LÄN</t>
        </is>
      </c>
      <c r="E127" t="inlineStr">
        <is>
          <t>ÅSELE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5541-2020</t>
        </is>
      </c>
      <c r="B128" s="1" t="n">
        <v>43859</v>
      </c>
      <c r="C128" s="1" t="n">
        <v>45629</v>
      </c>
      <c r="D128" t="inlineStr">
        <is>
          <t>VÄSTERBOTTENS LÄN</t>
        </is>
      </c>
      <c r="E128" t="inlineStr">
        <is>
          <t>ÅSELE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11926-2020</t>
        </is>
      </c>
      <c r="B129" s="1" t="n">
        <v>43888</v>
      </c>
      <c r="C129" s="1" t="n">
        <v>45629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18139-2020</t>
        </is>
      </c>
      <c r="B130" s="1" t="n">
        <v>43924</v>
      </c>
      <c r="C130" s="1" t="n">
        <v>45629</v>
      </c>
      <c r="D130" t="inlineStr">
        <is>
          <t>VÄSTERBOTTENS LÄN</t>
        </is>
      </c>
      <c r="E130" t="inlineStr">
        <is>
          <t>ÅSELE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19590-2020</t>
        </is>
      </c>
      <c r="B131" s="1" t="n">
        <v>43936</v>
      </c>
      <c r="C131" s="1" t="n">
        <v>45629</v>
      </c>
      <c r="D131" t="inlineStr">
        <is>
          <t>VÄSTERBOTTENS LÄN</t>
        </is>
      </c>
      <c r="E131" t="inlineStr">
        <is>
          <t>ÅSELE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19588-2020</t>
        </is>
      </c>
      <c r="B132" s="1" t="n">
        <v>43936</v>
      </c>
      <c r="C132" s="1" t="n">
        <v>45629</v>
      </c>
      <c r="D132" t="inlineStr">
        <is>
          <t>VÄSTERBOTTENS LÄN</t>
        </is>
      </c>
      <c r="E132" t="inlineStr">
        <is>
          <t>ÅSELE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22145-2020</t>
        </is>
      </c>
      <c r="B133" s="1" t="n">
        <v>43961</v>
      </c>
      <c r="C133" s="1" t="n">
        <v>45629</v>
      </c>
      <c r="D133" t="inlineStr">
        <is>
          <t>VÄSTERBOTTENS LÄN</t>
        </is>
      </c>
      <c r="E133" t="inlineStr">
        <is>
          <t>ÅSELE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24315-2020</t>
        </is>
      </c>
      <c r="B134" s="1" t="n">
        <v>43976</v>
      </c>
      <c r="C134" s="1" t="n">
        <v>45629</v>
      </c>
      <c r="D134" t="inlineStr">
        <is>
          <t>VÄSTERBOTTENS LÄN</t>
        </is>
      </c>
      <c r="E134" t="inlineStr">
        <is>
          <t>ÅSELE</t>
        </is>
      </c>
      <c r="F134" t="inlineStr">
        <is>
          <t>Sveaskog</t>
        </is>
      </c>
      <c r="G134" t="n">
        <v>31.2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25186-2020</t>
        </is>
      </c>
      <c r="B135" s="1" t="n">
        <v>43980</v>
      </c>
      <c r="C135" s="1" t="n">
        <v>45629</v>
      </c>
      <c r="D135" t="inlineStr">
        <is>
          <t>VÄSTERBOTTENS LÄN</t>
        </is>
      </c>
      <c r="E135" t="inlineStr">
        <is>
          <t>ÅSELE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25435-2020</t>
        </is>
      </c>
      <c r="B136" s="1" t="n">
        <v>43980</v>
      </c>
      <c r="C136" s="1" t="n">
        <v>45629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25452-2020</t>
        </is>
      </c>
      <c r="B137" s="1" t="n">
        <v>43983</v>
      </c>
      <c r="C137" s="1" t="n">
        <v>45629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26484-2020</t>
        </is>
      </c>
      <c r="B138" s="1" t="n">
        <v>43987</v>
      </c>
      <c r="C138" s="1" t="n">
        <v>45629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27966-2020</t>
        </is>
      </c>
      <c r="B139" s="1" t="n">
        <v>43993</v>
      </c>
      <c r="C139" s="1" t="n">
        <v>45629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27972-2020</t>
        </is>
      </c>
      <c r="B140" s="1" t="n">
        <v>43993</v>
      </c>
      <c r="C140" s="1" t="n">
        <v>45629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27971-2020</t>
        </is>
      </c>
      <c r="B141" s="1" t="n">
        <v>43993</v>
      </c>
      <c r="C141" s="1" t="n">
        <v>45629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29481-2020</t>
        </is>
      </c>
      <c r="B142" s="1" t="n">
        <v>44004</v>
      </c>
      <c r="C142" s="1" t="n">
        <v>45629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30342-2020</t>
        </is>
      </c>
      <c r="B143" s="1" t="n">
        <v>44007</v>
      </c>
      <c r="C143" s="1" t="n">
        <v>45629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32079-2020</t>
        </is>
      </c>
      <c r="B144" s="1" t="n">
        <v>44014</v>
      </c>
      <c r="C144" s="1" t="n">
        <v>45629</v>
      </c>
      <c r="D144" t="inlineStr">
        <is>
          <t>VÄSTERBOTTENS LÄN</t>
        </is>
      </c>
      <c r="E144" t="inlineStr">
        <is>
          <t>ÅSELE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33771-2020</t>
        </is>
      </c>
      <c r="B145" s="1" t="n">
        <v>44026</v>
      </c>
      <c r="C145" s="1" t="n">
        <v>45629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34099-2020</t>
        </is>
      </c>
      <c r="B146" s="1" t="n">
        <v>44028</v>
      </c>
      <c r="C146" s="1" t="n">
        <v>45629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34170-2020</t>
        </is>
      </c>
      <c r="B147" s="1" t="n">
        <v>44029</v>
      </c>
      <c r="C147" s="1" t="n">
        <v>45629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34510-2020</t>
        </is>
      </c>
      <c r="B148" s="1" t="n">
        <v>44029</v>
      </c>
      <c r="C148" s="1" t="n">
        <v>45629</v>
      </c>
      <c r="D148" t="inlineStr">
        <is>
          <t>VÄSTERBOTTENS LÄN</t>
        </is>
      </c>
      <c r="E148" t="inlineStr">
        <is>
          <t>ÅSELE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34522-2020</t>
        </is>
      </c>
      <c r="B149" s="1" t="n">
        <v>44029</v>
      </c>
      <c r="C149" s="1" t="n">
        <v>45629</v>
      </c>
      <c r="D149" t="inlineStr">
        <is>
          <t>VÄSTERBOTTENS LÄN</t>
        </is>
      </c>
      <c r="E149" t="inlineStr">
        <is>
          <t>ÅSELE</t>
        </is>
      </c>
      <c r="G149" t="n">
        <v>35.2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34520-2020</t>
        </is>
      </c>
      <c r="B150" s="1" t="n">
        <v>44029</v>
      </c>
      <c r="C150" s="1" t="n">
        <v>45629</v>
      </c>
      <c r="D150" t="inlineStr">
        <is>
          <t>VÄSTERBOTTENS LÄN</t>
        </is>
      </c>
      <c r="E150" t="inlineStr">
        <is>
          <t>ÅSELE</t>
        </is>
      </c>
      <c r="G150" t="n">
        <v>26.7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34516-2020</t>
        </is>
      </c>
      <c r="B151" s="1" t="n">
        <v>44029</v>
      </c>
      <c r="C151" s="1" t="n">
        <v>45629</v>
      </c>
      <c r="D151" t="inlineStr">
        <is>
          <t>VÄSTERBOTTENS LÄN</t>
        </is>
      </c>
      <c r="E151" t="inlineStr">
        <is>
          <t>ÅSELE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36514-2020</t>
        </is>
      </c>
      <c r="B152" s="1" t="n">
        <v>44050</v>
      </c>
      <c r="C152" s="1" t="n">
        <v>45629</v>
      </c>
      <c r="D152" t="inlineStr">
        <is>
          <t>VÄSTERBOTTENS LÄN</t>
        </is>
      </c>
      <c r="E152" t="inlineStr">
        <is>
          <t>ÅSELE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37309-2020</t>
        </is>
      </c>
      <c r="B153" s="1" t="n">
        <v>44054</v>
      </c>
      <c r="C153" s="1" t="n">
        <v>45629</v>
      </c>
      <c r="D153" t="inlineStr">
        <is>
          <t>VÄSTERBOTTENS LÄN</t>
        </is>
      </c>
      <c r="E153" t="inlineStr">
        <is>
          <t>ÅSELE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38392-2020</t>
        </is>
      </c>
      <c r="B154" s="1" t="n">
        <v>44060</v>
      </c>
      <c r="C154" s="1" t="n">
        <v>45629</v>
      </c>
      <c r="D154" t="inlineStr">
        <is>
          <t>VÄSTERBOTTENS LÄN</t>
        </is>
      </c>
      <c r="E154" t="inlineStr">
        <is>
          <t>ÅSELE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41246-2020</t>
        </is>
      </c>
      <c r="B155" s="1" t="n">
        <v>44071</v>
      </c>
      <c r="C155" s="1" t="n">
        <v>45629</v>
      </c>
      <c r="D155" t="inlineStr">
        <is>
          <t>VÄSTERBOTTENS LÄN</t>
        </is>
      </c>
      <c r="E155" t="inlineStr">
        <is>
          <t>ÅSELE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43619-2020</t>
        </is>
      </c>
      <c r="B156" s="1" t="n">
        <v>44078</v>
      </c>
      <c r="C156" s="1" t="n">
        <v>45629</v>
      </c>
      <c r="D156" t="inlineStr">
        <is>
          <t>VÄSTERBOTTENS LÄN</t>
        </is>
      </c>
      <c r="E156" t="inlineStr">
        <is>
          <t>ÅSELE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43800-2020</t>
        </is>
      </c>
      <c r="B157" s="1" t="n">
        <v>44082</v>
      </c>
      <c r="C157" s="1" t="n">
        <v>45629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43811-2020</t>
        </is>
      </c>
      <c r="B158" s="1" t="n">
        <v>44082</v>
      </c>
      <c r="C158" s="1" t="n">
        <v>45629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46883-2020</t>
        </is>
      </c>
      <c r="B159" s="1" t="n">
        <v>44089</v>
      </c>
      <c r="C159" s="1" t="n">
        <v>45629</v>
      </c>
      <c r="D159" t="inlineStr">
        <is>
          <t>VÄSTERBOTTENS LÄN</t>
        </is>
      </c>
      <c r="E159" t="inlineStr">
        <is>
          <t>ÅSELE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46856-2020</t>
        </is>
      </c>
      <c r="B160" s="1" t="n">
        <v>44089</v>
      </c>
      <c r="C160" s="1" t="n">
        <v>45629</v>
      </c>
      <c r="D160" t="inlineStr">
        <is>
          <t>VÄSTERBOTTENS LÄN</t>
        </is>
      </c>
      <c r="E160" t="inlineStr">
        <is>
          <t>ÅSELE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46835-2020</t>
        </is>
      </c>
      <c r="B161" s="1" t="n">
        <v>44089</v>
      </c>
      <c r="C161" s="1" t="n">
        <v>45629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46862-2020</t>
        </is>
      </c>
      <c r="B162" s="1" t="n">
        <v>44089</v>
      </c>
      <c r="C162" s="1" t="n">
        <v>45629</v>
      </c>
      <c r="D162" t="inlineStr">
        <is>
          <t>VÄSTERBOTTENS LÄN</t>
        </is>
      </c>
      <c r="E162" t="inlineStr">
        <is>
          <t>ÅSELE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45623-2020</t>
        </is>
      </c>
      <c r="B163" s="1" t="n">
        <v>44090</v>
      </c>
      <c r="C163" s="1" t="n">
        <v>45629</v>
      </c>
      <c r="D163" t="inlineStr">
        <is>
          <t>VÄSTERBOTTENS LÄN</t>
        </is>
      </c>
      <c r="E163" t="inlineStr">
        <is>
          <t>ÅSELE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46917-2020</t>
        </is>
      </c>
      <c r="B164" s="1" t="n">
        <v>44090</v>
      </c>
      <c r="C164" s="1" t="n">
        <v>45629</v>
      </c>
      <c r="D164" t="inlineStr">
        <is>
          <t>VÄSTERBOTTENS LÄN</t>
        </is>
      </c>
      <c r="E164" t="inlineStr">
        <is>
          <t>ÅSELE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46911-2020</t>
        </is>
      </c>
      <c r="B165" s="1" t="n">
        <v>44090</v>
      </c>
      <c r="C165" s="1" t="n">
        <v>45629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46913-2020</t>
        </is>
      </c>
      <c r="B166" s="1" t="n">
        <v>44090</v>
      </c>
      <c r="C166" s="1" t="n">
        <v>45629</v>
      </c>
      <c r="D166" t="inlineStr">
        <is>
          <t>VÄSTERBOTTENS LÄN</t>
        </is>
      </c>
      <c r="E166" t="inlineStr">
        <is>
          <t>ÅSELE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47103-2020</t>
        </is>
      </c>
      <c r="B167" s="1" t="n">
        <v>44096</v>
      </c>
      <c r="C167" s="1" t="n">
        <v>45629</v>
      </c>
      <c r="D167" t="inlineStr">
        <is>
          <t>VÄSTERBOTTENS LÄN</t>
        </is>
      </c>
      <c r="E167" t="inlineStr">
        <is>
          <t>ÅSELE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49836-2020</t>
        </is>
      </c>
      <c r="B168" s="1" t="n">
        <v>44106</v>
      </c>
      <c r="C168" s="1" t="n">
        <v>45629</v>
      </c>
      <c r="D168" t="inlineStr">
        <is>
          <t>VÄSTERBOTTENS LÄN</t>
        </is>
      </c>
      <c r="E168" t="inlineStr">
        <is>
          <t>ÅSELE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49841-2020</t>
        </is>
      </c>
      <c r="B169" s="1" t="n">
        <v>44106</v>
      </c>
      <c r="C169" s="1" t="n">
        <v>45629</v>
      </c>
      <c r="D169" t="inlineStr">
        <is>
          <t>VÄSTERBOTTENS LÄN</t>
        </is>
      </c>
      <c r="E169" t="inlineStr">
        <is>
          <t>ÅSELE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49840-2020</t>
        </is>
      </c>
      <c r="B170" s="1" t="n">
        <v>44106</v>
      </c>
      <c r="C170" s="1" t="n">
        <v>45629</v>
      </c>
      <c r="D170" t="inlineStr">
        <is>
          <t>VÄSTERBOTTENS LÄN</t>
        </is>
      </c>
      <c r="E170" t="inlineStr">
        <is>
          <t>ÅSELE</t>
        </is>
      </c>
      <c r="F170" t="inlineStr">
        <is>
          <t>SCA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51762-2020</t>
        </is>
      </c>
      <c r="B171" s="1" t="n">
        <v>44115</v>
      </c>
      <c r="C171" s="1" t="n">
        <v>45629</v>
      </c>
      <c r="D171" t="inlineStr">
        <is>
          <t>VÄSTERBOTTENS LÄN</t>
        </is>
      </c>
      <c r="E171" t="inlineStr">
        <is>
          <t>ÅSELE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51958-2020</t>
        </is>
      </c>
      <c r="B172" s="1" t="n">
        <v>44116</v>
      </c>
      <c r="C172" s="1" t="n">
        <v>45629</v>
      </c>
      <c r="D172" t="inlineStr">
        <is>
          <t>VÄSTERBOTTENS LÄN</t>
        </is>
      </c>
      <c r="E172" t="inlineStr">
        <is>
          <t>ÅSELE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52171-2020</t>
        </is>
      </c>
      <c r="B173" s="1" t="n">
        <v>44117</v>
      </c>
      <c r="C173" s="1" t="n">
        <v>45629</v>
      </c>
      <c r="D173" t="inlineStr">
        <is>
          <t>VÄSTERBOTTENS LÄN</t>
        </is>
      </c>
      <c r="E173" t="inlineStr">
        <is>
          <t>ÅSELE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54653-2020</t>
        </is>
      </c>
      <c r="B174" s="1" t="n">
        <v>44125</v>
      </c>
      <c r="C174" s="1" t="n">
        <v>45629</v>
      </c>
      <c r="D174" t="inlineStr">
        <is>
          <t>VÄSTERBOTTENS LÄN</t>
        </is>
      </c>
      <c r="E174" t="inlineStr">
        <is>
          <t>ÅSELE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55882-2020</t>
        </is>
      </c>
      <c r="B175" s="1" t="n">
        <v>44132</v>
      </c>
      <c r="C175" s="1" t="n">
        <v>45629</v>
      </c>
      <c r="D175" t="inlineStr">
        <is>
          <t>VÄSTERBOTTENS LÄN</t>
        </is>
      </c>
      <c r="E175" t="inlineStr">
        <is>
          <t>ÅSELE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55927-2020</t>
        </is>
      </c>
      <c r="B176" s="1" t="n">
        <v>44132</v>
      </c>
      <c r="C176" s="1" t="n">
        <v>45629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55929-2020</t>
        </is>
      </c>
      <c r="B177" s="1" t="n">
        <v>44132</v>
      </c>
      <c r="C177" s="1" t="n">
        <v>45629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56145-2020</t>
        </is>
      </c>
      <c r="B178" s="1" t="n">
        <v>44133</v>
      </c>
      <c r="C178" s="1" t="n">
        <v>45629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56827-2020</t>
        </is>
      </c>
      <c r="B179" s="1" t="n">
        <v>44134</v>
      </c>
      <c r="C179" s="1" t="n">
        <v>45629</v>
      </c>
      <c r="D179" t="inlineStr">
        <is>
          <t>VÄSTERBOTTENS LÄN</t>
        </is>
      </c>
      <c r="E179" t="inlineStr">
        <is>
          <t>ÅSELE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57865-2020</t>
        </is>
      </c>
      <c r="B180" s="1" t="n">
        <v>44141</v>
      </c>
      <c r="C180" s="1" t="n">
        <v>45629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59309-2020</t>
        </is>
      </c>
      <c r="B181" s="1" t="n">
        <v>44147</v>
      </c>
      <c r="C181" s="1" t="n">
        <v>45629</v>
      </c>
      <c r="D181" t="inlineStr">
        <is>
          <t>VÄSTERBOTTENS LÄN</t>
        </is>
      </c>
      <c r="E181" t="inlineStr">
        <is>
          <t>ÅSELE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59307-2020</t>
        </is>
      </c>
      <c r="B182" s="1" t="n">
        <v>44147</v>
      </c>
      <c r="C182" s="1" t="n">
        <v>45629</v>
      </c>
      <c r="D182" t="inlineStr">
        <is>
          <t>VÄSTERBOTTENS LÄN</t>
        </is>
      </c>
      <c r="E182" t="inlineStr">
        <is>
          <t>ÅSELE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59585-2020</t>
        </is>
      </c>
      <c r="B183" s="1" t="n">
        <v>44148</v>
      </c>
      <c r="C183" s="1" t="n">
        <v>45629</v>
      </c>
      <c r="D183" t="inlineStr">
        <is>
          <t>VÄSTERBOTTENS LÄN</t>
        </is>
      </c>
      <c r="E183" t="inlineStr">
        <is>
          <t>ÅSELE</t>
        </is>
      </c>
      <c r="F183" t="inlineStr">
        <is>
          <t>Kommuner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60033-2020</t>
        </is>
      </c>
      <c r="B184" s="1" t="n">
        <v>44151</v>
      </c>
      <c r="C184" s="1" t="n">
        <v>45629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60032-2020</t>
        </is>
      </c>
      <c r="B185" s="1" t="n">
        <v>44151</v>
      </c>
      <c r="C185" s="1" t="n">
        <v>45629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60038-2020</t>
        </is>
      </c>
      <c r="B186" s="1" t="n">
        <v>44151</v>
      </c>
      <c r="C186" s="1" t="n">
        <v>45629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60596-2020</t>
        </is>
      </c>
      <c r="B187" s="1" t="n">
        <v>44152</v>
      </c>
      <c r="C187" s="1" t="n">
        <v>45629</v>
      </c>
      <c r="D187" t="inlineStr">
        <is>
          <t>VÄSTERBOTTENS LÄN</t>
        </is>
      </c>
      <c r="E187" t="inlineStr">
        <is>
          <t>ÅSELE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62886-2020</t>
        </is>
      </c>
      <c r="B188" s="1" t="n">
        <v>44161</v>
      </c>
      <c r="C188" s="1" t="n">
        <v>45629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63244-2020</t>
        </is>
      </c>
      <c r="B189" s="1" t="n">
        <v>44163</v>
      </c>
      <c r="C189" s="1" t="n">
        <v>45629</v>
      </c>
      <c r="D189" t="inlineStr">
        <is>
          <t>VÄSTERBOTTENS LÄN</t>
        </is>
      </c>
      <c r="E189" t="inlineStr">
        <is>
          <t>ÅSELE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63826-2020</t>
        </is>
      </c>
      <c r="B190" s="1" t="n">
        <v>44166</v>
      </c>
      <c r="C190" s="1" t="n">
        <v>45629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64478-2020</t>
        </is>
      </c>
      <c r="B191" s="1" t="n">
        <v>44168</v>
      </c>
      <c r="C191" s="1" t="n">
        <v>45629</v>
      </c>
      <c r="D191" t="inlineStr">
        <is>
          <t>VÄSTERBOTTENS LÄN</t>
        </is>
      </c>
      <c r="E191" t="inlineStr">
        <is>
          <t>ÅSELE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64835-2020</t>
        </is>
      </c>
      <c r="B192" s="1" t="n">
        <v>44170</v>
      </c>
      <c r="C192" s="1" t="n">
        <v>45629</v>
      </c>
      <c r="D192" t="inlineStr">
        <is>
          <t>VÄSTERBOTTENS LÄN</t>
        </is>
      </c>
      <c r="E192" t="inlineStr">
        <is>
          <t>ÅSELE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64834-2020</t>
        </is>
      </c>
      <c r="B193" s="1" t="n">
        <v>44170</v>
      </c>
      <c r="C193" s="1" t="n">
        <v>45629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64875-2020</t>
        </is>
      </c>
      <c r="B194" s="1" t="n">
        <v>44171</v>
      </c>
      <c r="C194" s="1" t="n">
        <v>45629</v>
      </c>
      <c r="D194" t="inlineStr">
        <is>
          <t>VÄSTERBOTTENS LÄN</t>
        </is>
      </c>
      <c r="E194" t="inlineStr">
        <is>
          <t>ÅSELE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64881-2020</t>
        </is>
      </c>
      <c r="B195" s="1" t="n">
        <v>44171</v>
      </c>
      <c r="C195" s="1" t="n">
        <v>45629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66079-2020</t>
        </is>
      </c>
      <c r="B196" s="1" t="n">
        <v>44175</v>
      </c>
      <c r="C196" s="1" t="n">
        <v>45629</v>
      </c>
      <c r="D196" t="inlineStr">
        <is>
          <t>VÄSTERBOTTENS LÄN</t>
        </is>
      </c>
      <c r="E196" t="inlineStr">
        <is>
          <t>ÅSELE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68798-2020</t>
        </is>
      </c>
      <c r="B197" s="1" t="n">
        <v>44186</v>
      </c>
      <c r="C197" s="1" t="n">
        <v>45629</v>
      </c>
      <c r="D197" t="inlineStr">
        <is>
          <t>VÄSTERBOTTENS LÄN</t>
        </is>
      </c>
      <c r="E197" t="inlineStr">
        <is>
          <t>ÅSELE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69423-2020</t>
        </is>
      </c>
      <c r="B198" s="1" t="n">
        <v>44193</v>
      </c>
      <c r="C198" s="1" t="n">
        <v>45629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974-2021</t>
        </is>
      </c>
      <c r="B199" s="1" t="n">
        <v>44207</v>
      </c>
      <c r="C199" s="1" t="n">
        <v>45629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1820-2021</t>
        </is>
      </c>
      <c r="B200" s="1" t="n">
        <v>44210</v>
      </c>
      <c r="C200" s="1" t="n">
        <v>45629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2407-2021</t>
        </is>
      </c>
      <c r="B201" s="1" t="n">
        <v>44211</v>
      </c>
      <c r="C201" s="1" t="n">
        <v>45629</v>
      </c>
      <c r="D201" t="inlineStr">
        <is>
          <t>VÄSTERBOTTENS LÄN</t>
        </is>
      </c>
      <c r="E201" t="inlineStr">
        <is>
          <t>ÅSELE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3567-2021</t>
        </is>
      </c>
      <c r="B202" s="1" t="n">
        <v>44218</v>
      </c>
      <c r="C202" s="1" t="n">
        <v>45629</v>
      </c>
      <c r="D202" t="inlineStr">
        <is>
          <t>VÄSTERBOTTENS LÄN</t>
        </is>
      </c>
      <c r="E202" t="inlineStr">
        <is>
          <t>ÅSELE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3566-2021</t>
        </is>
      </c>
      <c r="B203" s="1" t="n">
        <v>44218</v>
      </c>
      <c r="C203" s="1" t="n">
        <v>45629</v>
      </c>
      <c r="D203" t="inlineStr">
        <is>
          <t>VÄSTERBOTTENS LÄN</t>
        </is>
      </c>
      <c r="E203" t="inlineStr">
        <is>
          <t>ÅSELE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5597-2021</t>
        </is>
      </c>
      <c r="B204" s="1" t="n">
        <v>44230</v>
      </c>
      <c r="C204" s="1" t="n">
        <v>45629</v>
      </c>
      <c r="D204" t="inlineStr">
        <is>
          <t>VÄSTERBOTTENS LÄN</t>
        </is>
      </c>
      <c r="E204" t="inlineStr">
        <is>
          <t>ÅSELE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6011-2021</t>
        </is>
      </c>
      <c r="B205" s="1" t="n">
        <v>44231</v>
      </c>
      <c r="C205" s="1" t="n">
        <v>45629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6023-2021</t>
        </is>
      </c>
      <c r="B206" s="1" t="n">
        <v>44231</v>
      </c>
      <c r="C206" s="1" t="n">
        <v>45629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6022-2021</t>
        </is>
      </c>
      <c r="B207" s="1" t="n">
        <v>44231</v>
      </c>
      <c r="C207" s="1" t="n">
        <v>45629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21935-2021</t>
        </is>
      </c>
      <c r="B208" s="1" t="n">
        <v>44323</v>
      </c>
      <c r="C208" s="1" t="n">
        <v>45629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23022-2021</t>
        </is>
      </c>
      <c r="B209" s="1" t="n">
        <v>44328</v>
      </c>
      <c r="C209" s="1" t="n">
        <v>45629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25129-2021</t>
        </is>
      </c>
      <c r="B210" s="1" t="n">
        <v>44341</v>
      </c>
      <c r="C210" s="1" t="n">
        <v>45629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25816-2021</t>
        </is>
      </c>
      <c r="B211" s="1" t="n">
        <v>44344</v>
      </c>
      <c r="C211" s="1" t="n">
        <v>45629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26030-2021</t>
        </is>
      </c>
      <c r="B212" s="1" t="n">
        <v>44344</v>
      </c>
      <c r="C212" s="1" t="n">
        <v>45629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26032-2021</t>
        </is>
      </c>
      <c r="B213" s="1" t="n">
        <v>44344</v>
      </c>
      <c r="C213" s="1" t="n">
        <v>45629</v>
      </c>
      <c r="D213" t="inlineStr">
        <is>
          <t>VÄSTERBOTTENS LÄN</t>
        </is>
      </c>
      <c r="E213" t="inlineStr">
        <is>
          <t>ÅSELE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27315-2021</t>
        </is>
      </c>
      <c r="B214" s="1" t="n">
        <v>44350</v>
      </c>
      <c r="C214" s="1" t="n">
        <v>45629</v>
      </c>
      <c r="D214" t="inlineStr">
        <is>
          <t>VÄSTERBOTTENS LÄN</t>
        </is>
      </c>
      <c r="E214" t="inlineStr">
        <is>
          <t>ÅSELE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27301-2021</t>
        </is>
      </c>
      <c r="B215" s="1" t="n">
        <v>44350</v>
      </c>
      <c r="C215" s="1" t="n">
        <v>45629</v>
      </c>
      <c r="D215" t="inlineStr">
        <is>
          <t>VÄSTERBOTTENS LÄN</t>
        </is>
      </c>
      <c r="E215" t="inlineStr">
        <is>
          <t>ÅSELE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27432-2021</t>
        </is>
      </c>
      <c r="B216" s="1" t="n">
        <v>44351</v>
      </c>
      <c r="C216" s="1" t="n">
        <v>45629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28608-2021</t>
        </is>
      </c>
      <c r="B217" s="1" t="n">
        <v>44356</v>
      </c>
      <c r="C217" s="1" t="n">
        <v>45629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28609-2021</t>
        </is>
      </c>
      <c r="B218" s="1" t="n">
        <v>44357</v>
      </c>
      <c r="C218" s="1" t="n">
        <v>45629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28610-2021</t>
        </is>
      </c>
      <c r="B219" s="1" t="n">
        <v>44357</v>
      </c>
      <c r="C219" s="1" t="n">
        <v>45629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31105-2021</t>
        </is>
      </c>
      <c r="B220" s="1" t="n">
        <v>44368</v>
      </c>
      <c r="C220" s="1" t="n">
        <v>45629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32178-2021</t>
        </is>
      </c>
      <c r="B221" s="1" t="n">
        <v>44371</v>
      </c>
      <c r="C221" s="1" t="n">
        <v>45629</v>
      </c>
      <c r="D221" t="inlineStr">
        <is>
          <t>VÄSTERBOTTENS LÄN</t>
        </is>
      </c>
      <c r="E221" t="inlineStr">
        <is>
          <t>ÅSELE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33202-2021</t>
        </is>
      </c>
      <c r="B222" s="1" t="n">
        <v>44377</v>
      </c>
      <c r="C222" s="1" t="n">
        <v>45629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33219-2021</t>
        </is>
      </c>
      <c r="B223" s="1" t="n">
        <v>44377</v>
      </c>
      <c r="C223" s="1" t="n">
        <v>45629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33204-2021</t>
        </is>
      </c>
      <c r="B224" s="1" t="n">
        <v>44377</v>
      </c>
      <c r="C224" s="1" t="n">
        <v>45629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33220-2021</t>
        </is>
      </c>
      <c r="B225" s="1" t="n">
        <v>44377</v>
      </c>
      <c r="C225" s="1" t="n">
        <v>45629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33524-2021</t>
        </is>
      </c>
      <c r="B226" s="1" t="n">
        <v>44377</v>
      </c>
      <c r="C226" s="1" t="n">
        <v>45629</v>
      </c>
      <c r="D226" t="inlineStr">
        <is>
          <t>VÄSTERBOTTENS LÄN</t>
        </is>
      </c>
      <c r="E226" t="inlineStr">
        <is>
          <t>ÅSELE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33523-2021</t>
        </is>
      </c>
      <c r="B227" s="1" t="n">
        <v>44377</v>
      </c>
      <c r="C227" s="1" t="n">
        <v>45629</v>
      </c>
      <c r="D227" t="inlineStr">
        <is>
          <t>VÄSTERBOTTENS LÄN</t>
        </is>
      </c>
      <c r="E227" t="inlineStr">
        <is>
          <t>ÅSELE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33571-2021</t>
        </is>
      </c>
      <c r="B228" s="1" t="n">
        <v>44377</v>
      </c>
      <c r="C228" s="1" t="n">
        <v>45629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33567-2021</t>
        </is>
      </c>
      <c r="B229" s="1" t="n">
        <v>44378</v>
      </c>
      <c r="C229" s="1" t="n">
        <v>45629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34089-2021</t>
        </is>
      </c>
      <c r="B230" s="1" t="n">
        <v>44379</v>
      </c>
      <c r="C230" s="1" t="n">
        <v>45629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34189-2021</t>
        </is>
      </c>
      <c r="B231" s="1" t="n">
        <v>44379</v>
      </c>
      <c r="C231" s="1" t="n">
        <v>45629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34471-2021</t>
        </is>
      </c>
      <c r="B232" s="1" t="n">
        <v>44381</v>
      </c>
      <c r="C232" s="1" t="n">
        <v>45629</v>
      </c>
      <c r="D232" t="inlineStr">
        <is>
          <t>VÄSTERBOTTENS LÄN</t>
        </is>
      </c>
      <c r="E232" t="inlineStr">
        <is>
          <t>ÅSELE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34470-2021</t>
        </is>
      </c>
      <c r="B233" s="1" t="n">
        <v>44382</v>
      </c>
      <c r="C233" s="1" t="n">
        <v>45629</v>
      </c>
      <c r="D233" t="inlineStr">
        <is>
          <t>VÄSTERBOTTENS LÄN</t>
        </is>
      </c>
      <c r="E233" t="inlineStr">
        <is>
          <t>ÅSELE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35561-2021</t>
        </is>
      </c>
      <c r="B234" s="1" t="n">
        <v>44386</v>
      </c>
      <c r="C234" s="1" t="n">
        <v>45629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35779-2021</t>
        </is>
      </c>
      <c r="B235" s="1" t="n">
        <v>44386</v>
      </c>
      <c r="C235" s="1" t="n">
        <v>45629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35754-2021</t>
        </is>
      </c>
      <c r="B236" s="1" t="n">
        <v>44386</v>
      </c>
      <c r="C236" s="1" t="n">
        <v>45629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35745-2021</t>
        </is>
      </c>
      <c r="B237" s="1" t="n">
        <v>44386</v>
      </c>
      <c r="C237" s="1" t="n">
        <v>45629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36452-2021</t>
        </is>
      </c>
      <c r="B238" s="1" t="n">
        <v>44391</v>
      </c>
      <c r="C238" s="1" t="n">
        <v>45629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36460-2021</t>
        </is>
      </c>
      <c r="B239" s="1" t="n">
        <v>44390</v>
      </c>
      <c r="C239" s="1" t="n">
        <v>45629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36449-2021</t>
        </is>
      </c>
      <c r="B240" s="1" t="n">
        <v>44391</v>
      </c>
      <c r="C240" s="1" t="n">
        <v>45629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36450-2021</t>
        </is>
      </c>
      <c r="B241" s="1" t="n">
        <v>44390</v>
      </c>
      <c r="C241" s="1" t="n">
        <v>45629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36676-2021</t>
        </is>
      </c>
      <c r="B242" s="1" t="n">
        <v>44392</v>
      </c>
      <c r="C242" s="1" t="n">
        <v>45629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36927-2021</t>
        </is>
      </c>
      <c r="B243" s="1" t="n">
        <v>44393</v>
      </c>
      <c r="C243" s="1" t="n">
        <v>45629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36940-2021</t>
        </is>
      </c>
      <c r="B244" s="1" t="n">
        <v>44393</v>
      </c>
      <c r="C244" s="1" t="n">
        <v>45629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37483-2021</t>
        </is>
      </c>
      <c r="B245" s="1" t="n">
        <v>44399</v>
      </c>
      <c r="C245" s="1" t="n">
        <v>45629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37964-2021</t>
        </is>
      </c>
      <c r="B246" s="1" t="n">
        <v>44404</v>
      </c>
      <c r="C246" s="1" t="n">
        <v>45629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38475-2021</t>
        </is>
      </c>
      <c r="B247" s="1" t="n">
        <v>44407</v>
      </c>
      <c r="C247" s="1" t="n">
        <v>45629</v>
      </c>
      <c r="D247" t="inlineStr">
        <is>
          <t>VÄSTERBOTTENS LÄN</t>
        </is>
      </c>
      <c r="E247" t="inlineStr">
        <is>
          <t>ÅSELE</t>
        </is>
      </c>
      <c r="F247" t="inlineStr">
        <is>
          <t>Naturvårdsverket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38472-2021</t>
        </is>
      </c>
      <c r="B248" s="1" t="n">
        <v>44407</v>
      </c>
      <c r="C248" s="1" t="n">
        <v>45629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38590-2021</t>
        </is>
      </c>
      <c r="B249" s="1" t="n">
        <v>44407</v>
      </c>
      <c r="C249" s="1" t="n">
        <v>45629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107.3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39938-2021</t>
        </is>
      </c>
      <c r="B250" s="1" t="n">
        <v>44417</v>
      </c>
      <c r="C250" s="1" t="n">
        <v>45629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40133-2021</t>
        </is>
      </c>
      <c r="B251" s="1" t="n">
        <v>44418</v>
      </c>
      <c r="C251" s="1" t="n">
        <v>45629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40503-2021</t>
        </is>
      </c>
      <c r="B252" s="1" t="n">
        <v>44420</v>
      </c>
      <c r="C252" s="1" t="n">
        <v>45629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40560-2021</t>
        </is>
      </c>
      <c r="B253" s="1" t="n">
        <v>44420</v>
      </c>
      <c r="C253" s="1" t="n">
        <v>45629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40755-2021</t>
        </is>
      </c>
      <c r="B254" s="1" t="n">
        <v>44420</v>
      </c>
      <c r="C254" s="1" t="n">
        <v>45629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41456-2021</t>
        </is>
      </c>
      <c r="B255" s="1" t="n">
        <v>44424</v>
      </c>
      <c r="C255" s="1" t="n">
        <v>45629</v>
      </c>
      <c r="D255" t="inlineStr">
        <is>
          <t>VÄSTERBOTTENS LÄN</t>
        </is>
      </c>
      <c r="E255" t="inlineStr">
        <is>
          <t>ÅSELE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42180-2021</t>
        </is>
      </c>
      <c r="B256" s="1" t="n">
        <v>44426</v>
      </c>
      <c r="C256" s="1" t="n">
        <v>45629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42193-2021</t>
        </is>
      </c>
      <c r="B257" s="1" t="n">
        <v>44426</v>
      </c>
      <c r="C257" s="1" t="n">
        <v>45629</v>
      </c>
      <c r="D257" t="inlineStr">
        <is>
          <t>VÄSTERBOTTENS LÄN</t>
        </is>
      </c>
      <c r="E257" t="inlineStr">
        <is>
          <t>ÅSELE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42183-2021</t>
        </is>
      </c>
      <c r="B258" s="1" t="n">
        <v>44426</v>
      </c>
      <c r="C258" s="1" t="n">
        <v>45629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42568-2021</t>
        </is>
      </c>
      <c r="B259" s="1" t="n">
        <v>44428</v>
      </c>
      <c r="C259" s="1" t="n">
        <v>45629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43494-2021</t>
        </is>
      </c>
      <c r="B260" s="1" t="n">
        <v>44433</v>
      </c>
      <c r="C260" s="1" t="n">
        <v>45629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43737-2021</t>
        </is>
      </c>
      <c r="B261" s="1" t="n">
        <v>44433</v>
      </c>
      <c r="C261" s="1" t="n">
        <v>45629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44820-2021</t>
        </is>
      </c>
      <c r="B262" s="1" t="n">
        <v>44438</v>
      </c>
      <c r="C262" s="1" t="n">
        <v>45629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44869-2021</t>
        </is>
      </c>
      <c r="B263" s="1" t="n">
        <v>44438</v>
      </c>
      <c r="C263" s="1" t="n">
        <v>45629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48082-2021</t>
        </is>
      </c>
      <c r="B264" s="1" t="n">
        <v>44449</v>
      </c>
      <c r="C264" s="1" t="n">
        <v>45629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48031-2021</t>
        </is>
      </c>
      <c r="B265" s="1" t="n">
        <v>44449</v>
      </c>
      <c r="C265" s="1" t="n">
        <v>45629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48830-2021</t>
        </is>
      </c>
      <c r="B266" s="1" t="n">
        <v>44453</v>
      </c>
      <c r="C266" s="1" t="n">
        <v>45629</v>
      </c>
      <c r="D266" t="inlineStr">
        <is>
          <t>VÄSTERBOTTENS LÄN</t>
        </is>
      </c>
      <c r="E266" t="inlineStr">
        <is>
          <t>ÅSELE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49803-2021</t>
        </is>
      </c>
      <c r="B267" s="1" t="n">
        <v>44455</v>
      </c>
      <c r="C267" s="1" t="n">
        <v>45629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50424-2021</t>
        </is>
      </c>
      <c r="B268" s="1" t="n">
        <v>44459</v>
      </c>
      <c r="C268" s="1" t="n">
        <v>45629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54098-2021</t>
        </is>
      </c>
      <c r="B269" s="1" t="n">
        <v>44470</v>
      </c>
      <c r="C269" s="1" t="n">
        <v>45629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54136-2021</t>
        </is>
      </c>
      <c r="B270" s="1" t="n">
        <v>44470</v>
      </c>
      <c r="C270" s="1" t="n">
        <v>45629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54432-2021</t>
        </is>
      </c>
      <c r="B271" s="1" t="n">
        <v>44472</v>
      </c>
      <c r="C271" s="1" t="n">
        <v>45629</v>
      </c>
      <c r="D271" t="inlineStr">
        <is>
          <t>VÄSTERBOTTENS LÄN</t>
        </is>
      </c>
      <c r="E271" t="inlineStr">
        <is>
          <t>ÅSELE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54624-2021</t>
        </is>
      </c>
      <c r="B272" s="1" t="n">
        <v>44473</v>
      </c>
      <c r="C272" s="1" t="n">
        <v>45629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54619-2021</t>
        </is>
      </c>
      <c r="B273" s="1" t="n">
        <v>44473</v>
      </c>
      <c r="C273" s="1" t="n">
        <v>45629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54911-2021</t>
        </is>
      </c>
      <c r="B274" s="1" t="n">
        <v>44474</v>
      </c>
      <c r="C274" s="1" t="n">
        <v>45629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55921-2021</t>
        </is>
      </c>
      <c r="B275" s="1" t="n">
        <v>44476</v>
      </c>
      <c r="C275" s="1" t="n">
        <v>45629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55922-2021</t>
        </is>
      </c>
      <c r="B276" s="1" t="n">
        <v>44476</v>
      </c>
      <c r="C276" s="1" t="n">
        <v>45629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55984-2021</t>
        </is>
      </c>
      <c r="B277" s="1" t="n">
        <v>44477</v>
      </c>
      <c r="C277" s="1" t="n">
        <v>45629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56060-2021</t>
        </is>
      </c>
      <c r="B278" s="1" t="n">
        <v>44477</v>
      </c>
      <c r="C278" s="1" t="n">
        <v>45629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57311-2021</t>
        </is>
      </c>
      <c r="B279" s="1" t="n">
        <v>44483</v>
      </c>
      <c r="C279" s="1" t="n">
        <v>45629</v>
      </c>
      <c r="D279" t="inlineStr">
        <is>
          <t>VÄSTERBOTTENS LÄN</t>
        </is>
      </c>
      <c r="E279" t="inlineStr">
        <is>
          <t>ÅSELE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58674-2021</t>
        </is>
      </c>
      <c r="B280" s="1" t="n">
        <v>44489</v>
      </c>
      <c r="C280" s="1" t="n">
        <v>45629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59206-2021</t>
        </is>
      </c>
      <c r="B281" s="1" t="n">
        <v>44490</v>
      </c>
      <c r="C281" s="1" t="n">
        <v>45629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59249-2021</t>
        </is>
      </c>
      <c r="B282" s="1" t="n">
        <v>44490</v>
      </c>
      <c r="C282" s="1" t="n">
        <v>45629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60413-2021</t>
        </is>
      </c>
      <c r="B283" s="1" t="n">
        <v>44496</v>
      </c>
      <c r="C283" s="1" t="n">
        <v>45629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60514-2021</t>
        </is>
      </c>
      <c r="B284" s="1" t="n">
        <v>44496</v>
      </c>
      <c r="C284" s="1" t="n">
        <v>45629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20.9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60575-2021</t>
        </is>
      </c>
      <c r="B285" s="1" t="n">
        <v>44496</v>
      </c>
      <c r="C285" s="1" t="n">
        <v>45629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60517-2021</t>
        </is>
      </c>
      <c r="B286" s="1" t="n">
        <v>44496</v>
      </c>
      <c r="C286" s="1" t="n">
        <v>45629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60524-2021</t>
        </is>
      </c>
      <c r="B287" s="1" t="n">
        <v>44496</v>
      </c>
      <c r="C287" s="1" t="n">
        <v>45629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61023-2021</t>
        </is>
      </c>
      <c r="B288" s="1" t="n">
        <v>44497</v>
      </c>
      <c r="C288" s="1" t="n">
        <v>45629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60984-2021</t>
        </is>
      </c>
      <c r="B289" s="1" t="n">
        <v>44497</v>
      </c>
      <c r="C289" s="1" t="n">
        <v>45629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61289-2021</t>
        </is>
      </c>
      <c r="B290" s="1" t="n">
        <v>44498</v>
      </c>
      <c r="C290" s="1" t="n">
        <v>45629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61296-2021</t>
        </is>
      </c>
      <c r="B291" s="1" t="n">
        <v>44498</v>
      </c>
      <c r="C291" s="1" t="n">
        <v>45629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61295-2021</t>
        </is>
      </c>
      <c r="B292" s="1" t="n">
        <v>44498</v>
      </c>
      <c r="C292" s="1" t="n">
        <v>45629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61299-2021</t>
        </is>
      </c>
      <c r="B293" s="1" t="n">
        <v>44498</v>
      </c>
      <c r="C293" s="1" t="n">
        <v>45629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61297-2021</t>
        </is>
      </c>
      <c r="B294" s="1" t="n">
        <v>44498</v>
      </c>
      <c r="C294" s="1" t="n">
        <v>45629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61542-2021</t>
        </is>
      </c>
      <c r="B295" s="1" t="n">
        <v>44501</v>
      </c>
      <c r="C295" s="1" t="n">
        <v>45629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62268-2021</t>
        </is>
      </c>
      <c r="B296" s="1" t="n">
        <v>44503</v>
      </c>
      <c r="C296" s="1" t="n">
        <v>45629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62534-2021</t>
        </is>
      </c>
      <c r="B297" s="1" t="n">
        <v>44503</v>
      </c>
      <c r="C297" s="1" t="n">
        <v>45629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62545-2021</t>
        </is>
      </c>
      <c r="B298" s="1" t="n">
        <v>44503</v>
      </c>
      <c r="C298" s="1" t="n">
        <v>45629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62993-2021</t>
        </is>
      </c>
      <c r="B299" s="1" t="n">
        <v>44505</v>
      </c>
      <c r="C299" s="1" t="n">
        <v>45629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62975-2021</t>
        </is>
      </c>
      <c r="B300" s="1" t="n">
        <v>44505</v>
      </c>
      <c r="C300" s="1" t="n">
        <v>45629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63026-2021</t>
        </is>
      </c>
      <c r="B301" s="1" t="n">
        <v>44505</v>
      </c>
      <c r="C301" s="1" t="n">
        <v>45629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64075-2021</t>
        </is>
      </c>
      <c r="B302" s="1" t="n">
        <v>44510</v>
      </c>
      <c r="C302" s="1" t="n">
        <v>45629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64666-2021</t>
        </is>
      </c>
      <c r="B303" s="1" t="n">
        <v>44512</v>
      </c>
      <c r="C303" s="1" t="n">
        <v>45629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65502-2021</t>
        </is>
      </c>
      <c r="B304" s="1" t="n">
        <v>44516</v>
      </c>
      <c r="C304" s="1" t="n">
        <v>45629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65478-2021</t>
        </is>
      </c>
      <c r="B305" s="1" t="n">
        <v>44516</v>
      </c>
      <c r="C305" s="1" t="n">
        <v>45629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66188-2021</t>
        </is>
      </c>
      <c r="B306" s="1" t="n">
        <v>44518</v>
      </c>
      <c r="C306" s="1" t="n">
        <v>45629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66557-2021</t>
        </is>
      </c>
      <c r="B307" s="1" t="n">
        <v>44519</v>
      </c>
      <c r="C307" s="1" t="n">
        <v>45629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66514-2021</t>
        </is>
      </c>
      <c r="B308" s="1" t="n">
        <v>44519</v>
      </c>
      <c r="C308" s="1" t="n">
        <v>45629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66612-2021</t>
        </is>
      </c>
      <c r="B309" s="1" t="n">
        <v>44519</v>
      </c>
      <c r="C309" s="1" t="n">
        <v>45629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67107-2021</t>
        </is>
      </c>
      <c r="B310" s="1" t="n">
        <v>44523</v>
      </c>
      <c r="C310" s="1" t="n">
        <v>45629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67685-2021</t>
        </is>
      </c>
      <c r="B311" s="1" t="n">
        <v>44524</v>
      </c>
      <c r="C311" s="1" t="n">
        <v>45629</v>
      </c>
      <c r="D311" t="inlineStr">
        <is>
          <t>VÄSTERBOTTENS LÄN</t>
        </is>
      </c>
      <c r="E311" t="inlineStr">
        <is>
          <t>ÅSELE</t>
        </is>
      </c>
      <c r="F311" t="inlineStr">
        <is>
          <t>SCA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67807-2021</t>
        </is>
      </c>
      <c r="B312" s="1" t="n">
        <v>44525</v>
      </c>
      <c r="C312" s="1" t="n">
        <v>45629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68077-2021</t>
        </is>
      </c>
      <c r="B313" s="1" t="n">
        <v>44526</v>
      </c>
      <c r="C313" s="1" t="n">
        <v>45629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68105-2021</t>
        </is>
      </c>
      <c r="B314" s="1" t="n">
        <v>44526</v>
      </c>
      <c r="C314" s="1" t="n">
        <v>45629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68067-2021</t>
        </is>
      </c>
      <c r="B315" s="1" t="n">
        <v>44526</v>
      </c>
      <c r="C315" s="1" t="n">
        <v>45629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68826-2021</t>
        </is>
      </c>
      <c r="B316" s="1" t="n">
        <v>44530</v>
      </c>
      <c r="C316" s="1" t="n">
        <v>45629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69370-2021</t>
        </is>
      </c>
      <c r="B317" s="1" t="n">
        <v>44531</v>
      </c>
      <c r="C317" s="1" t="n">
        <v>45629</v>
      </c>
      <c r="D317" t="inlineStr">
        <is>
          <t>VÄSTERBOTTENS LÄN</t>
        </is>
      </c>
      <c r="E317" t="inlineStr">
        <is>
          <t>ÅSELE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70189-2021</t>
        </is>
      </c>
      <c r="B318" s="1" t="n">
        <v>44533</v>
      </c>
      <c r="C318" s="1" t="n">
        <v>45629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70186-2021</t>
        </is>
      </c>
      <c r="B319" s="1" t="n">
        <v>44533</v>
      </c>
      <c r="C319" s="1" t="n">
        <v>45629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73402-2021</t>
        </is>
      </c>
      <c r="B320" s="1" t="n">
        <v>44551</v>
      </c>
      <c r="C320" s="1" t="n">
        <v>45629</v>
      </c>
      <c r="D320" t="inlineStr">
        <is>
          <t>VÄSTERBOTTENS LÄN</t>
        </is>
      </c>
      <c r="E320" t="inlineStr">
        <is>
          <t>ÅSELE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73419-2021</t>
        </is>
      </c>
      <c r="B321" s="1" t="n">
        <v>44551</v>
      </c>
      <c r="C321" s="1" t="n">
        <v>45629</v>
      </c>
      <c r="D321" t="inlineStr">
        <is>
          <t>VÄSTERBOTTENS LÄN</t>
        </is>
      </c>
      <c r="E321" t="inlineStr">
        <is>
          <t>ÅSELE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3463-2022</t>
        </is>
      </c>
      <c r="B322" s="1" t="n">
        <v>44585</v>
      </c>
      <c r="C322" s="1" t="n">
        <v>45629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3469-2022</t>
        </is>
      </c>
      <c r="B323" s="1" t="n">
        <v>44585</v>
      </c>
      <c r="C323" s="1" t="n">
        <v>45629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3475-2022</t>
        </is>
      </c>
      <c r="B324" s="1" t="n">
        <v>44585</v>
      </c>
      <c r="C324" s="1" t="n">
        <v>45629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3715-2022</t>
        </is>
      </c>
      <c r="B325" s="1" t="n">
        <v>44586</v>
      </c>
      <c r="C325" s="1" t="n">
        <v>45629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4612-2022</t>
        </is>
      </c>
      <c r="B326" s="1" t="n">
        <v>44592</v>
      </c>
      <c r="C326" s="1" t="n">
        <v>45629</v>
      </c>
      <c r="D326" t="inlineStr">
        <is>
          <t>VÄSTERBOTTENS LÄN</t>
        </is>
      </c>
      <c r="E326" t="inlineStr">
        <is>
          <t>ÅSELE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4619-2022</t>
        </is>
      </c>
      <c r="B327" s="1" t="n">
        <v>44592</v>
      </c>
      <c r="C327" s="1" t="n">
        <v>45629</v>
      </c>
      <c r="D327" t="inlineStr">
        <is>
          <t>VÄSTERBOTTENS LÄN</t>
        </is>
      </c>
      <c r="E327" t="inlineStr">
        <is>
          <t>ÅSELE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4626-2022</t>
        </is>
      </c>
      <c r="B328" s="1" t="n">
        <v>44592</v>
      </c>
      <c r="C328" s="1" t="n">
        <v>45629</v>
      </c>
      <c r="D328" t="inlineStr">
        <is>
          <t>VÄSTERBOTTENS LÄN</t>
        </is>
      </c>
      <c r="E328" t="inlineStr">
        <is>
          <t>ÅSELE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4996-2022</t>
        </is>
      </c>
      <c r="B329" s="1" t="n">
        <v>44593</v>
      </c>
      <c r="C329" s="1" t="n">
        <v>45629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5305-2022</t>
        </is>
      </c>
      <c r="B330" s="1" t="n">
        <v>44594</v>
      </c>
      <c r="C330" s="1" t="n">
        <v>45629</v>
      </c>
      <c r="D330" t="inlineStr">
        <is>
          <t>VÄSTERBOTTENS LÄN</t>
        </is>
      </c>
      <c r="E330" t="inlineStr">
        <is>
          <t>ÅSELE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5641-2022</t>
        </is>
      </c>
      <c r="B331" s="1" t="n">
        <v>44595</v>
      </c>
      <c r="C331" s="1" t="n">
        <v>45629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7694-2022</t>
        </is>
      </c>
      <c r="B332" s="1" t="n">
        <v>44607</v>
      </c>
      <c r="C332" s="1" t="n">
        <v>45629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9007-2022</t>
        </is>
      </c>
      <c r="B333" s="1" t="n">
        <v>44615</v>
      </c>
      <c r="C333" s="1" t="n">
        <v>45629</v>
      </c>
      <c r="D333" t="inlineStr">
        <is>
          <t>VÄSTERBOTTENS LÄN</t>
        </is>
      </c>
      <c r="E333" t="inlineStr">
        <is>
          <t>ÅSELE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11648-2022</t>
        </is>
      </c>
      <c r="B334" s="1" t="n">
        <v>44632</v>
      </c>
      <c r="C334" s="1" t="n">
        <v>45629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12396-2022</t>
        </is>
      </c>
      <c r="B335" s="1" t="n">
        <v>44637</v>
      </c>
      <c r="C335" s="1" t="n">
        <v>45629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12949-2022</t>
        </is>
      </c>
      <c r="B336" s="1" t="n">
        <v>44642</v>
      </c>
      <c r="C336" s="1" t="n">
        <v>45629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14446-2022</t>
        </is>
      </c>
      <c r="B337" s="1" t="n">
        <v>44652</v>
      </c>
      <c r="C337" s="1" t="n">
        <v>45629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14451-2022</t>
        </is>
      </c>
      <c r="B338" s="1" t="n">
        <v>44652</v>
      </c>
      <c r="C338" s="1" t="n">
        <v>45629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15559-2022</t>
        </is>
      </c>
      <c r="B339" s="1" t="n">
        <v>44662</v>
      </c>
      <c r="C339" s="1" t="n">
        <v>45629</v>
      </c>
      <c r="D339" t="inlineStr">
        <is>
          <t>VÄSTERBOTTENS LÄN</t>
        </is>
      </c>
      <c r="E339" t="inlineStr">
        <is>
          <t>ÅSELE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15661-2022</t>
        </is>
      </c>
      <c r="B340" s="1" t="n">
        <v>44662</v>
      </c>
      <c r="C340" s="1" t="n">
        <v>45629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16527-2022</t>
        </is>
      </c>
      <c r="B341" s="1" t="n">
        <v>44672</v>
      </c>
      <c r="C341" s="1" t="n">
        <v>45629</v>
      </c>
      <c r="D341" t="inlineStr">
        <is>
          <t>VÄSTERBOTTENS LÄN</t>
        </is>
      </c>
      <c r="E341" t="inlineStr">
        <is>
          <t>ÅSELE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16846-2022</t>
        </is>
      </c>
      <c r="B342" s="1" t="n">
        <v>44674</v>
      </c>
      <c r="C342" s="1" t="n">
        <v>45629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16843-2022</t>
        </is>
      </c>
      <c r="B343" s="1" t="n">
        <v>44674</v>
      </c>
      <c r="C343" s="1" t="n">
        <v>45629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17255-2022</t>
        </is>
      </c>
      <c r="B344" s="1" t="n">
        <v>44678</v>
      </c>
      <c r="C344" s="1" t="n">
        <v>45629</v>
      </c>
      <c r="D344" t="inlineStr">
        <is>
          <t>VÄSTERBOTTENS LÄN</t>
        </is>
      </c>
      <c r="E344" t="inlineStr">
        <is>
          <t>ÅSELE</t>
        </is>
      </c>
      <c r="F344" t="inlineStr">
        <is>
          <t>Allmännings- och besparingsskogar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17740-2022</t>
        </is>
      </c>
      <c r="B345" s="1" t="n">
        <v>44681</v>
      </c>
      <c r="C345" s="1" t="n">
        <v>45629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18569-2022</t>
        </is>
      </c>
      <c r="B346" s="1" t="n">
        <v>44687</v>
      </c>
      <c r="C346" s="1" t="n">
        <v>45629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18568-2022</t>
        </is>
      </c>
      <c r="B347" s="1" t="n">
        <v>44687</v>
      </c>
      <c r="C347" s="1" t="n">
        <v>45629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18576-2022</t>
        </is>
      </c>
      <c r="B348" s="1" t="n">
        <v>44687</v>
      </c>
      <c r="C348" s="1" t="n">
        <v>45629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18578-2022</t>
        </is>
      </c>
      <c r="B349" s="1" t="n">
        <v>44687</v>
      </c>
      <c r="C349" s="1" t="n">
        <v>45629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18618-2022</t>
        </is>
      </c>
      <c r="B350" s="1" t="n">
        <v>44687</v>
      </c>
      <c r="C350" s="1" t="n">
        <v>45629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19701-2022</t>
        </is>
      </c>
      <c r="B351" s="1" t="n">
        <v>44694</v>
      </c>
      <c r="C351" s="1" t="n">
        <v>45629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19710-2022</t>
        </is>
      </c>
      <c r="B352" s="1" t="n">
        <v>44694</v>
      </c>
      <c r="C352" s="1" t="n">
        <v>45629</v>
      </c>
      <c r="D352" t="inlineStr">
        <is>
          <t>VÄSTERBOTTENS LÄN</t>
        </is>
      </c>
      <c r="E352" t="inlineStr">
        <is>
          <t>ÅSELE</t>
        </is>
      </c>
      <c r="F352" t="inlineStr">
        <is>
          <t>Naturvårdsverket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19705-2022</t>
        </is>
      </c>
      <c r="B353" s="1" t="n">
        <v>44694</v>
      </c>
      <c r="C353" s="1" t="n">
        <v>45629</v>
      </c>
      <c r="D353" t="inlineStr">
        <is>
          <t>VÄSTERBOTTENS LÄN</t>
        </is>
      </c>
      <c r="E353" t="inlineStr">
        <is>
          <t>ÅSELE</t>
        </is>
      </c>
      <c r="F353" t="inlineStr">
        <is>
          <t>Naturvårdsverket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20068-2022</t>
        </is>
      </c>
      <c r="B354" s="1" t="n">
        <v>44697</v>
      </c>
      <c r="C354" s="1" t="n">
        <v>45629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20087-2022</t>
        </is>
      </c>
      <c r="B355" s="1" t="n">
        <v>44698</v>
      </c>
      <c r="C355" s="1" t="n">
        <v>45629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20140-2022</t>
        </is>
      </c>
      <c r="B356" s="1" t="n">
        <v>44698</v>
      </c>
      <c r="C356" s="1" t="n">
        <v>45629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20803-2022</t>
        </is>
      </c>
      <c r="B357" s="1" t="n">
        <v>44701</v>
      </c>
      <c r="C357" s="1" t="n">
        <v>45629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21117-2022</t>
        </is>
      </c>
      <c r="B358" s="1" t="n">
        <v>44704</v>
      </c>
      <c r="C358" s="1" t="n">
        <v>45629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21131-2022</t>
        </is>
      </c>
      <c r="B359" s="1" t="n">
        <v>44704</v>
      </c>
      <c r="C359" s="1" t="n">
        <v>45629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21748-2022</t>
        </is>
      </c>
      <c r="B360" s="1" t="n">
        <v>44708</v>
      </c>
      <c r="C360" s="1" t="n">
        <v>45629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21720-2022</t>
        </is>
      </c>
      <c r="B361" s="1" t="n">
        <v>44708</v>
      </c>
      <c r="C361" s="1" t="n">
        <v>45629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21750-2022</t>
        </is>
      </c>
      <c r="B362" s="1" t="n">
        <v>44708</v>
      </c>
      <c r="C362" s="1" t="n">
        <v>45629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21783-2022</t>
        </is>
      </c>
      <c r="B363" s="1" t="n">
        <v>44708</v>
      </c>
      <c r="C363" s="1" t="n">
        <v>45629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21789-2022</t>
        </is>
      </c>
      <c r="B364" s="1" t="n">
        <v>44708</v>
      </c>
      <c r="C364" s="1" t="n">
        <v>45629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29.7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21787-2022</t>
        </is>
      </c>
      <c r="B365" s="1" t="n">
        <v>44708</v>
      </c>
      <c r="C365" s="1" t="n">
        <v>45629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21809-2022</t>
        </is>
      </c>
      <c r="B366" s="1" t="n">
        <v>44709</v>
      </c>
      <c r="C366" s="1" t="n">
        <v>45629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21972-2022</t>
        </is>
      </c>
      <c r="B367" s="1" t="n">
        <v>44711</v>
      </c>
      <c r="C367" s="1" t="n">
        <v>45629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22011-2022</t>
        </is>
      </c>
      <c r="B368" s="1" t="n">
        <v>44711</v>
      </c>
      <c r="C368" s="1" t="n">
        <v>45629</v>
      </c>
      <c r="D368" t="inlineStr">
        <is>
          <t>VÄSTERBOTTENS LÄN</t>
        </is>
      </c>
      <c r="E368" t="inlineStr">
        <is>
          <t>ÅSELE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22550-2022</t>
        </is>
      </c>
      <c r="B369" s="1" t="n">
        <v>44713</v>
      </c>
      <c r="C369" s="1" t="n">
        <v>45629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23189-2022</t>
        </is>
      </c>
      <c r="B370" s="1" t="n">
        <v>44719</v>
      </c>
      <c r="C370" s="1" t="n">
        <v>45629</v>
      </c>
      <c r="D370" t="inlineStr">
        <is>
          <t>VÄSTERBOTTENS LÄN</t>
        </is>
      </c>
      <c r="E370" t="inlineStr">
        <is>
          <t>ÅSELE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23996-2022</t>
        </is>
      </c>
      <c r="B371" s="1" t="n">
        <v>44722</v>
      </c>
      <c r="C371" s="1" t="n">
        <v>45629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24311-2022</t>
        </is>
      </c>
      <c r="B372" s="1" t="n">
        <v>44726</v>
      </c>
      <c r="C372" s="1" t="n">
        <v>45629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24310-2022</t>
        </is>
      </c>
      <c r="B373" s="1" t="n">
        <v>44726</v>
      </c>
      <c r="C373" s="1" t="n">
        <v>45629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24669-2022</t>
        </is>
      </c>
      <c r="B374" s="1" t="n">
        <v>44727</v>
      </c>
      <c r="C374" s="1" t="n">
        <v>45629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24943-2022</t>
        </is>
      </c>
      <c r="B375" s="1" t="n">
        <v>44728</v>
      </c>
      <c r="C375" s="1" t="n">
        <v>45629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24931-2022</t>
        </is>
      </c>
      <c r="B376" s="1" t="n">
        <v>44728</v>
      </c>
      <c r="C376" s="1" t="n">
        <v>45629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Sveaskog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25022-2022</t>
        </is>
      </c>
      <c r="B377" s="1" t="n">
        <v>44729</v>
      </c>
      <c r="C377" s="1" t="n">
        <v>45629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26737-2022</t>
        </is>
      </c>
      <c r="B378" s="1" t="n">
        <v>44740</v>
      </c>
      <c r="C378" s="1" t="n">
        <v>45629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26540-2022</t>
        </is>
      </c>
      <c r="B379" s="1" t="n">
        <v>44739</v>
      </c>
      <c r="C379" s="1" t="n">
        <v>45629</v>
      </c>
      <c r="D379" t="inlineStr">
        <is>
          <t>VÄSTERBOTTENS LÄN</t>
        </is>
      </c>
      <c r="E379" t="inlineStr">
        <is>
          <t>ÅSELE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27094-2022</t>
        </is>
      </c>
      <c r="B380" s="1" t="n">
        <v>44741</v>
      </c>
      <c r="C380" s="1" t="n">
        <v>45629</v>
      </c>
      <c r="D380" t="inlineStr">
        <is>
          <t>VÄSTERBOTTENS LÄN</t>
        </is>
      </c>
      <c r="E380" t="inlineStr">
        <is>
          <t>ÅSELE</t>
        </is>
      </c>
      <c r="F380" t="inlineStr">
        <is>
          <t>Naturvårdsverket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27294-2022</t>
        </is>
      </c>
      <c r="B381" s="1" t="n">
        <v>44742</v>
      </c>
      <c r="C381" s="1" t="n">
        <v>45629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27293-2022</t>
        </is>
      </c>
      <c r="B382" s="1" t="n">
        <v>44742</v>
      </c>
      <c r="C382" s="1" t="n">
        <v>45629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27947-2022</t>
        </is>
      </c>
      <c r="B383" s="1" t="n">
        <v>44744</v>
      </c>
      <c r="C383" s="1" t="n">
        <v>45629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28381-2022</t>
        </is>
      </c>
      <c r="B384" s="1" t="n">
        <v>44747</v>
      </c>
      <c r="C384" s="1" t="n">
        <v>45629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28383-2022</t>
        </is>
      </c>
      <c r="B385" s="1" t="n">
        <v>44747</v>
      </c>
      <c r="C385" s="1" t="n">
        <v>45629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28740-2022</t>
        </is>
      </c>
      <c r="B386" s="1" t="n">
        <v>44749</v>
      </c>
      <c r="C386" s="1" t="n">
        <v>45629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29303-2022</t>
        </is>
      </c>
      <c r="B387" s="1" t="n">
        <v>44751</v>
      </c>
      <c r="C387" s="1" t="n">
        <v>45629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29209-2022</t>
        </is>
      </c>
      <c r="B388" s="1" t="n">
        <v>44750</v>
      </c>
      <c r="C388" s="1" t="n">
        <v>45629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29304-2022</t>
        </is>
      </c>
      <c r="B389" s="1" t="n">
        <v>44750</v>
      </c>
      <c r="C389" s="1" t="n">
        <v>45629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29683-2022</t>
        </is>
      </c>
      <c r="B390" s="1" t="n">
        <v>44754</v>
      </c>
      <c r="C390" s="1" t="n">
        <v>45629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29681-2022</t>
        </is>
      </c>
      <c r="B391" s="1" t="n">
        <v>44755</v>
      </c>
      <c r="C391" s="1" t="n">
        <v>45629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29682-2022</t>
        </is>
      </c>
      <c r="B392" s="1" t="n">
        <v>44755</v>
      </c>
      <c r="C392" s="1" t="n">
        <v>45629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29780-2022</t>
        </is>
      </c>
      <c r="B393" s="1" t="n">
        <v>44755</v>
      </c>
      <c r="C393" s="1" t="n">
        <v>45629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29776-2022</t>
        </is>
      </c>
      <c r="B394" s="1" t="n">
        <v>44755</v>
      </c>
      <c r="C394" s="1" t="n">
        <v>45629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29883-2022</t>
        </is>
      </c>
      <c r="B395" s="1" t="n">
        <v>44756</v>
      </c>
      <c r="C395" s="1" t="n">
        <v>45629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29902-2022</t>
        </is>
      </c>
      <c r="B396" s="1" t="n">
        <v>44756</v>
      </c>
      <c r="C396" s="1" t="n">
        <v>45629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20.6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30129-2022</t>
        </is>
      </c>
      <c r="B397" s="1" t="n">
        <v>44757</v>
      </c>
      <c r="C397" s="1" t="n">
        <v>45629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30475-2022</t>
        </is>
      </c>
      <c r="B398" s="1" t="n">
        <v>44762</v>
      </c>
      <c r="C398" s="1" t="n">
        <v>45629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30491-2022</t>
        </is>
      </c>
      <c r="B399" s="1" t="n">
        <v>44761</v>
      </c>
      <c r="C399" s="1" t="n">
        <v>45629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30476-2022</t>
        </is>
      </c>
      <c r="B400" s="1" t="n">
        <v>44761</v>
      </c>
      <c r="C400" s="1" t="n">
        <v>45629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30938-2022</t>
        </is>
      </c>
      <c r="B401" s="1" t="n">
        <v>44768</v>
      </c>
      <c r="C401" s="1" t="n">
        <v>45629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31134-2022</t>
        </is>
      </c>
      <c r="B402" s="1" t="n">
        <v>44770</v>
      </c>
      <c r="C402" s="1" t="n">
        <v>45629</v>
      </c>
      <c r="D402" t="inlineStr">
        <is>
          <t>VÄSTERBOTTENS LÄN</t>
        </is>
      </c>
      <c r="E402" t="inlineStr">
        <is>
          <t>ÅSELE</t>
        </is>
      </c>
      <c r="F402" t="inlineStr">
        <is>
          <t>Naturvårdsverket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31154-2022</t>
        </is>
      </c>
      <c r="B403" s="1" t="n">
        <v>44770</v>
      </c>
      <c r="C403" s="1" t="n">
        <v>45629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31402-2022</t>
        </is>
      </c>
      <c r="B404" s="1" t="n">
        <v>44774</v>
      </c>
      <c r="C404" s="1" t="n">
        <v>45629</v>
      </c>
      <c r="D404" t="inlineStr">
        <is>
          <t>VÄSTERBOTTENS LÄN</t>
        </is>
      </c>
      <c r="E404" t="inlineStr">
        <is>
          <t>ÅSELE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31488-2022</t>
        </is>
      </c>
      <c r="B405" s="1" t="n">
        <v>44775</v>
      </c>
      <c r="C405" s="1" t="n">
        <v>45629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31848-2022</t>
        </is>
      </c>
      <c r="B406" s="1" t="n">
        <v>44776</v>
      </c>
      <c r="C406" s="1" t="n">
        <v>45629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32120-2022</t>
        </is>
      </c>
      <c r="B407" s="1" t="n">
        <v>44779</v>
      </c>
      <c r="C407" s="1" t="n">
        <v>45629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32117-2022</t>
        </is>
      </c>
      <c r="B408" s="1" t="n">
        <v>44778</v>
      </c>
      <c r="C408" s="1" t="n">
        <v>45629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32116-2022</t>
        </is>
      </c>
      <c r="B409" s="1" t="n">
        <v>44779</v>
      </c>
      <c r="C409" s="1" t="n">
        <v>45629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32214-2022</t>
        </is>
      </c>
      <c r="B410" s="1" t="n">
        <v>44781</v>
      </c>
      <c r="C410" s="1" t="n">
        <v>45629</v>
      </c>
      <c r="D410" t="inlineStr">
        <is>
          <t>VÄSTERBOTTENS LÄN</t>
        </is>
      </c>
      <c r="E410" t="inlineStr">
        <is>
          <t>ÅSELE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32359-2022</t>
        </is>
      </c>
      <c r="B411" s="1" t="n">
        <v>44781</v>
      </c>
      <c r="C411" s="1" t="n">
        <v>45629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32775-2022</t>
        </is>
      </c>
      <c r="B412" s="1" t="n">
        <v>44783</v>
      </c>
      <c r="C412" s="1" t="n">
        <v>45629</v>
      </c>
      <c r="D412" t="inlineStr">
        <is>
          <t>VÄSTERBOTTENS LÄN</t>
        </is>
      </c>
      <c r="E412" t="inlineStr">
        <is>
          <t>ÅSELE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34786-2022</t>
        </is>
      </c>
      <c r="B413" s="1" t="n">
        <v>44796</v>
      </c>
      <c r="C413" s="1" t="n">
        <v>45629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34788-2022</t>
        </is>
      </c>
      <c r="B414" s="1" t="n">
        <v>44795</v>
      </c>
      <c r="C414" s="1" t="n">
        <v>45629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34787-2022</t>
        </is>
      </c>
      <c r="B415" s="1" t="n">
        <v>44795</v>
      </c>
      <c r="C415" s="1" t="n">
        <v>45629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34807-2022</t>
        </is>
      </c>
      <c r="B416" s="1" t="n">
        <v>44796</v>
      </c>
      <c r="C416" s="1" t="n">
        <v>45629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35227-2022</t>
        </is>
      </c>
      <c r="B417" s="1" t="n">
        <v>44798</v>
      </c>
      <c r="C417" s="1" t="n">
        <v>45629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35585-2022</t>
        </is>
      </c>
      <c r="B418" s="1" t="n">
        <v>44799</v>
      </c>
      <c r="C418" s="1" t="n">
        <v>45629</v>
      </c>
      <c r="D418" t="inlineStr">
        <is>
          <t>VÄSTERBOTTENS LÄN</t>
        </is>
      </c>
      <c r="E418" t="inlineStr">
        <is>
          <t>ÅSELE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35598-2022</t>
        </is>
      </c>
      <c r="B419" s="1" t="n">
        <v>44799</v>
      </c>
      <c r="C419" s="1" t="n">
        <v>45629</v>
      </c>
      <c r="D419" t="inlineStr">
        <is>
          <t>VÄSTERBOTTENS LÄN</t>
        </is>
      </c>
      <c r="E419" t="inlineStr">
        <is>
          <t>ÅSELE</t>
        </is>
      </c>
      <c r="F419" t="inlineStr">
        <is>
          <t>Naturvårdsverket</t>
        </is>
      </c>
      <c r="G419" t="n">
        <v>16.2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36094-2022</t>
        </is>
      </c>
      <c r="B420" s="1" t="n">
        <v>44803</v>
      </c>
      <c r="C420" s="1" t="n">
        <v>45629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36186-2022</t>
        </is>
      </c>
      <c r="B421" s="1" t="n">
        <v>44803</v>
      </c>
      <c r="C421" s="1" t="n">
        <v>45629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36185-2022</t>
        </is>
      </c>
      <c r="B422" s="1" t="n">
        <v>44803</v>
      </c>
      <c r="C422" s="1" t="n">
        <v>45629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36184-2022</t>
        </is>
      </c>
      <c r="B423" s="1" t="n">
        <v>44803</v>
      </c>
      <c r="C423" s="1" t="n">
        <v>45629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36188-2022</t>
        </is>
      </c>
      <c r="B424" s="1" t="n">
        <v>44803</v>
      </c>
      <c r="C424" s="1" t="n">
        <v>45629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36194-2022</t>
        </is>
      </c>
      <c r="B425" s="1" t="n">
        <v>44803</v>
      </c>
      <c r="C425" s="1" t="n">
        <v>45629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37025-2022</t>
        </is>
      </c>
      <c r="B426" s="1" t="n">
        <v>44806</v>
      </c>
      <c r="C426" s="1" t="n">
        <v>45629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29.5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37284-2022</t>
        </is>
      </c>
      <c r="B427" s="1" t="n">
        <v>44807</v>
      </c>
      <c r="C427" s="1" t="n">
        <v>45629</v>
      </c>
      <c r="D427" t="inlineStr">
        <is>
          <t>VÄSTERBOTTENS LÄN</t>
        </is>
      </c>
      <c r="E427" t="inlineStr">
        <is>
          <t>ÅSELE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37311-2022</t>
        </is>
      </c>
      <c r="B428" s="1" t="n">
        <v>44809</v>
      </c>
      <c r="C428" s="1" t="n">
        <v>45629</v>
      </c>
      <c r="D428" t="inlineStr">
        <is>
          <t>VÄSTERBOTTENS LÄN</t>
        </is>
      </c>
      <c r="E428" t="inlineStr">
        <is>
          <t>ÅSELE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37313-2022</t>
        </is>
      </c>
      <c r="B429" s="1" t="n">
        <v>44809</v>
      </c>
      <c r="C429" s="1" t="n">
        <v>45629</v>
      </c>
      <c r="D429" t="inlineStr">
        <is>
          <t>VÄSTERBOTTENS LÄN</t>
        </is>
      </c>
      <c r="E429" t="inlineStr">
        <is>
          <t>ÅSELE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38513-2022</t>
        </is>
      </c>
      <c r="B430" s="1" t="n">
        <v>44813</v>
      </c>
      <c r="C430" s="1" t="n">
        <v>45629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38519-2022</t>
        </is>
      </c>
      <c r="B431" s="1" t="n">
        <v>44813</v>
      </c>
      <c r="C431" s="1" t="n">
        <v>45629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38521-2022</t>
        </is>
      </c>
      <c r="B432" s="1" t="n">
        <v>44813</v>
      </c>
      <c r="C432" s="1" t="n">
        <v>45629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38621-2022</t>
        </is>
      </c>
      <c r="B433" s="1" t="n">
        <v>44813</v>
      </c>
      <c r="C433" s="1" t="n">
        <v>45629</v>
      </c>
      <c r="D433" t="inlineStr">
        <is>
          <t>VÄSTERBOTTENS LÄN</t>
        </is>
      </c>
      <c r="E433" t="inlineStr">
        <is>
          <t>ÅSELE</t>
        </is>
      </c>
      <c r="F433" t="inlineStr">
        <is>
          <t>Holmen skog AB</t>
        </is>
      </c>
      <c r="G433" t="n">
        <v>42.7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38671-2022</t>
        </is>
      </c>
      <c r="B434" s="1" t="n">
        <v>44814</v>
      </c>
      <c r="C434" s="1" t="n">
        <v>45629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SCA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38979-2022</t>
        </is>
      </c>
      <c r="B435" s="1" t="n">
        <v>44816</v>
      </c>
      <c r="C435" s="1" t="n">
        <v>45629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38973-2022</t>
        </is>
      </c>
      <c r="B436" s="1" t="n">
        <v>44816</v>
      </c>
      <c r="C436" s="1" t="n">
        <v>45629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38977-2022</t>
        </is>
      </c>
      <c r="B437" s="1" t="n">
        <v>44816</v>
      </c>
      <c r="C437" s="1" t="n">
        <v>45629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38976-2022</t>
        </is>
      </c>
      <c r="B438" s="1" t="n">
        <v>44816</v>
      </c>
      <c r="C438" s="1" t="n">
        <v>45629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39386-2022</t>
        </is>
      </c>
      <c r="B439" s="1" t="n">
        <v>44818</v>
      </c>
      <c r="C439" s="1" t="n">
        <v>45629</v>
      </c>
      <c r="D439" t="inlineStr">
        <is>
          <t>VÄSTERBOTTENS LÄN</t>
        </is>
      </c>
      <c r="E439" t="inlineStr">
        <is>
          <t>ÅSELE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39401-2022</t>
        </is>
      </c>
      <c r="B440" s="1" t="n">
        <v>44818</v>
      </c>
      <c r="C440" s="1" t="n">
        <v>45629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39382-2022</t>
        </is>
      </c>
      <c r="B441" s="1" t="n">
        <v>44818</v>
      </c>
      <c r="C441" s="1" t="n">
        <v>45629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39400-2022</t>
        </is>
      </c>
      <c r="B442" s="1" t="n">
        <v>44818</v>
      </c>
      <c r="C442" s="1" t="n">
        <v>45629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39381-2022</t>
        </is>
      </c>
      <c r="B443" s="1" t="n">
        <v>44818</v>
      </c>
      <c r="C443" s="1" t="n">
        <v>45629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39722-2022</t>
        </is>
      </c>
      <c r="B444" s="1" t="n">
        <v>44819</v>
      </c>
      <c r="C444" s="1" t="n">
        <v>45629</v>
      </c>
      <c r="D444" t="inlineStr">
        <is>
          <t>VÄSTERBOTTENS LÄN</t>
        </is>
      </c>
      <c r="E444" t="inlineStr">
        <is>
          <t>ÅSELE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40250-2022</t>
        </is>
      </c>
      <c r="B445" s="1" t="n">
        <v>44820</v>
      </c>
      <c r="C445" s="1" t="n">
        <v>45629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41468-2022</t>
        </is>
      </c>
      <c r="B446" s="1" t="n">
        <v>44826</v>
      </c>
      <c r="C446" s="1" t="n">
        <v>45629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41466-2022</t>
        </is>
      </c>
      <c r="B447" s="1" t="n">
        <v>44826</v>
      </c>
      <c r="C447" s="1" t="n">
        <v>45629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42293-2022</t>
        </is>
      </c>
      <c r="B448" s="1" t="n">
        <v>44830</v>
      </c>
      <c r="C448" s="1" t="n">
        <v>45629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42658-2022</t>
        </is>
      </c>
      <c r="B449" s="1" t="n">
        <v>44832</v>
      </c>
      <c r="C449" s="1" t="n">
        <v>45629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43434-2022</t>
        </is>
      </c>
      <c r="B450" s="1" t="n">
        <v>44834</v>
      </c>
      <c r="C450" s="1" t="n">
        <v>45629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44186-2022</t>
        </is>
      </c>
      <c r="B451" s="1" t="n">
        <v>44839</v>
      </c>
      <c r="C451" s="1" t="n">
        <v>45629</v>
      </c>
      <c r="D451" t="inlineStr">
        <is>
          <t>VÄSTERBOTTENS LÄN</t>
        </is>
      </c>
      <c r="E451" t="inlineStr">
        <is>
          <t>ÅSELE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44314-2022</t>
        </is>
      </c>
      <c r="B452" s="1" t="n">
        <v>44839</v>
      </c>
      <c r="C452" s="1" t="n">
        <v>45629</v>
      </c>
      <c r="D452" t="inlineStr">
        <is>
          <t>VÄSTERBOTTENS LÄN</t>
        </is>
      </c>
      <c r="E452" t="inlineStr">
        <is>
          <t>ÅSELE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45694-2022</t>
        </is>
      </c>
      <c r="B453" s="1" t="n">
        <v>44846</v>
      </c>
      <c r="C453" s="1" t="n">
        <v>45629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45693-2022</t>
        </is>
      </c>
      <c r="B454" s="1" t="n">
        <v>44846</v>
      </c>
      <c r="C454" s="1" t="n">
        <v>45629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45689-2022</t>
        </is>
      </c>
      <c r="B455" s="1" t="n">
        <v>44846</v>
      </c>
      <c r="C455" s="1" t="n">
        <v>45629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46102-2022</t>
        </is>
      </c>
      <c r="B456" s="1" t="n">
        <v>44847</v>
      </c>
      <c r="C456" s="1" t="n">
        <v>45629</v>
      </c>
      <c r="D456" t="inlineStr">
        <is>
          <t>VÄSTERBOTTENS LÄN</t>
        </is>
      </c>
      <c r="E456" t="inlineStr">
        <is>
          <t>ÅSELE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46340-2022</t>
        </is>
      </c>
      <c r="B457" s="1" t="n">
        <v>44848</v>
      </c>
      <c r="C457" s="1" t="n">
        <v>45629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46059-2022</t>
        </is>
      </c>
      <c r="B458" s="1" t="n">
        <v>44847</v>
      </c>
      <c r="C458" s="1" t="n">
        <v>45629</v>
      </c>
      <c r="D458" t="inlineStr">
        <is>
          <t>VÄSTERBOTTENS LÄN</t>
        </is>
      </c>
      <c r="E458" t="inlineStr">
        <is>
          <t>ÅSELE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46981-2022</t>
        </is>
      </c>
      <c r="B459" s="1" t="n">
        <v>44852</v>
      </c>
      <c r="C459" s="1" t="n">
        <v>45629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47789-2022</t>
        </is>
      </c>
      <c r="B460" s="1" t="n">
        <v>44855</v>
      </c>
      <c r="C460" s="1" t="n">
        <v>45629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48283-2022</t>
        </is>
      </c>
      <c r="B461" s="1" t="n">
        <v>44858</v>
      </c>
      <c r="C461" s="1" t="n">
        <v>45629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48280-2022</t>
        </is>
      </c>
      <c r="B462" s="1" t="n">
        <v>44858</v>
      </c>
      <c r="C462" s="1" t="n">
        <v>45629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48772-2022</t>
        </is>
      </c>
      <c r="B463" s="1" t="n">
        <v>44859</v>
      </c>
      <c r="C463" s="1" t="n">
        <v>45629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49428-2022</t>
        </is>
      </c>
      <c r="B464" s="1" t="n">
        <v>44859</v>
      </c>
      <c r="C464" s="1" t="n">
        <v>45629</v>
      </c>
      <c r="D464" t="inlineStr">
        <is>
          <t>VÄSTERBOTTENS LÄN</t>
        </is>
      </c>
      <c r="E464" t="inlineStr">
        <is>
          <t>ÅSELE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49063-2022</t>
        </is>
      </c>
      <c r="B465" s="1" t="n">
        <v>44860</v>
      </c>
      <c r="C465" s="1" t="n">
        <v>45629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49066-2022</t>
        </is>
      </c>
      <c r="B466" s="1" t="n">
        <v>44860</v>
      </c>
      <c r="C466" s="1" t="n">
        <v>45629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49527-2022</t>
        </is>
      </c>
      <c r="B467" s="1" t="n">
        <v>44862</v>
      </c>
      <c r="C467" s="1" t="n">
        <v>45629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49664-2022</t>
        </is>
      </c>
      <c r="B468" s="1" t="n">
        <v>44862</v>
      </c>
      <c r="C468" s="1" t="n">
        <v>45629</v>
      </c>
      <c r="D468" t="inlineStr">
        <is>
          <t>VÄSTERBOTTENS LÄN</t>
        </is>
      </c>
      <c r="E468" t="inlineStr">
        <is>
          <t>ÅSELE</t>
        </is>
      </c>
      <c r="F468" t="inlineStr">
        <is>
          <t>Holmen skog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50539-2022</t>
        </is>
      </c>
      <c r="B469" s="1" t="n">
        <v>44866</v>
      </c>
      <c r="C469" s="1" t="n">
        <v>45629</v>
      </c>
      <c r="D469" t="inlineStr">
        <is>
          <t>VÄSTERBOTTENS LÄN</t>
        </is>
      </c>
      <c r="E469" t="inlineStr">
        <is>
          <t>ÅSELE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52159-2022</t>
        </is>
      </c>
      <c r="B470" s="1" t="n">
        <v>44868</v>
      </c>
      <c r="C470" s="1" t="n">
        <v>45629</v>
      </c>
      <c r="D470" t="inlineStr">
        <is>
          <t>VÄSTERBOTTENS LÄN</t>
        </is>
      </c>
      <c r="E470" t="inlineStr">
        <is>
          <t>ÅSELE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51994-2022</t>
        </is>
      </c>
      <c r="B471" s="1" t="n">
        <v>44872</v>
      </c>
      <c r="C471" s="1" t="n">
        <v>45629</v>
      </c>
      <c r="D471" t="inlineStr">
        <is>
          <t>VÄSTERBOTTENS LÄN</t>
        </is>
      </c>
      <c r="E471" t="inlineStr">
        <is>
          <t>ÅSELE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52025-2022</t>
        </is>
      </c>
      <c r="B472" s="1" t="n">
        <v>44872</v>
      </c>
      <c r="C472" s="1" t="n">
        <v>45629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53285-2022</t>
        </is>
      </c>
      <c r="B473" s="1" t="n">
        <v>44876</v>
      </c>
      <c r="C473" s="1" t="n">
        <v>45629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53638-2022</t>
        </is>
      </c>
      <c r="B474" s="1" t="n">
        <v>44879</v>
      </c>
      <c r="C474" s="1" t="n">
        <v>45629</v>
      </c>
      <c r="D474" t="inlineStr">
        <is>
          <t>VÄSTERBOTTENS LÄN</t>
        </is>
      </c>
      <c r="E474" t="inlineStr">
        <is>
          <t>ÅSELE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55132-2022</t>
        </is>
      </c>
      <c r="B475" s="1" t="n">
        <v>44886</v>
      </c>
      <c r="C475" s="1" t="n">
        <v>45629</v>
      </c>
      <c r="D475" t="inlineStr">
        <is>
          <t>VÄSTERBOTTENS LÄN</t>
        </is>
      </c>
      <c r="E475" t="inlineStr">
        <is>
          <t>ÅSELE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55128-2022</t>
        </is>
      </c>
      <c r="B476" s="1" t="n">
        <v>44886</v>
      </c>
      <c r="C476" s="1" t="n">
        <v>45629</v>
      </c>
      <c r="D476" t="inlineStr">
        <is>
          <t>VÄSTERBOTTENS LÄN</t>
        </is>
      </c>
      <c r="E476" t="inlineStr">
        <is>
          <t>ÅSELE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55139-2022</t>
        </is>
      </c>
      <c r="B477" s="1" t="n">
        <v>44886</v>
      </c>
      <c r="C477" s="1" t="n">
        <v>45629</v>
      </c>
      <c r="D477" t="inlineStr">
        <is>
          <t>VÄSTERBOTTENS LÄN</t>
        </is>
      </c>
      <c r="E477" t="inlineStr">
        <is>
          <t>ÅSELE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55238-2022</t>
        </is>
      </c>
      <c r="B478" s="1" t="n">
        <v>44887</v>
      </c>
      <c r="C478" s="1" t="n">
        <v>45629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56572-2022</t>
        </is>
      </c>
      <c r="B479" s="1" t="n">
        <v>44888</v>
      </c>
      <c r="C479" s="1" t="n">
        <v>45629</v>
      </c>
      <c r="D479" t="inlineStr">
        <is>
          <t>VÄSTERBOTTENS LÄN</t>
        </is>
      </c>
      <c r="E479" t="inlineStr">
        <is>
          <t>ÅSELE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56646-2022</t>
        </is>
      </c>
      <c r="B480" s="1" t="n">
        <v>44888</v>
      </c>
      <c r="C480" s="1" t="n">
        <v>45629</v>
      </c>
      <c r="D480" t="inlineStr">
        <is>
          <t>VÄSTERBOTTENS LÄN</t>
        </is>
      </c>
      <c r="E480" t="inlineStr">
        <is>
          <t>ÅSELE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58386-2022</t>
        </is>
      </c>
      <c r="B481" s="1" t="n">
        <v>44894</v>
      </c>
      <c r="C481" s="1" t="n">
        <v>45629</v>
      </c>
      <c r="D481" t="inlineStr">
        <is>
          <t>VÄSTERBOTTENS LÄN</t>
        </is>
      </c>
      <c r="E481" t="inlineStr">
        <is>
          <t>ÅSELE</t>
        </is>
      </c>
      <c r="F481" t="inlineStr">
        <is>
          <t>Kommuner</t>
        </is>
      </c>
      <c r="G481" t="n">
        <v>25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59690-2022</t>
        </is>
      </c>
      <c r="B482" s="1" t="n">
        <v>44908</v>
      </c>
      <c r="C482" s="1" t="n">
        <v>45629</v>
      </c>
      <c r="D482" t="inlineStr">
        <is>
          <t>VÄSTERBOTTENS LÄN</t>
        </is>
      </c>
      <c r="E482" t="inlineStr">
        <is>
          <t>ÅSELE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59691-2022</t>
        </is>
      </c>
      <c r="B483" s="1" t="n">
        <v>44908</v>
      </c>
      <c r="C483" s="1" t="n">
        <v>45629</v>
      </c>
      <c r="D483" t="inlineStr">
        <is>
          <t>VÄSTERBOTTENS LÄN</t>
        </is>
      </c>
      <c r="E483" t="inlineStr">
        <is>
          <t>ÅSELE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60873-2022</t>
        </is>
      </c>
      <c r="B484" s="1" t="n">
        <v>44908</v>
      </c>
      <c r="C484" s="1" t="n">
        <v>45629</v>
      </c>
      <c r="D484" t="inlineStr">
        <is>
          <t>VÄSTERBOTTENS LÄN</t>
        </is>
      </c>
      <c r="E484" t="inlineStr">
        <is>
          <t>ÅSELE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60868-2022</t>
        </is>
      </c>
      <c r="B485" s="1" t="n">
        <v>44908</v>
      </c>
      <c r="C485" s="1" t="n">
        <v>45629</v>
      </c>
      <c r="D485" t="inlineStr">
        <is>
          <t>VÄSTERBOTTENS LÄN</t>
        </is>
      </c>
      <c r="E485" t="inlineStr">
        <is>
          <t>ÅSELE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60967-2022</t>
        </is>
      </c>
      <c r="B486" s="1" t="n">
        <v>44908</v>
      </c>
      <c r="C486" s="1" t="n">
        <v>45629</v>
      </c>
      <c r="D486" t="inlineStr">
        <is>
          <t>VÄSTERBOTTENS LÄN</t>
        </is>
      </c>
      <c r="E486" t="inlineStr">
        <is>
          <t>ÅSELE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60866-2022</t>
        </is>
      </c>
      <c r="B487" s="1" t="n">
        <v>44908</v>
      </c>
      <c r="C487" s="1" t="n">
        <v>45629</v>
      </c>
      <c r="D487" t="inlineStr">
        <is>
          <t>VÄSTERBOTTENS LÄN</t>
        </is>
      </c>
      <c r="E487" t="inlineStr">
        <is>
          <t>ÅSELE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60698-2022</t>
        </is>
      </c>
      <c r="B488" s="1" t="n">
        <v>44911</v>
      </c>
      <c r="C488" s="1" t="n">
        <v>45629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60694-2022</t>
        </is>
      </c>
      <c r="B489" s="1" t="n">
        <v>44911</v>
      </c>
      <c r="C489" s="1" t="n">
        <v>45629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61397-2022</t>
        </is>
      </c>
      <c r="B490" s="1" t="n">
        <v>44915</v>
      </c>
      <c r="C490" s="1" t="n">
        <v>45629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61398-2022</t>
        </is>
      </c>
      <c r="B491" s="1" t="n">
        <v>44915</v>
      </c>
      <c r="C491" s="1" t="n">
        <v>45629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61691-2022</t>
        </is>
      </c>
      <c r="B492" s="1" t="n">
        <v>44917</v>
      </c>
      <c r="C492" s="1" t="n">
        <v>45629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61689-2022</t>
        </is>
      </c>
      <c r="B493" s="1" t="n">
        <v>44917</v>
      </c>
      <c r="C493" s="1" t="n">
        <v>45629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62259-2022</t>
        </is>
      </c>
      <c r="B494" s="1" t="n">
        <v>44922</v>
      </c>
      <c r="C494" s="1" t="n">
        <v>45629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62748-2022</t>
        </is>
      </c>
      <c r="B495" s="1" t="n">
        <v>44925</v>
      </c>
      <c r="C495" s="1" t="n">
        <v>45629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62747-2022</t>
        </is>
      </c>
      <c r="B496" s="1" t="n">
        <v>44925</v>
      </c>
      <c r="C496" s="1" t="n">
        <v>45629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289-2023</t>
        </is>
      </c>
      <c r="B497" s="1" t="n">
        <v>44928</v>
      </c>
      <c r="C497" s="1" t="n">
        <v>45629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479-2023</t>
        </is>
      </c>
      <c r="B498" s="1" t="n">
        <v>44929</v>
      </c>
      <c r="C498" s="1" t="n">
        <v>45629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1225-2023</t>
        </is>
      </c>
      <c r="B499" s="1" t="n">
        <v>44936</v>
      </c>
      <c r="C499" s="1" t="n">
        <v>45629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1227-2023</t>
        </is>
      </c>
      <c r="B500" s="1" t="n">
        <v>44936</v>
      </c>
      <c r="C500" s="1" t="n">
        <v>45629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1228-2023</t>
        </is>
      </c>
      <c r="B501" s="1" t="n">
        <v>44936</v>
      </c>
      <c r="C501" s="1" t="n">
        <v>45629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1226-2023</t>
        </is>
      </c>
      <c r="B502" s="1" t="n">
        <v>44936</v>
      </c>
      <c r="C502" s="1" t="n">
        <v>45629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1719-2023</t>
        </is>
      </c>
      <c r="B503" s="1" t="n">
        <v>44936</v>
      </c>
      <c r="C503" s="1" t="n">
        <v>45629</v>
      </c>
      <c r="D503" t="inlineStr">
        <is>
          <t>VÄSTERBOTTENS LÄN</t>
        </is>
      </c>
      <c r="E503" t="inlineStr">
        <is>
          <t>ÅSELE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1407-2023</t>
        </is>
      </c>
      <c r="B504" s="1" t="n">
        <v>44936</v>
      </c>
      <c r="C504" s="1" t="n">
        <v>45629</v>
      </c>
      <c r="D504" t="inlineStr">
        <is>
          <t>VÄSTERBOTTENS LÄN</t>
        </is>
      </c>
      <c r="E504" t="inlineStr">
        <is>
          <t>ÅSELE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1409-2023</t>
        </is>
      </c>
      <c r="B505" s="1" t="n">
        <v>44936</v>
      </c>
      <c r="C505" s="1" t="n">
        <v>45629</v>
      </c>
      <c r="D505" t="inlineStr">
        <is>
          <t>VÄSTERBOTTENS LÄN</t>
        </is>
      </c>
      <c r="E505" t="inlineStr">
        <is>
          <t>ÅSELE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1651-2023</t>
        </is>
      </c>
      <c r="B506" s="1" t="n">
        <v>44937</v>
      </c>
      <c r="C506" s="1" t="n">
        <v>45629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1872-2023</t>
        </is>
      </c>
      <c r="B507" s="1" t="n">
        <v>44938</v>
      </c>
      <c r="C507" s="1" t="n">
        <v>45629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1873-2023</t>
        </is>
      </c>
      <c r="B508" s="1" t="n">
        <v>44938</v>
      </c>
      <c r="C508" s="1" t="n">
        <v>45629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2485-2023</t>
        </is>
      </c>
      <c r="B509" s="1" t="n">
        <v>44943</v>
      </c>
      <c r="C509" s="1" t="n">
        <v>45629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2475-2023</t>
        </is>
      </c>
      <c r="B510" s="1" t="n">
        <v>44943</v>
      </c>
      <c r="C510" s="1" t="n">
        <v>45629</v>
      </c>
      <c r="D510" t="inlineStr">
        <is>
          <t>VÄSTERBOTTENS LÄN</t>
        </is>
      </c>
      <c r="E510" t="inlineStr">
        <is>
          <t>ÅSELE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2469-2023</t>
        </is>
      </c>
      <c r="B511" s="1" t="n">
        <v>44943</v>
      </c>
      <c r="C511" s="1" t="n">
        <v>45629</v>
      </c>
      <c r="D511" t="inlineStr">
        <is>
          <t>VÄSTERBOTTENS LÄN</t>
        </is>
      </c>
      <c r="E511" t="inlineStr">
        <is>
          <t>ÅSELE</t>
        </is>
      </c>
      <c r="G511" t="n">
        <v>13.3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2593-2023</t>
        </is>
      </c>
      <c r="B512" s="1" t="n">
        <v>44943</v>
      </c>
      <c r="C512" s="1" t="n">
        <v>45629</v>
      </c>
      <c r="D512" t="inlineStr">
        <is>
          <t>VÄSTERBOTTENS LÄN</t>
        </is>
      </c>
      <c r="E512" t="inlineStr">
        <is>
          <t>ÅSELE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3701-2023</t>
        </is>
      </c>
      <c r="B513" s="1" t="n">
        <v>44950</v>
      </c>
      <c r="C513" s="1" t="n">
        <v>45629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3700-2023</t>
        </is>
      </c>
      <c r="B514" s="1" t="n">
        <v>44950</v>
      </c>
      <c r="C514" s="1" t="n">
        <v>45629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3898-2023</t>
        </is>
      </c>
      <c r="B515" s="1" t="n">
        <v>44951</v>
      </c>
      <c r="C515" s="1" t="n">
        <v>45629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4086-2023</t>
        </is>
      </c>
      <c r="B516" s="1" t="n">
        <v>44952</v>
      </c>
      <c r="C516" s="1" t="n">
        <v>45629</v>
      </c>
      <c r="D516" t="inlineStr">
        <is>
          <t>VÄSTERBOTTENS LÄN</t>
        </is>
      </c>
      <c r="E516" t="inlineStr">
        <is>
          <t>ÅSELE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4462-2023</t>
        </is>
      </c>
      <c r="B517" s="1" t="n">
        <v>44952</v>
      </c>
      <c r="C517" s="1" t="n">
        <v>45629</v>
      </c>
      <c r="D517" t="inlineStr">
        <is>
          <t>VÄSTERBOTTENS LÄN</t>
        </is>
      </c>
      <c r="E517" t="inlineStr">
        <is>
          <t>ÅSELE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4084-2023</t>
        </is>
      </c>
      <c r="B518" s="1" t="n">
        <v>44952</v>
      </c>
      <c r="C518" s="1" t="n">
        <v>45629</v>
      </c>
      <c r="D518" t="inlineStr">
        <is>
          <t>VÄSTERBOTTENS LÄN</t>
        </is>
      </c>
      <c r="E518" t="inlineStr">
        <is>
          <t>ÅSELE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4093-2023</t>
        </is>
      </c>
      <c r="B519" s="1" t="n">
        <v>44952</v>
      </c>
      <c r="C519" s="1" t="n">
        <v>45629</v>
      </c>
      <c r="D519" t="inlineStr">
        <is>
          <t>VÄSTERBOTTENS LÄN</t>
        </is>
      </c>
      <c r="E519" t="inlineStr">
        <is>
          <t>ÅSELE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4464-2023</t>
        </is>
      </c>
      <c r="B520" s="1" t="n">
        <v>44952</v>
      </c>
      <c r="C520" s="1" t="n">
        <v>45629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4465-2023</t>
        </is>
      </c>
      <c r="B521" s="1" t="n">
        <v>44952</v>
      </c>
      <c r="C521" s="1" t="n">
        <v>45629</v>
      </c>
      <c r="D521" t="inlineStr">
        <is>
          <t>VÄSTERBOTTENS LÄN</t>
        </is>
      </c>
      <c r="E521" t="inlineStr">
        <is>
          <t>ÅSELE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4342-2023</t>
        </is>
      </c>
      <c r="B522" s="1" t="n">
        <v>44954</v>
      </c>
      <c r="C522" s="1" t="n">
        <v>45629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4786-2023</t>
        </is>
      </c>
      <c r="B523" s="1" t="n">
        <v>44953</v>
      </c>
      <c r="C523" s="1" t="n">
        <v>45629</v>
      </c>
      <c r="D523" t="inlineStr">
        <is>
          <t>VÄSTERBOTTENS LÄN</t>
        </is>
      </c>
      <c r="E523" t="inlineStr">
        <is>
          <t>ÅSELE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5800-2023</t>
        </is>
      </c>
      <c r="B524" s="1" t="n">
        <v>44958</v>
      </c>
      <c r="C524" s="1" t="n">
        <v>45629</v>
      </c>
      <c r="D524" t="inlineStr">
        <is>
          <t>VÄSTERBOTTENS LÄN</t>
        </is>
      </c>
      <c r="E524" t="inlineStr">
        <is>
          <t>ÅSELE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5444-2023</t>
        </is>
      </c>
      <c r="B525" s="1" t="n">
        <v>44959</v>
      </c>
      <c r="C525" s="1" t="n">
        <v>45629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5696-2023</t>
        </is>
      </c>
      <c r="B526" s="1" t="n">
        <v>44960</v>
      </c>
      <c r="C526" s="1" t="n">
        <v>45629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5621-2023</t>
        </is>
      </c>
      <c r="B527" s="1" t="n">
        <v>44960</v>
      </c>
      <c r="C527" s="1" t="n">
        <v>45629</v>
      </c>
      <c r="D527" t="inlineStr">
        <is>
          <t>VÄSTERBOTTENS LÄN</t>
        </is>
      </c>
      <c r="E527" t="inlineStr">
        <is>
          <t>ÅSELE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5613-2023</t>
        </is>
      </c>
      <c r="B528" s="1" t="n">
        <v>44960</v>
      </c>
      <c r="C528" s="1" t="n">
        <v>45629</v>
      </c>
      <c r="D528" t="inlineStr">
        <is>
          <t>VÄSTERBOTTENS LÄN</t>
        </is>
      </c>
      <c r="E528" t="inlineStr">
        <is>
          <t>ÅSELE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6233-2023</t>
        </is>
      </c>
      <c r="B529" s="1" t="n">
        <v>44964</v>
      </c>
      <c r="C529" s="1" t="n">
        <v>45629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6784-2023</t>
        </is>
      </c>
      <c r="B530" s="1" t="n">
        <v>44966</v>
      </c>
      <c r="C530" s="1" t="n">
        <v>45629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6785-2023</t>
        </is>
      </c>
      <c r="B531" s="1" t="n">
        <v>44966</v>
      </c>
      <c r="C531" s="1" t="n">
        <v>45629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7016-2023</t>
        </is>
      </c>
      <c r="B532" s="1" t="n">
        <v>44967</v>
      </c>
      <c r="C532" s="1" t="n">
        <v>45629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7017-2023</t>
        </is>
      </c>
      <c r="B533" s="1" t="n">
        <v>44967</v>
      </c>
      <c r="C533" s="1" t="n">
        <v>45629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8136-2023</t>
        </is>
      </c>
      <c r="B534" s="1" t="n">
        <v>44970</v>
      </c>
      <c r="C534" s="1" t="n">
        <v>45629</v>
      </c>
      <c r="D534" t="inlineStr">
        <is>
          <t>VÄSTERBOTTENS LÄN</t>
        </is>
      </c>
      <c r="E534" t="inlineStr">
        <is>
          <t>ÅSELE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8094-2023</t>
        </is>
      </c>
      <c r="B535" s="1" t="n">
        <v>44970</v>
      </c>
      <c r="C535" s="1" t="n">
        <v>45629</v>
      </c>
      <c r="D535" t="inlineStr">
        <is>
          <t>VÄSTERBOTTENS LÄN</t>
        </is>
      </c>
      <c r="E535" t="inlineStr">
        <is>
          <t>ÅSELE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8055-2023</t>
        </is>
      </c>
      <c r="B536" s="1" t="n">
        <v>44970</v>
      </c>
      <c r="C536" s="1" t="n">
        <v>45629</v>
      </c>
      <c r="D536" t="inlineStr">
        <is>
          <t>VÄSTERBOTTENS LÄN</t>
        </is>
      </c>
      <c r="E536" t="inlineStr">
        <is>
          <t>ÅSELE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7512-2023</t>
        </is>
      </c>
      <c r="B537" s="1" t="n">
        <v>44971</v>
      </c>
      <c r="C537" s="1" t="n">
        <v>45629</v>
      </c>
      <c r="D537" t="inlineStr">
        <is>
          <t>VÄSTERBOTTENS LÄN</t>
        </is>
      </c>
      <c r="E537" t="inlineStr">
        <is>
          <t>ÅSELE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8247-2023</t>
        </is>
      </c>
      <c r="B538" s="1" t="n">
        <v>44971</v>
      </c>
      <c r="C538" s="1" t="n">
        <v>45629</v>
      </c>
      <c r="D538" t="inlineStr">
        <is>
          <t>VÄSTERBOTTENS LÄN</t>
        </is>
      </c>
      <c r="E538" t="inlineStr">
        <is>
          <t>ÅSELE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8190-2023</t>
        </is>
      </c>
      <c r="B539" s="1" t="n">
        <v>44971</v>
      </c>
      <c r="C539" s="1" t="n">
        <v>45629</v>
      </c>
      <c r="D539" t="inlineStr">
        <is>
          <t>VÄSTERBOTTENS LÄN</t>
        </is>
      </c>
      <c r="E539" t="inlineStr">
        <is>
          <t>ÅSELE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7991-2023</t>
        </is>
      </c>
      <c r="B540" s="1" t="n">
        <v>44973</v>
      </c>
      <c r="C540" s="1" t="n">
        <v>45629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9495-2023</t>
        </is>
      </c>
      <c r="B541" s="1" t="n">
        <v>44973</v>
      </c>
      <c r="C541" s="1" t="n">
        <v>45629</v>
      </c>
      <c r="D541" t="inlineStr">
        <is>
          <t>VÄSTERBOTTENS LÄN</t>
        </is>
      </c>
      <c r="E541" t="inlineStr">
        <is>
          <t>ÅSELE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8634-2023</t>
        </is>
      </c>
      <c r="B542" s="1" t="n">
        <v>44977</v>
      </c>
      <c r="C542" s="1" t="n">
        <v>45629</v>
      </c>
      <c r="D542" t="inlineStr">
        <is>
          <t>VÄSTERBOTTENS LÄN</t>
        </is>
      </c>
      <c r="E542" t="inlineStr">
        <is>
          <t>ÅSELE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8682-2023</t>
        </is>
      </c>
      <c r="B543" s="1" t="n">
        <v>44978</v>
      </c>
      <c r="C543" s="1" t="n">
        <v>45629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8681-2023</t>
        </is>
      </c>
      <c r="B544" s="1" t="n">
        <v>44978</v>
      </c>
      <c r="C544" s="1" t="n">
        <v>45629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9266-2023</t>
        </is>
      </c>
      <c r="B545" s="1" t="n">
        <v>44977</v>
      </c>
      <c r="C545" s="1" t="n">
        <v>45629</v>
      </c>
      <c r="D545" t="inlineStr">
        <is>
          <t>VÄSTERBOTTENS LÄN</t>
        </is>
      </c>
      <c r="E545" t="inlineStr">
        <is>
          <t>ÅSELE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9355-2023</t>
        </is>
      </c>
      <c r="B546" s="1" t="n">
        <v>44980</v>
      </c>
      <c r="C546" s="1" t="n">
        <v>45629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9856-2023</t>
        </is>
      </c>
      <c r="B547" s="1" t="n">
        <v>44984</v>
      </c>
      <c r="C547" s="1" t="n">
        <v>45629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9855-2023</t>
        </is>
      </c>
      <c r="B548" s="1" t="n">
        <v>44984</v>
      </c>
      <c r="C548" s="1" t="n">
        <v>45629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10582-2023</t>
        </is>
      </c>
      <c r="B549" s="1" t="n">
        <v>44984</v>
      </c>
      <c r="C549" s="1" t="n">
        <v>45629</v>
      </c>
      <c r="D549" t="inlineStr">
        <is>
          <t>VÄSTERBOTTENS LÄN</t>
        </is>
      </c>
      <c r="E549" t="inlineStr">
        <is>
          <t>ÅSELE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10080-2023</t>
        </is>
      </c>
      <c r="B550" s="1" t="n">
        <v>44985</v>
      </c>
      <c r="C550" s="1" t="n">
        <v>45629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10082-2023</t>
        </is>
      </c>
      <c r="B551" s="1" t="n">
        <v>44985</v>
      </c>
      <c r="C551" s="1" t="n">
        <v>45629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10302-2023</t>
        </is>
      </c>
      <c r="B552" s="1" t="n">
        <v>44986</v>
      </c>
      <c r="C552" s="1" t="n">
        <v>45629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10301-2023</t>
        </is>
      </c>
      <c r="B553" s="1" t="n">
        <v>44986</v>
      </c>
      <c r="C553" s="1" t="n">
        <v>45629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10299-2023</t>
        </is>
      </c>
      <c r="B554" s="1" t="n">
        <v>44986</v>
      </c>
      <c r="C554" s="1" t="n">
        <v>45629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10547-2023</t>
        </is>
      </c>
      <c r="B555" s="1" t="n">
        <v>44987</v>
      </c>
      <c r="C555" s="1" t="n">
        <v>45629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10761-2023</t>
        </is>
      </c>
      <c r="B556" s="1" t="n">
        <v>44988</v>
      </c>
      <c r="C556" s="1" t="n">
        <v>45629</v>
      </c>
      <c r="D556" t="inlineStr">
        <is>
          <t>VÄSTERBOTTENS LÄN</t>
        </is>
      </c>
      <c r="E556" t="inlineStr">
        <is>
          <t>ÅSELE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10760-2023</t>
        </is>
      </c>
      <c r="B557" s="1" t="n">
        <v>44988</v>
      </c>
      <c r="C557" s="1" t="n">
        <v>45629</v>
      </c>
      <c r="D557" t="inlineStr">
        <is>
          <t>VÄSTERBOTTENS LÄN</t>
        </is>
      </c>
      <c r="E557" t="inlineStr">
        <is>
          <t>ÅSELE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10769-2023</t>
        </is>
      </c>
      <c r="B558" s="1" t="n">
        <v>44988</v>
      </c>
      <c r="C558" s="1" t="n">
        <v>45629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10779-2023</t>
        </is>
      </c>
      <c r="B559" s="1" t="n">
        <v>44988</v>
      </c>
      <c r="C559" s="1" t="n">
        <v>45629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10772-2023</t>
        </is>
      </c>
      <c r="B560" s="1" t="n">
        <v>44988</v>
      </c>
      <c r="C560" s="1" t="n">
        <v>45629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11291-2023</t>
        </is>
      </c>
      <c r="B561" s="1" t="n">
        <v>44992</v>
      </c>
      <c r="C561" s="1" t="n">
        <v>45629</v>
      </c>
      <c r="D561" t="inlineStr">
        <is>
          <t>VÄSTERBOTTENS LÄN</t>
        </is>
      </c>
      <c r="E561" t="inlineStr">
        <is>
          <t>ÅSELE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11321-2023</t>
        </is>
      </c>
      <c r="B562" s="1" t="n">
        <v>44993</v>
      </c>
      <c r="C562" s="1" t="n">
        <v>45629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11320-2023</t>
        </is>
      </c>
      <c r="B563" s="1" t="n">
        <v>44993</v>
      </c>
      <c r="C563" s="1" t="n">
        <v>45629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11830-2023</t>
        </is>
      </c>
      <c r="B564" s="1" t="n">
        <v>44994</v>
      </c>
      <c r="C564" s="1" t="n">
        <v>45629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12527-2023</t>
        </is>
      </c>
      <c r="B565" s="1" t="n">
        <v>45000</v>
      </c>
      <c r="C565" s="1" t="n">
        <v>45629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13348-2023</t>
        </is>
      </c>
      <c r="B566" s="1" t="n">
        <v>45005</v>
      </c>
      <c r="C566" s="1" t="n">
        <v>45629</v>
      </c>
      <c r="D566" t="inlineStr">
        <is>
          <t>VÄSTERBOTTENS LÄN</t>
        </is>
      </c>
      <c r="E566" t="inlineStr">
        <is>
          <t>ÅSELE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13498-2023</t>
        </is>
      </c>
      <c r="B567" s="1" t="n">
        <v>45005</v>
      </c>
      <c r="C567" s="1" t="n">
        <v>45629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13497-2023</t>
        </is>
      </c>
      <c r="B568" s="1" t="n">
        <v>45005</v>
      </c>
      <c r="C568" s="1" t="n">
        <v>45629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14261-2023</t>
        </is>
      </c>
      <c r="B569" s="1" t="n">
        <v>45009</v>
      </c>
      <c r="C569" s="1" t="n">
        <v>45629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14269-2023</t>
        </is>
      </c>
      <c r="B570" s="1" t="n">
        <v>45010</v>
      </c>
      <c r="C570" s="1" t="n">
        <v>45629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14273-2023</t>
        </is>
      </c>
      <c r="B571" s="1" t="n">
        <v>45010</v>
      </c>
      <c r="C571" s="1" t="n">
        <v>45629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14270-2023</t>
        </is>
      </c>
      <c r="B572" s="1" t="n">
        <v>45010</v>
      </c>
      <c r="C572" s="1" t="n">
        <v>45629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14267-2023</t>
        </is>
      </c>
      <c r="B573" s="1" t="n">
        <v>45010</v>
      </c>
      <c r="C573" s="1" t="n">
        <v>45629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14271-2023</t>
        </is>
      </c>
      <c r="B574" s="1" t="n">
        <v>45010</v>
      </c>
      <c r="C574" s="1" t="n">
        <v>45629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14268-2023</t>
        </is>
      </c>
      <c r="B575" s="1" t="n">
        <v>45010</v>
      </c>
      <c r="C575" s="1" t="n">
        <v>45629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14272-2023</t>
        </is>
      </c>
      <c r="B576" s="1" t="n">
        <v>45009</v>
      </c>
      <c r="C576" s="1" t="n">
        <v>45629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14915-2023</t>
        </is>
      </c>
      <c r="B577" s="1" t="n">
        <v>45014</v>
      </c>
      <c r="C577" s="1" t="n">
        <v>45629</v>
      </c>
      <c r="D577" t="inlineStr">
        <is>
          <t>VÄSTERBOTTENS LÄN</t>
        </is>
      </c>
      <c r="E577" t="inlineStr">
        <is>
          <t>ÅSELE</t>
        </is>
      </c>
      <c r="G577" t="n">
        <v>24.6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14925-2023</t>
        </is>
      </c>
      <c r="B578" s="1" t="n">
        <v>45014</v>
      </c>
      <c r="C578" s="1" t="n">
        <v>45629</v>
      </c>
      <c r="D578" t="inlineStr">
        <is>
          <t>VÄSTERBOTTENS LÄN</t>
        </is>
      </c>
      <c r="E578" t="inlineStr">
        <is>
          <t>ÅSELE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15082-2023</t>
        </is>
      </c>
      <c r="B579" s="1" t="n">
        <v>45016</v>
      </c>
      <c r="C579" s="1" t="n">
        <v>45629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16570-2023</t>
        </is>
      </c>
      <c r="B580" s="1" t="n">
        <v>45030</v>
      </c>
      <c r="C580" s="1" t="n">
        <v>45629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17698-2023</t>
        </is>
      </c>
      <c r="B581" s="1" t="n">
        <v>45035</v>
      </c>
      <c r="C581" s="1" t="n">
        <v>45629</v>
      </c>
      <c r="D581" t="inlineStr">
        <is>
          <t>VÄSTERBOTTENS LÄN</t>
        </is>
      </c>
      <c r="E581" t="inlineStr">
        <is>
          <t>ÅSELE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17672-2023</t>
        </is>
      </c>
      <c r="B582" s="1" t="n">
        <v>45036</v>
      </c>
      <c r="C582" s="1" t="n">
        <v>45629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17885-2023</t>
        </is>
      </c>
      <c r="B583" s="1" t="n">
        <v>45037</v>
      </c>
      <c r="C583" s="1" t="n">
        <v>45629</v>
      </c>
      <c r="D583" t="inlineStr">
        <is>
          <t>VÄSTERBOTTENS LÄN</t>
        </is>
      </c>
      <c r="E583" t="inlineStr">
        <is>
          <t>ÅSELE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17996-2023</t>
        </is>
      </c>
      <c r="B584" s="1" t="n">
        <v>45037</v>
      </c>
      <c r="C584" s="1" t="n">
        <v>45629</v>
      </c>
      <c r="D584" t="inlineStr">
        <is>
          <t>VÄSTERBOTTENS LÄN</t>
        </is>
      </c>
      <c r="E584" t="inlineStr">
        <is>
          <t>ÅSELE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17858-2023</t>
        </is>
      </c>
      <c r="B585" s="1" t="n">
        <v>45038</v>
      </c>
      <c r="C585" s="1" t="n">
        <v>45629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17886-2023</t>
        </is>
      </c>
      <c r="B586" s="1" t="n">
        <v>45037</v>
      </c>
      <c r="C586" s="1" t="n">
        <v>45629</v>
      </c>
      <c r="D586" t="inlineStr">
        <is>
          <t>VÄSTERBOTTENS LÄN</t>
        </is>
      </c>
      <c r="E586" t="inlineStr">
        <is>
          <t>ÅSELE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18000-2023</t>
        </is>
      </c>
      <c r="B587" s="1" t="n">
        <v>45037</v>
      </c>
      <c r="C587" s="1" t="n">
        <v>45629</v>
      </c>
      <c r="D587" t="inlineStr">
        <is>
          <t>VÄSTERBOTTENS LÄN</t>
        </is>
      </c>
      <c r="E587" t="inlineStr">
        <is>
          <t>ÅSELE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18230-2023</t>
        </is>
      </c>
      <c r="B588" s="1" t="n">
        <v>45040</v>
      </c>
      <c r="C588" s="1" t="n">
        <v>45629</v>
      </c>
      <c r="D588" t="inlineStr">
        <is>
          <t>VÄSTERBOTTENS LÄN</t>
        </is>
      </c>
      <c r="E588" t="inlineStr">
        <is>
          <t>ÅSELE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18605-2023</t>
        </is>
      </c>
      <c r="B589" s="1" t="n">
        <v>45041</v>
      </c>
      <c r="C589" s="1" t="n">
        <v>45629</v>
      </c>
      <c r="D589" t="inlineStr">
        <is>
          <t>VÄSTERBOTTENS LÄN</t>
        </is>
      </c>
      <c r="E589" t="inlineStr">
        <is>
          <t>ÅSELE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18565-2023</t>
        </is>
      </c>
      <c r="B590" s="1" t="n">
        <v>45042</v>
      </c>
      <c r="C590" s="1" t="n">
        <v>45629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18807-2023</t>
        </is>
      </c>
      <c r="B591" s="1" t="n">
        <v>45042</v>
      </c>
      <c r="C591" s="1" t="n">
        <v>45629</v>
      </c>
      <c r="D591" t="inlineStr">
        <is>
          <t>VÄSTERBOTTENS LÄN</t>
        </is>
      </c>
      <c r="E591" t="inlineStr">
        <is>
          <t>ÅSELE</t>
        </is>
      </c>
      <c r="G591" t="n">
        <v>14.9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18769-2023</t>
        </is>
      </c>
      <c r="B592" s="1" t="n">
        <v>45044</v>
      </c>
      <c r="C592" s="1" t="n">
        <v>45629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18770-2023</t>
        </is>
      </c>
      <c r="B593" s="1" t="n">
        <v>45044</v>
      </c>
      <c r="C593" s="1" t="n">
        <v>45629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19241-2023</t>
        </is>
      </c>
      <c r="B594" s="1" t="n">
        <v>45048</v>
      </c>
      <c r="C594" s="1" t="n">
        <v>45629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266.4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19781-2023</t>
        </is>
      </c>
      <c r="B595" s="1" t="n">
        <v>45051</v>
      </c>
      <c r="C595" s="1" t="n">
        <v>45629</v>
      </c>
      <c r="D595" t="inlineStr">
        <is>
          <t>VÄSTERBOTTENS LÄN</t>
        </is>
      </c>
      <c r="E595" t="inlineStr">
        <is>
          <t>ÅSELE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21107-2023</t>
        </is>
      </c>
      <c r="B596" s="1" t="n">
        <v>45061</v>
      </c>
      <c r="C596" s="1" t="n">
        <v>45629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22123-2023</t>
        </is>
      </c>
      <c r="B597" s="1" t="n">
        <v>45068</v>
      </c>
      <c r="C597" s="1" t="n">
        <v>45629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22095-2023</t>
        </is>
      </c>
      <c r="B598" s="1" t="n">
        <v>45068</v>
      </c>
      <c r="C598" s="1" t="n">
        <v>45629</v>
      </c>
      <c r="D598" t="inlineStr">
        <is>
          <t>VÄSTERBOTTENS LÄN</t>
        </is>
      </c>
      <c r="E598" t="inlineStr">
        <is>
          <t>ÅSELE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22037-2023</t>
        </is>
      </c>
      <c r="B599" s="1" t="n">
        <v>45068</v>
      </c>
      <c r="C599" s="1" t="n">
        <v>45629</v>
      </c>
      <c r="D599" t="inlineStr">
        <is>
          <t>VÄSTERBOTTENS LÄN</t>
        </is>
      </c>
      <c r="E599" t="inlineStr">
        <is>
          <t>ÅSELE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22078-2023</t>
        </is>
      </c>
      <c r="B600" s="1" t="n">
        <v>45068</v>
      </c>
      <c r="C600" s="1" t="n">
        <v>45629</v>
      </c>
      <c r="D600" t="inlineStr">
        <is>
          <t>VÄSTERBOTTENS LÄN</t>
        </is>
      </c>
      <c r="E600" t="inlineStr">
        <is>
          <t>ÅSELE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22267-2023</t>
        </is>
      </c>
      <c r="B601" s="1" t="n">
        <v>45068</v>
      </c>
      <c r="C601" s="1" t="n">
        <v>45629</v>
      </c>
      <c r="D601" t="inlineStr">
        <is>
          <t>VÄSTERBOTTENS LÄN</t>
        </is>
      </c>
      <c r="E601" t="inlineStr">
        <is>
          <t>ÅSELE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22093-2023</t>
        </is>
      </c>
      <c r="B602" s="1" t="n">
        <v>45068</v>
      </c>
      <c r="C602" s="1" t="n">
        <v>45629</v>
      </c>
      <c r="D602" t="inlineStr">
        <is>
          <t>VÄSTERBOTTENS LÄN</t>
        </is>
      </c>
      <c r="E602" t="inlineStr">
        <is>
          <t>ÅSELE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22739-2023</t>
        </is>
      </c>
      <c r="B603" s="1" t="n">
        <v>45072</v>
      </c>
      <c r="C603" s="1" t="n">
        <v>45629</v>
      </c>
      <c r="D603" t="inlineStr">
        <is>
          <t>VÄSTERBOTTENS LÄN</t>
        </is>
      </c>
      <c r="E603" t="inlineStr">
        <is>
          <t>ÅSELE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22831-2023</t>
        </is>
      </c>
      <c r="B604" s="1" t="n">
        <v>45072</v>
      </c>
      <c r="C604" s="1" t="n">
        <v>45629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22837-2023</t>
        </is>
      </c>
      <c r="B605" s="1" t="n">
        <v>45072</v>
      </c>
      <c r="C605" s="1" t="n">
        <v>45629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23604-2023</t>
        </is>
      </c>
      <c r="B606" s="1" t="n">
        <v>45077</v>
      </c>
      <c r="C606" s="1" t="n">
        <v>45629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23548-2023</t>
        </is>
      </c>
      <c r="B607" s="1" t="n">
        <v>45077</v>
      </c>
      <c r="C607" s="1" t="n">
        <v>45629</v>
      </c>
      <c r="D607" t="inlineStr">
        <is>
          <t>VÄSTERBOTTENS LÄN</t>
        </is>
      </c>
      <c r="E607" t="inlineStr">
        <is>
          <t>ÅSELE</t>
        </is>
      </c>
      <c r="G607" t="n">
        <v>42.6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23648-2023</t>
        </is>
      </c>
      <c r="B608" s="1" t="n">
        <v>45077</v>
      </c>
      <c r="C608" s="1" t="n">
        <v>45629</v>
      </c>
      <c r="D608" t="inlineStr">
        <is>
          <t>VÄSTERBOTTENS LÄN</t>
        </is>
      </c>
      <c r="E608" t="inlineStr">
        <is>
          <t>ÅSELE</t>
        </is>
      </c>
      <c r="F608" t="inlineStr">
        <is>
          <t>Naturvårdsverket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23676-2023</t>
        </is>
      </c>
      <c r="B609" s="1" t="n">
        <v>45077</v>
      </c>
      <c r="C609" s="1" t="n">
        <v>45629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23901-2023</t>
        </is>
      </c>
      <c r="B610" s="1" t="n">
        <v>45078</v>
      </c>
      <c r="C610" s="1" t="n">
        <v>45629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23915-2023</t>
        </is>
      </c>
      <c r="B611" s="1" t="n">
        <v>45078</v>
      </c>
      <c r="C611" s="1" t="n">
        <v>45629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23913-2023</t>
        </is>
      </c>
      <c r="B612" s="1" t="n">
        <v>45078</v>
      </c>
      <c r="C612" s="1" t="n">
        <v>45629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23972-2023</t>
        </is>
      </c>
      <c r="B613" s="1" t="n">
        <v>45078</v>
      </c>
      <c r="C613" s="1" t="n">
        <v>45629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23896-2023</t>
        </is>
      </c>
      <c r="B614" s="1" t="n">
        <v>45078</v>
      </c>
      <c r="C614" s="1" t="n">
        <v>45629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23949-2023</t>
        </is>
      </c>
      <c r="B615" s="1" t="n">
        <v>45078</v>
      </c>
      <c r="C615" s="1" t="n">
        <v>45629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20.5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23998-2023</t>
        </is>
      </c>
      <c r="B616" s="1" t="n">
        <v>45078</v>
      </c>
      <c r="C616" s="1" t="n">
        <v>45629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23997-2023</t>
        </is>
      </c>
      <c r="B617" s="1" t="n">
        <v>45078</v>
      </c>
      <c r="C617" s="1" t="n">
        <v>45629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24067-2023</t>
        </is>
      </c>
      <c r="B618" s="1" t="n">
        <v>45079</v>
      </c>
      <c r="C618" s="1" t="n">
        <v>45629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25087-2023</t>
        </is>
      </c>
      <c r="B619" s="1" t="n">
        <v>45078</v>
      </c>
      <c r="C619" s="1" t="n">
        <v>45629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25110-2023</t>
        </is>
      </c>
      <c r="B620" s="1" t="n">
        <v>45078</v>
      </c>
      <c r="C620" s="1" t="n">
        <v>45629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25106-2023</t>
        </is>
      </c>
      <c r="B621" s="1" t="n">
        <v>45078</v>
      </c>
      <c r="C621" s="1" t="n">
        <v>45629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25100-2023</t>
        </is>
      </c>
      <c r="B622" s="1" t="n">
        <v>45078</v>
      </c>
      <c r="C622" s="1" t="n">
        <v>45629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25225-2023</t>
        </is>
      </c>
      <c r="B623" s="1" t="n">
        <v>45079</v>
      </c>
      <c r="C623" s="1" t="n">
        <v>45629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25232-2023</t>
        </is>
      </c>
      <c r="B624" s="1" t="n">
        <v>45079</v>
      </c>
      <c r="C624" s="1" t="n">
        <v>45629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25211-2023</t>
        </is>
      </c>
      <c r="B625" s="1" t="n">
        <v>45079</v>
      </c>
      <c r="C625" s="1" t="n">
        <v>45629</v>
      </c>
      <c r="D625" t="inlineStr">
        <is>
          <t>VÄSTERBOTTENS LÄN</t>
        </is>
      </c>
      <c r="E625" t="inlineStr">
        <is>
          <t>ÅSELE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24827-2023</t>
        </is>
      </c>
      <c r="B626" s="1" t="n">
        <v>45084</v>
      </c>
      <c r="C626" s="1" t="n">
        <v>45629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18.2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25993-2023</t>
        </is>
      </c>
      <c r="B627" s="1" t="n">
        <v>45091</v>
      </c>
      <c r="C627" s="1" t="n">
        <v>45629</v>
      </c>
      <c r="D627" t="inlineStr">
        <is>
          <t>VÄSTERBOTTENS LÄN</t>
        </is>
      </c>
      <c r="E627" t="inlineStr">
        <is>
          <t>ÅSELE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25994-2023</t>
        </is>
      </c>
      <c r="B628" s="1" t="n">
        <v>45091</v>
      </c>
      <c r="C628" s="1" t="n">
        <v>45629</v>
      </c>
      <c r="D628" t="inlineStr">
        <is>
          <t>VÄSTERBOTTENS LÄN</t>
        </is>
      </c>
      <c r="E628" t="inlineStr">
        <is>
          <t>ÅSELE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26366-2023</t>
        </is>
      </c>
      <c r="B629" s="1" t="n">
        <v>45092</v>
      </c>
      <c r="C629" s="1" t="n">
        <v>45629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26447-2023</t>
        </is>
      </c>
      <c r="B630" s="1" t="n">
        <v>45092</v>
      </c>
      <c r="C630" s="1" t="n">
        <v>45629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26395-2023</t>
        </is>
      </c>
      <c r="B631" s="1" t="n">
        <v>45092</v>
      </c>
      <c r="C631" s="1" t="n">
        <v>45629</v>
      </c>
      <c r="D631" t="inlineStr">
        <is>
          <t>VÄSTERBOTTENS LÄN</t>
        </is>
      </c>
      <c r="E631" t="inlineStr">
        <is>
          <t>ÅSELE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26383-2023</t>
        </is>
      </c>
      <c r="B632" s="1" t="n">
        <v>45092</v>
      </c>
      <c r="C632" s="1" t="n">
        <v>45629</v>
      </c>
      <c r="D632" t="inlineStr">
        <is>
          <t>VÄSTERBOTTENS LÄN</t>
        </is>
      </c>
      <c r="E632" t="inlineStr">
        <is>
          <t>ÅSELE</t>
        </is>
      </c>
      <c r="F632" t="inlineStr">
        <is>
          <t>Naturvårdsverket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27426-2023</t>
        </is>
      </c>
      <c r="B633" s="1" t="n">
        <v>45092</v>
      </c>
      <c r="C633" s="1" t="n">
        <v>45629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27483-2023</t>
        </is>
      </c>
      <c r="B634" s="1" t="n">
        <v>45092</v>
      </c>
      <c r="C634" s="1" t="n">
        <v>45629</v>
      </c>
      <c r="D634" t="inlineStr">
        <is>
          <t>VÄSTERBOTTENS LÄN</t>
        </is>
      </c>
      <c r="E634" t="inlineStr">
        <is>
          <t>ÅSELE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27420-2023</t>
        </is>
      </c>
      <c r="B635" s="1" t="n">
        <v>45092</v>
      </c>
      <c r="C635" s="1" t="n">
        <v>45629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27473-2023</t>
        </is>
      </c>
      <c r="B636" s="1" t="n">
        <v>45092</v>
      </c>
      <c r="C636" s="1" t="n">
        <v>45629</v>
      </c>
      <c r="D636" t="inlineStr">
        <is>
          <t>VÄSTERBOTTENS LÄN</t>
        </is>
      </c>
      <c r="E636" t="inlineStr">
        <is>
          <t>ÅSELE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27436-2023</t>
        </is>
      </c>
      <c r="B637" s="1" t="n">
        <v>45092</v>
      </c>
      <c r="C637" s="1" t="n">
        <v>45629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26677-2023</t>
        </is>
      </c>
      <c r="B638" s="1" t="n">
        <v>45093</v>
      </c>
      <c r="C638" s="1" t="n">
        <v>45629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26676-2023</t>
        </is>
      </c>
      <c r="B639" s="1" t="n">
        <v>45093</v>
      </c>
      <c r="C639" s="1" t="n">
        <v>45629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26897-2023</t>
        </is>
      </c>
      <c r="B640" s="1" t="n">
        <v>45093</v>
      </c>
      <c r="C640" s="1" t="n">
        <v>45629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15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27247-2023</t>
        </is>
      </c>
      <c r="B641" s="1" t="n">
        <v>45096</v>
      </c>
      <c r="C641" s="1" t="n">
        <v>45629</v>
      </c>
      <c r="D641" t="inlineStr">
        <is>
          <t>VÄSTERBOTTENS LÄN</t>
        </is>
      </c>
      <c r="E641" t="inlineStr">
        <is>
          <t>ÅSELE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27864-2023</t>
        </is>
      </c>
      <c r="B642" s="1" t="n">
        <v>45098</v>
      </c>
      <c r="C642" s="1" t="n">
        <v>45629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26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27868-2023</t>
        </is>
      </c>
      <c r="B643" s="1" t="n">
        <v>45098</v>
      </c>
      <c r="C643" s="1" t="n">
        <v>45629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28087-2023</t>
        </is>
      </c>
      <c r="B644" s="1" t="n">
        <v>45099</v>
      </c>
      <c r="C644" s="1" t="n">
        <v>45629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28097-2023</t>
        </is>
      </c>
      <c r="B645" s="1" t="n">
        <v>45099</v>
      </c>
      <c r="C645" s="1" t="n">
        <v>45629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28276-2023</t>
        </is>
      </c>
      <c r="B646" s="1" t="n">
        <v>45099</v>
      </c>
      <c r="C646" s="1" t="n">
        <v>45629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28279-2023</t>
        </is>
      </c>
      <c r="B647" s="1" t="n">
        <v>45099</v>
      </c>
      <c r="C647" s="1" t="n">
        <v>45629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28282-2023</t>
        </is>
      </c>
      <c r="B648" s="1" t="n">
        <v>45099</v>
      </c>
      <c r="C648" s="1" t="n">
        <v>45629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31119-2023</t>
        </is>
      </c>
      <c r="B649" s="1" t="n">
        <v>45099</v>
      </c>
      <c r="C649" s="1" t="n">
        <v>45629</v>
      </c>
      <c r="D649" t="inlineStr">
        <is>
          <t>VÄSTERBOTTENS LÄN</t>
        </is>
      </c>
      <c r="E649" t="inlineStr">
        <is>
          <t>ÅSELE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28720-2023</t>
        </is>
      </c>
      <c r="B650" s="1" t="n">
        <v>45103</v>
      </c>
      <c r="C650" s="1" t="n">
        <v>45629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28724-2023</t>
        </is>
      </c>
      <c r="B651" s="1" t="n">
        <v>45103</v>
      </c>
      <c r="C651" s="1" t="n">
        <v>45629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28728-2023</t>
        </is>
      </c>
      <c r="B652" s="1" t="n">
        <v>45103</v>
      </c>
      <c r="C652" s="1" t="n">
        <v>45629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28721-2023</t>
        </is>
      </c>
      <c r="B653" s="1" t="n">
        <v>45103</v>
      </c>
      <c r="C653" s="1" t="n">
        <v>45629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28726-2023</t>
        </is>
      </c>
      <c r="B654" s="1" t="n">
        <v>45103</v>
      </c>
      <c r="C654" s="1" t="n">
        <v>45629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28725-2023</t>
        </is>
      </c>
      <c r="B655" s="1" t="n">
        <v>45103</v>
      </c>
      <c r="C655" s="1" t="n">
        <v>45629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28719-2023</t>
        </is>
      </c>
      <c r="B656" s="1" t="n">
        <v>45103</v>
      </c>
      <c r="C656" s="1" t="n">
        <v>45629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28723-2023</t>
        </is>
      </c>
      <c r="B657" s="1" t="n">
        <v>45103</v>
      </c>
      <c r="C657" s="1" t="n">
        <v>45629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28727-2023</t>
        </is>
      </c>
      <c r="B658" s="1" t="n">
        <v>45103</v>
      </c>
      <c r="C658" s="1" t="n">
        <v>45629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28731-2023</t>
        </is>
      </c>
      <c r="B659" s="1" t="n">
        <v>45103</v>
      </c>
      <c r="C659" s="1" t="n">
        <v>45629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28854-2023</t>
        </is>
      </c>
      <c r="B660" s="1" t="n">
        <v>45104</v>
      </c>
      <c r="C660" s="1" t="n">
        <v>45629</v>
      </c>
      <c r="D660" t="inlineStr">
        <is>
          <t>VÄSTERBOTTENS LÄN</t>
        </is>
      </c>
      <c r="E660" t="inlineStr">
        <is>
          <t>ÅSELE</t>
        </is>
      </c>
      <c r="F660" t="inlineStr">
        <is>
          <t>Naturvårdsverket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28807-2023</t>
        </is>
      </c>
      <c r="B661" s="1" t="n">
        <v>45104</v>
      </c>
      <c r="C661" s="1" t="n">
        <v>45629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29055-2023</t>
        </is>
      </c>
      <c r="B662" s="1" t="n">
        <v>45105</v>
      </c>
      <c r="C662" s="1" t="n">
        <v>45629</v>
      </c>
      <c r="D662" t="inlineStr">
        <is>
          <t>VÄSTERBOTTENS LÄN</t>
        </is>
      </c>
      <c r="E662" t="inlineStr">
        <is>
          <t>ÅSELE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29054-2023</t>
        </is>
      </c>
      <c r="B663" s="1" t="n">
        <v>45105</v>
      </c>
      <c r="C663" s="1" t="n">
        <v>45629</v>
      </c>
      <c r="D663" t="inlineStr">
        <is>
          <t>VÄSTERBOTTENS LÄN</t>
        </is>
      </c>
      <c r="E663" t="inlineStr">
        <is>
          <t>ÅSELE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29106-2023</t>
        </is>
      </c>
      <c r="B664" s="1" t="n">
        <v>45105</v>
      </c>
      <c r="C664" s="1" t="n">
        <v>45629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29297-2023</t>
        </is>
      </c>
      <c r="B665" s="1" t="n">
        <v>45105</v>
      </c>
      <c r="C665" s="1" t="n">
        <v>45629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29298-2023</t>
        </is>
      </c>
      <c r="B666" s="1" t="n">
        <v>45105</v>
      </c>
      <c r="C666" s="1" t="n">
        <v>45629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29300-2023</t>
        </is>
      </c>
      <c r="B667" s="1" t="n">
        <v>45105</v>
      </c>
      <c r="C667" s="1" t="n">
        <v>45629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29299-2023</t>
        </is>
      </c>
      <c r="B668" s="1" t="n">
        <v>45105</v>
      </c>
      <c r="C668" s="1" t="n">
        <v>45629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29616-2023</t>
        </is>
      </c>
      <c r="B669" s="1" t="n">
        <v>45106</v>
      </c>
      <c r="C669" s="1" t="n">
        <v>45629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29617-2023</t>
        </is>
      </c>
      <c r="B670" s="1" t="n">
        <v>45107</v>
      </c>
      <c r="C670" s="1" t="n">
        <v>45629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29726-2023</t>
        </is>
      </c>
      <c r="B671" s="1" t="n">
        <v>45107</v>
      </c>
      <c r="C671" s="1" t="n">
        <v>45629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31954-2023</t>
        </is>
      </c>
      <c r="B672" s="1" t="n">
        <v>45107</v>
      </c>
      <c r="C672" s="1" t="n">
        <v>45629</v>
      </c>
      <c r="D672" t="inlineStr">
        <is>
          <t>VÄSTERBOTTENS LÄN</t>
        </is>
      </c>
      <c r="E672" t="inlineStr">
        <is>
          <t>ÅSELE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31891-2023</t>
        </is>
      </c>
      <c r="B673" s="1" t="n">
        <v>45107</v>
      </c>
      <c r="C673" s="1" t="n">
        <v>45629</v>
      </c>
      <c r="D673" t="inlineStr">
        <is>
          <t>VÄSTERBOTTENS LÄN</t>
        </is>
      </c>
      <c r="E673" t="inlineStr">
        <is>
          <t>ÅSELE</t>
        </is>
      </c>
      <c r="F673" t="inlineStr">
        <is>
          <t>Kommuner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31962-2023</t>
        </is>
      </c>
      <c r="B674" s="1" t="n">
        <v>45107</v>
      </c>
      <c r="C674" s="1" t="n">
        <v>45629</v>
      </c>
      <c r="D674" t="inlineStr">
        <is>
          <t>VÄSTERBOTTENS LÄN</t>
        </is>
      </c>
      <c r="E674" t="inlineStr">
        <is>
          <t>ÅSELE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30594-2023</t>
        </is>
      </c>
      <c r="B675" s="1" t="n">
        <v>45112</v>
      </c>
      <c r="C675" s="1" t="n">
        <v>45629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30642-2023</t>
        </is>
      </c>
      <c r="B676" s="1" t="n">
        <v>45112</v>
      </c>
      <c r="C676" s="1" t="n">
        <v>45629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30701-2023</t>
        </is>
      </c>
      <c r="B677" s="1" t="n">
        <v>45112</v>
      </c>
      <c r="C677" s="1" t="n">
        <v>45629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61.9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30618-2023</t>
        </is>
      </c>
      <c r="B678" s="1" t="n">
        <v>45112</v>
      </c>
      <c r="C678" s="1" t="n">
        <v>45629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31193-2023</t>
        </is>
      </c>
      <c r="B679" s="1" t="n">
        <v>45114</v>
      </c>
      <c r="C679" s="1" t="n">
        <v>45629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31185-2023</t>
        </is>
      </c>
      <c r="B680" s="1" t="n">
        <v>45114</v>
      </c>
      <c r="C680" s="1" t="n">
        <v>45629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31189-2023</t>
        </is>
      </c>
      <c r="B681" s="1" t="n">
        <v>45114</v>
      </c>
      <c r="C681" s="1" t="n">
        <v>45629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31186-2023</t>
        </is>
      </c>
      <c r="B682" s="1" t="n">
        <v>45114</v>
      </c>
      <c r="C682" s="1" t="n">
        <v>45629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31183-2023</t>
        </is>
      </c>
      <c r="B683" s="1" t="n">
        <v>45114</v>
      </c>
      <c r="C683" s="1" t="n">
        <v>45629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31184-2023</t>
        </is>
      </c>
      <c r="B684" s="1" t="n">
        <v>45113</v>
      </c>
      <c r="C684" s="1" t="n">
        <v>45629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31191-2023</t>
        </is>
      </c>
      <c r="B685" s="1" t="n">
        <v>45114</v>
      </c>
      <c r="C685" s="1" t="n">
        <v>45629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31187-2023</t>
        </is>
      </c>
      <c r="B686" s="1" t="n">
        <v>45114</v>
      </c>
      <c r="C686" s="1" t="n">
        <v>45629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31190-2023</t>
        </is>
      </c>
      <c r="B687" s="1" t="n">
        <v>45114</v>
      </c>
      <c r="C687" s="1" t="n">
        <v>45629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32993-2023</t>
        </is>
      </c>
      <c r="B688" s="1" t="n">
        <v>45113</v>
      </c>
      <c r="C688" s="1" t="n">
        <v>45629</v>
      </c>
      <c r="D688" t="inlineStr">
        <is>
          <t>VÄSTERBOTTENS LÄN</t>
        </is>
      </c>
      <c r="E688" t="inlineStr">
        <is>
          <t>ÅSELE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33009-2023</t>
        </is>
      </c>
      <c r="B689" s="1" t="n">
        <v>45113</v>
      </c>
      <c r="C689" s="1" t="n">
        <v>45629</v>
      </c>
      <c r="D689" t="inlineStr">
        <is>
          <t>VÄSTERBOTTENS LÄN</t>
        </is>
      </c>
      <c r="E689" t="inlineStr">
        <is>
          <t>ÅSELE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32996-2023</t>
        </is>
      </c>
      <c r="B690" s="1" t="n">
        <v>45113</v>
      </c>
      <c r="C690" s="1" t="n">
        <v>45629</v>
      </c>
      <c r="D690" t="inlineStr">
        <is>
          <t>VÄSTERBOTTENS LÄN</t>
        </is>
      </c>
      <c r="E690" t="inlineStr">
        <is>
          <t>ÅSELE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33008-2023</t>
        </is>
      </c>
      <c r="B691" s="1" t="n">
        <v>45113</v>
      </c>
      <c r="C691" s="1" t="n">
        <v>45629</v>
      </c>
      <c r="D691" t="inlineStr">
        <is>
          <t>VÄSTERBOTTENS LÄN</t>
        </is>
      </c>
      <c r="E691" t="inlineStr">
        <is>
          <t>ÅSELE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33012-2023</t>
        </is>
      </c>
      <c r="B692" s="1" t="n">
        <v>45113</v>
      </c>
      <c r="C692" s="1" t="n">
        <v>45629</v>
      </c>
      <c r="D692" t="inlineStr">
        <is>
          <t>VÄSTERBOTTENS LÄN</t>
        </is>
      </c>
      <c r="E692" t="inlineStr">
        <is>
          <t>ÅSELE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33004-2023</t>
        </is>
      </c>
      <c r="B693" s="1" t="n">
        <v>45113</v>
      </c>
      <c r="C693" s="1" t="n">
        <v>45629</v>
      </c>
      <c r="D693" t="inlineStr">
        <is>
          <t>VÄSTERBOTTENS LÄN</t>
        </is>
      </c>
      <c r="E693" t="inlineStr">
        <is>
          <t>ÅSELE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31287-2023</t>
        </is>
      </c>
      <c r="B694" s="1" t="n">
        <v>45114</v>
      </c>
      <c r="C694" s="1" t="n">
        <v>45629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31348-2023</t>
        </is>
      </c>
      <c r="B695" s="1" t="n">
        <v>45114</v>
      </c>
      <c r="C695" s="1" t="n">
        <v>45629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31304-2023</t>
        </is>
      </c>
      <c r="B696" s="1" t="n">
        <v>45114</v>
      </c>
      <c r="C696" s="1" t="n">
        <v>45629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33241-2023</t>
        </is>
      </c>
      <c r="B697" s="1" t="n">
        <v>45114</v>
      </c>
      <c r="C697" s="1" t="n">
        <v>45629</v>
      </c>
      <c r="D697" t="inlineStr">
        <is>
          <t>VÄSTERBOTTENS LÄN</t>
        </is>
      </c>
      <c r="E697" t="inlineStr">
        <is>
          <t>ÅSELE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33413-2023</t>
        </is>
      </c>
      <c r="B698" s="1" t="n">
        <v>45117</v>
      </c>
      <c r="C698" s="1" t="n">
        <v>45629</v>
      </c>
      <c r="D698" t="inlineStr">
        <is>
          <t>VÄSTERBOTTENS LÄN</t>
        </is>
      </c>
      <c r="E698" t="inlineStr">
        <is>
          <t>ÅSELE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32007-2023</t>
        </is>
      </c>
      <c r="B699" s="1" t="n">
        <v>45119</v>
      </c>
      <c r="C699" s="1" t="n">
        <v>45629</v>
      </c>
      <c r="D699" t="inlineStr">
        <is>
          <t>VÄSTERBOTTENS LÄN</t>
        </is>
      </c>
      <c r="E699" t="inlineStr">
        <is>
          <t>ÅSELE</t>
        </is>
      </c>
      <c r="F699" t="inlineStr">
        <is>
          <t>Sveaskog</t>
        </is>
      </c>
      <c r="G699" t="n">
        <v>17.5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32006-2023</t>
        </is>
      </c>
      <c r="B700" s="1" t="n">
        <v>45119</v>
      </c>
      <c r="C700" s="1" t="n">
        <v>45629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33682-2023</t>
        </is>
      </c>
      <c r="B701" s="1" t="n">
        <v>45119</v>
      </c>
      <c r="C701" s="1" t="n">
        <v>45629</v>
      </c>
      <c r="D701" t="inlineStr">
        <is>
          <t>VÄSTERBOTTENS LÄN</t>
        </is>
      </c>
      <c r="E701" t="inlineStr">
        <is>
          <t>ÅSELE</t>
        </is>
      </c>
      <c r="F701" t="inlineStr">
        <is>
          <t>Allmännings- och besparingsskogar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33685-2023</t>
        </is>
      </c>
      <c r="B702" s="1" t="n">
        <v>45119</v>
      </c>
      <c r="C702" s="1" t="n">
        <v>45629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30.5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32305-2023</t>
        </is>
      </c>
      <c r="B703" s="1" t="n">
        <v>45120</v>
      </c>
      <c r="C703" s="1" t="n">
        <v>45629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32308-2023</t>
        </is>
      </c>
      <c r="B704" s="1" t="n">
        <v>45120</v>
      </c>
      <c r="C704" s="1" t="n">
        <v>45629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32370-2023</t>
        </is>
      </c>
      <c r="B705" s="1" t="n">
        <v>45120</v>
      </c>
      <c r="C705" s="1" t="n">
        <v>45629</v>
      </c>
      <c r="D705" t="inlineStr">
        <is>
          <t>VÄSTERBOTTENS LÄN</t>
        </is>
      </c>
      <c r="E705" t="inlineStr">
        <is>
          <t>ÅSELE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32359-2023</t>
        </is>
      </c>
      <c r="B706" s="1" t="n">
        <v>45120</v>
      </c>
      <c r="C706" s="1" t="n">
        <v>45629</v>
      </c>
      <c r="D706" t="inlineStr">
        <is>
          <t>VÄSTERBOTTENS LÄN</t>
        </is>
      </c>
      <c r="E706" t="inlineStr">
        <is>
          <t>ÅSELE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32586-2023</t>
        </is>
      </c>
      <c r="B707" s="1" t="n">
        <v>45121</v>
      </c>
      <c r="C707" s="1" t="n">
        <v>45629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32561-2023</t>
        </is>
      </c>
      <c r="B708" s="1" t="n">
        <v>45121</v>
      </c>
      <c r="C708" s="1" t="n">
        <v>45629</v>
      </c>
      <c r="D708" t="inlineStr">
        <is>
          <t>VÄSTERBOTTENS LÄN</t>
        </is>
      </c>
      <c r="E708" t="inlineStr">
        <is>
          <t>ÅSELE</t>
        </is>
      </c>
      <c r="F708" t="inlineStr">
        <is>
          <t>Naturvårdsverket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32579-2023</t>
        </is>
      </c>
      <c r="B709" s="1" t="n">
        <v>45121</v>
      </c>
      <c r="C709" s="1" t="n">
        <v>45629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34178-2023</t>
        </is>
      </c>
      <c r="B710" s="1" t="n">
        <v>45126</v>
      </c>
      <c r="C710" s="1" t="n">
        <v>45629</v>
      </c>
      <c r="D710" t="inlineStr">
        <is>
          <t>VÄSTERBOTTENS LÄN</t>
        </is>
      </c>
      <c r="E710" t="inlineStr">
        <is>
          <t>ÅSELE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34236-2023</t>
        </is>
      </c>
      <c r="B711" s="1" t="n">
        <v>45127</v>
      </c>
      <c r="C711" s="1" t="n">
        <v>45629</v>
      </c>
      <c r="D711" t="inlineStr">
        <is>
          <t>VÄSTERBOTTENS LÄN</t>
        </is>
      </c>
      <c r="E711" t="inlineStr">
        <is>
          <t>ÅSELE</t>
        </is>
      </c>
      <c r="F711" t="inlineStr">
        <is>
          <t>Kommuner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34065-2023</t>
        </is>
      </c>
      <c r="B712" s="1" t="n">
        <v>45135</v>
      </c>
      <c r="C712" s="1" t="n">
        <v>45629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34054-2023</t>
        </is>
      </c>
      <c r="B713" s="1" t="n">
        <v>45135</v>
      </c>
      <c r="C713" s="1" t="n">
        <v>45629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34684-2023</t>
        </is>
      </c>
      <c r="B714" s="1" t="n">
        <v>45140</v>
      </c>
      <c r="C714" s="1" t="n">
        <v>45629</v>
      </c>
      <c r="D714" t="inlineStr">
        <is>
          <t>VÄSTERBOTTENS LÄN</t>
        </is>
      </c>
      <c r="E714" t="inlineStr">
        <is>
          <t>ÅSELE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35520-2023</t>
        </is>
      </c>
      <c r="B715" s="1" t="n">
        <v>45147</v>
      </c>
      <c r="C715" s="1" t="n">
        <v>45629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35861-2023</t>
        </is>
      </c>
      <c r="B716" s="1" t="n">
        <v>45147</v>
      </c>
      <c r="C716" s="1" t="n">
        <v>45629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35853-2023</t>
        </is>
      </c>
      <c r="B717" s="1" t="n">
        <v>45147</v>
      </c>
      <c r="C717" s="1" t="n">
        <v>45629</v>
      </c>
      <c r="D717" t="inlineStr">
        <is>
          <t>VÄSTERBOTTENS LÄN</t>
        </is>
      </c>
      <c r="E717" t="inlineStr">
        <is>
          <t>ÅSELE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35780-2023</t>
        </is>
      </c>
      <c r="B718" s="1" t="n">
        <v>45148</v>
      </c>
      <c r="C718" s="1" t="n">
        <v>45629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35971-2023</t>
        </is>
      </c>
      <c r="B719" s="1" t="n">
        <v>45148</v>
      </c>
      <c r="C719" s="1" t="n">
        <v>45629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35950-2023</t>
        </is>
      </c>
      <c r="B720" s="1" t="n">
        <v>45148</v>
      </c>
      <c r="C720" s="1" t="n">
        <v>45629</v>
      </c>
      <c r="D720" t="inlineStr">
        <is>
          <t>VÄSTERBOTTENS LÄN</t>
        </is>
      </c>
      <c r="E720" t="inlineStr">
        <is>
          <t>ÅSELE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36019-2023</t>
        </is>
      </c>
      <c r="B721" s="1" t="n">
        <v>45149</v>
      </c>
      <c r="C721" s="1" t="n">
        <v>45629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36070-2023</t>
        </is>
      </c>
      <c r="B722" s="1" t="n">
        <v>45149</v>
      </c>
      <c r="C722" s="1" t="n">
        <v>45629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36042-2023</t>
        </is>
      </c>
      <c r="B723" s="1" t="n">
        <v>45149</v>
      </c>
      <c r="C723" s="1" t="n">
        <v>45629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36102-2023</t>
        </is>
      </c>
      <c r="B724" s="1" t="n">
        <v>45149</v>
      </c>
      <c r="C724" s="1" t="n">
        <v>45629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36624-2023</t>
        </is>
      </c>
      <c r="B725" s="1" t="n">
        <v>45152</v>
      </c>
      <c r="C725" s="1" t="n">
        <v>45629</v>
      </c>
      <c r="D725" t="inlineStr">
        <is>
          <t>VÄSTERBOTTENS LÄN</t>
        </is>
      </c>
      <c r="E725" t="inlineStr">
        <is>
          <t>ÅSELE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36880-2023</t>
        </is>
      </c>
      <c r="B726" s="1" t="n">
        <v>45154</v>
      </c>
      <c r="C726" s="1" t="n">
        <v>45629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36812-2023</t>
        </is>
      </c>
      <c r="B727" s="1" t="n">
        <v>45154</v>
      </c>
      <c r="C727" s="1" t="n">
        <v>45629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36852-2023</t>
        </is>
      </c>
      <c r="B728" s="1" t="n">
        <v>45154</v>
      </c>
      <c r="C728" s="1" t="n">
        <v>45629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36914-2023</t>
        </is>
      </c>
      <c r="B729" s="1" t="n">
        <v>45154</v>
      </c>
      <c r="C729" s="1" t="n">
        <v>45629</v>
      </c>
      <c r="D729" t="inlineStr">
        <is>
          <t>VÄSTERBOTTENS LÄN</t>
        </is>
      </c>
      <c r="E729" t="inlineStr">
        <is>
          <t>ÅSELE</t>
        </is>
      </c>
      <c r="F729" t="inlineStr">
        <is>
          <t>Sveaskog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37336-2023</t>
        </is>
      </c>
      <c r="B730" s="1" t="n">
        <v>45156</v>
      </c>
      <c r="C730" s="1" t="n">
        <v>45629</v>
      </c>
      <c r="D730" t="inlineStr">
        <is>
          <t>VÄSTERBOTTENS LÄN</t>
        </is>
      </c>
      <c r="E730" t="inlineStr">
        <is>
          <t>ÅSELE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37595-2023</t>
        </is>
      </c>
      <c r="B731" s="1" t="n">
        <v>45156</v>
      </c>
      <c r="C731" s="1" t="n">
        <v>45629</v>
      </c>
      <c r="D731" t="inlineStr">
        <is>
          <t>VÄSTERBOTTENS LÄN</t>
        </is>
      </c>
      <c r="E731" t="inlineStr">
        <is>
          <t>ÅSELE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37482-2023</t>
        </is>
      </c>
      <c r="B732" s="1" t="n">
        <v>45157</v>
      </c>
      <c r="C732" s="1" t="n">
        <v>45629</v>
      </c>
      <c r="D732" t="inlineStr">
        <is>
          <t>VÄSTERBOTTENS LÄN</t>
        </is>
      </c>
      <c r="E732" t="inlineStr">
        <is>
          <t>ÅSELE</t>
        </is>
      </c>
      <c r="F732" t="inlineStr">
        <is>
          <t>SCA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37293-2023</t>
        </is>
      </c>
      <c r="B733" s="1" t="n">
        <v>45156</v>
      </c>
      <c r="C733" s="1" t="n">
        <v>45629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37686-2023</t>
        </is>
      </c>
      <c r="B734" s="1" t="n">
        <v>45159</v>
      </c>
      <c r="C734" s="1" t="n">
        <v>45629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37555-2023</t>
        </is>
      </c>
      <c r="B735" s="1" t="n">
        <v>45159</v>
      </c>
      <c r="C735" s="1" t="n">
        <v>45629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38075-2023</t>
        </is>
      </c>
      <c r="B736" s="1" t="n">
        <v>45160</v>
      </c>
      <c r="C736" s="1" t="n">
        <v>45629</v>
      </c>
      <c r="D736" t="inlineStr">
        <is>
          <t>VÄSTERBOTTENS LÄN</t>
        </is>
      </c>
      <c r="E736" t="inlineStr">
        <is>
          <t>ÅSELE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38076-2023</t>
        </is>
      </c>
      <c r="B737" s="1" t="n">
        <v>45160</v>
      </c>
      <c r="C737" s="1" t="n">
        <v>45629</v>
      </c>
      <c r="D737" t="inlineStr">
        <is>
          <t>VÄSTERBOTTENS LÄN</t>
        </is>
      </c>
      <c r="E737" t="inlineStr">
        <is>
          <t>ÅSELE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38126-2023</t>
        </is>
      </c>
      <c r="B738" s="1" t="n">
        <v>45161</v>
      </c>
      <c r="C738" s="1" t="n">
        <v>45629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38636-2023</t>
        </is>
      </c>
      <c r="B739" s="1" t="n">
        <v>45162</v>
      </c>
      <c r="C739" s="1" t="n">
        <v>45629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15.7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38758-2023</t>
        </is>
      </c>
      <c r="B740" s="1" t="n">
        <v>45163</v>
      </c>
      <c r="C740" s="1" t="n">
        <v>45629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38749-2023</t>
        </is>
      </c>
      <c r="B741" s="1" t="n">
        <v>45163</v>
      </c>
      <c r="C741" s="1" t="n">
        <v>45629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39215-2023</t>
        </is>
      </c>
      <c r="B742" s="1" t="n">
        <v>45166</v>
      </c>
      <c r="C742" s="1" t="n">
        <v>45629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39187-2023</t>
        </is>
      </c>
      <c r="B743" s="1" t="n">
        <v>45166</v>
      </c>
      <c r="C743" s="1" t="n">
        <v>45629</v>
      </c>
      <c r="D743" t="inlineStr">
        <is>
          <t>VÄSTERBOTTENS LÄN</t>
        </is>
      </c>
      <c r="E743" t="inlineStr">
        <is>
          <t>ÅSELE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39191-2023</t>
        </is>
      </c>
      <c r="B744" s="1" t="n">
        <v>45166</v>
      </c>
      <c r="C744" s="1" t="n">
        <v>45629</v>
      </c>
      <c r="D744" t="inlineStr">
        <is>
          <t>VÄSTERBOTTENS LÄN</t>
        </is>
      </c>
      <c r="E744" t="inlineStr">
        <is>
          <t>ÅSELE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39731-2023</t>
        </is>
      </c>
      <c r="B745" s="1" t="n">
        <v>45167</v>
      </c>
      <c r="C745" s="1" t="n">
        <v>45629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39989-2023</t>
        </is>
      </c>
      <c r="B746" s="1" t="n">
        <v>45167</v>
      </c>
      <c r="C746" s="1" t="n">
        <v>45629</v>
      </c>
      <c r="D746" t="inlineStr">
        <is>
          <t>VÄSTERBOTTENS LÄN</t>
        </is>
      </c>
      <c r="E746" t="inlineStr">
        <is>
          <t>ÅSELE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40353-2023</t>
        </is>
      </c>
      <c r="B747" s="1" t="n">
        <v>45169</v>
      </c>
      <c r="C747" s="1" t="n">
        <v>45629</v>
      </c>
      <c r="D747" t="inlineStr">
        <is>
          <t>VÄSTERBOTTENS LÄN</t>
        </is>
      </c>
      <c r="E747" t="inlineStr">
        <is>
          <t>ÅSELE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40854-2023</t>
        </is>
      </c>
      <c r="B748" s="1" t="n">
        <v>45173</v>
      </c>
      <c r="C748" s="1" t="n">
        <v>45629</v>
      </c>
      <c r="D748" t="inlineStr">
        <is>
          <t>VÄSTERBOTTENS LÄN</t>
        </is>
      </c>
      <c r="E748" t="inlineStr">
        <is>
          <t>ÅSELE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40899-2023</t>
        </is>
      </c>
      <c r="B749" s="1" t="n">
        <v>45173</v>
      </c>
      <c r="C749" s="1" t="n">
        <v>45629</v>
      </c>
      <c r="D749" t="inlineStr">
        <is>
          <t>VÄSTERBOTTENS LÄN</t>
        </is>
      </c>
      <c r="E749" t="inlineStr">
        <is>
          <t>ÅSELE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41125-2023</t>
        </is>
      </c>
      <c r="B750" s="1" t="n">
        <v>45173</v>
      </c>
      <c r="C750" s="1" t="n">
        <v>45629</v>
      </c>
      <c r="D750" t="inlineStr">
        <is>
          <t>VÄSTERBOTTENS LÄN</t>
        </is>
      </c>
      <c r="E750" t="inlineStr">
        <is>
          <t>ÅSELE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40888-2023</t>
        </is>
      </c>
      <c r="B751" s="1" t="n">
        <v>45173</v>
      </c>
      <c r="C751" s="1" t="n">
        <v>45629</v>
      </c>
      <c r="D751" t="inlineStr">
        <is>
          <t>VÄSTERBOTTENS LÄN</t>
        </is>
      </c>
      <c r="E751" t="inlineStr">
        <is>
          <t>ÅSELE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41409-2023</t>
        </is>
      </c>
      <c r="B752" s="1" t="n">
        <v>45175</v>
      </c>
      <c r="C752" s="1" t="n">
        <v>45629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41398-2023</t>
        </is>
      </c>
      <c r="B753" s="1" t="n">
        <v>45175</v>
      </c>
      <c r="C753" s="1" t="n">
        <v>45629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41410-2023</t>
        </is>
      </c>
      <c r="B754" s="1" t="n">
        <v>45175</v>
      </c>
      <c r="C754" s="1" t="n">
        <v>45629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41400-2023</t>
        </is>
      </c>
      <c r="B755" s="1" t="n">
        <v>45175</v>
      </c>
      <c r="C755" s="1" t="n">
        <v>45629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41408-2023</t>
        </is>
      </c>
      <c r="B756" s="1" t="n">
        <v>45174</v>
      </c>
      <c r="C756" s="1" t="n">
        <v>45629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41399-2023</t>
        </is>
      </c>
      <c r="B757" s="1" t="n">
        <v>45175</v>
      </c>
      <c r="C757" s="1" t="n">
        <v>45629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41411-2023</t>
        </is>
      </c>
      <c r="B758" s="1" t="n">
        <v>45175</v>
      </c>
      <c r="C758" s="1" t="n">
        <v>45629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41694-2023</t>
        </is>
      </c>
      <c r="B759" s="1" t="n">
        <v>45176</v>
      </c>
      <c r="C759" s="1" t="n">
        <v>45629</v>
      </c>
      <c r="D759" t="inlineStr">
        <is>
          <t>VÄSTERBOTTENS LÄN</t>
        </is>
      </c>
      <c r="E759" t="inlineStr">
        <is>
          <t>ÅSELE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42037-2023</t>
        </is>
      </c>
      <c r="B760" s="1" t="n">
        <v>45177</v>
      </c>
      <c r="C760" s="1" t="n">
        <v>45629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43240-2023</t>
        </is>
      </c>
      <c r="B761" s="1" t="n">
        <v>45180</v>
      </c>
      <c r="C761" s="1" t="n">
        <v>45629</v>
      </c>
      <c r="D761" t="inlineStr">
        <is>
          <t>VÄSTERBOTTENS LÄN</t>
        </is>
      </c>
      <c r="E761" t="inlineStr">
        <is>
          <t>ÅSELE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43246-2023</t>
        </is>
      </c>
      <c r="B762" s="1" t="n">
        <v>45180</v>
      </c>
      <c r="C762" s="1" t="n">
        <v>45629</v>
      </c>
      <c r="D762" t="inlineStr">
        <is>
          <t>VÄSTERBOTTENS LÄN</t>
        </is>
      </c>
      <c r="E762" t="inlineStr">
        <is>
          <t>ÅSELE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43133-2023</t>
        </is>
      </c>
      <c r="B763" s="1" t="n">
        <v>45182</v>
      </c>
      <c r="C763" s="1" t="n">
        <v>45629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43401-2023</t>
        </is>
      </c>
      <c r="B764" s="1" t="n">
        <v>45184</v>
      </c>
      <c r="C764" s="1" t="n">
        <v>45629</v>
      </c>
      <c r="D764" t="inlineStr">
        <is>
          <t>VÄSTERBOTTENS LÄN</t>
        </is>
      </c>
      <c r="E764" t="inlineStr">
        <is>
          <t>ÅSELE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43763-2023</t>
        </is>
      </c>
      <c r="B765" s="1" t="n">
        <v>45187</v>
      </c>
      <c r="C765" s="1" t="n">
        <v>45629</v>
      </c>
      <c r="D765" t="inlineStr">
        <is>
          <t>VÄSTERBOTTENS LÄN</t>
        </is>
      </c>
      <c r="E765" t="inlineStr">
        <is>
          <t>ÅSELE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43768-2023</t>
        </is>
      </c>
      <c r="B766" s="1" t="n">
        <v>45187</v>
      </c>
      <c r="C766" s="1" t="n">
        <v>45629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45198-2023</t>
        </is>
      </c>
      <c r="B767" s="1" t="n">
        <v>45187</v>
      </c>
      <c r="C767" s="1" t="n">
        <v>45629</v>
      </c>
      <c r="D767" t="inlineStr">
        <is>
          <t>VÄSTERBOTTENS LÄN</t>
        </is>
      </c>
      <c r="E767" t="inlineStr">
        <is>
          <t>ÅSELE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44029-2023</t>
        </is>
      </c>
      <c r="B768" s="1" t="n">
        <v>45188</v>
      </c>
      <c r="C768" s="1" t="n">
        <v>45629</v>
      </c>
      <c r="D768" t="inlineStr">
        <is>
          <t>VÄSTERBOTTENS LÄN</t>
        </is>
      </c>
      <c r="E768" t="inlineStr">
        <is>
          <t>ÅSELE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44026-2023</t>
        </is>
      </c>
      <c r="B769" s="1" t="n">
        <v>45188</v>
      </c>
      <c r="C769" s="1" t="n">
        <v>45629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45652-2023</t>
        </is>
      </c>
      <c r="B770" s="1" t="n">
        <v>45188</v>
      </c>
      <c r="C770" s="1" t="n">
        <v>45629</v>
      </c>
      <c r="D770" t="inlineStr">
        <is>
          <t>VÄSTERBOTTENS LÄN</t>
        </is>
      </c>
      <c r="E770" t="inlineStr">
        <is>
          <t>ÅSELE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44677-2023</t>
        </is>
      </c>
      <c r="B771" s="1" t="n">
        <v>45189</v>
      </c>
      <c r="C771" s="1" t="n">
        <v>45629</v>
      </c>
      <c r="D771" t="inlineStr">
        <is>
          <t>VÄSTERBOTTENS LÄN</t>
        </is>
      </c>
      <c r="E771" t="inlineStr">
        <is>
          <t>ÅSELE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45800-2023</t>
        </is>
      </c>
      <c r="B772" s="1" t="n">
        <v>45189</v>
      </c>
      <c r="C772" s="1" t="n">
        <v>45629</v>
      </c>
      <c r="D772" t="inlineStr">
        <is>
          <t>VÄSTERBOTTENS LÄN</t>
        </is>
      </c>
      <c r="E772" t="inlineStr">
        <is>
          <t>ÅSELE</t>
        </is>
      </c>
      <c r="G772" t="n">
        <v>42.1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45816-2023</t>
        </is>
      </c>
      <c r="B773" s="1" t="n">
        <v>45189</v>
      </c>
      <c r="C773" s="1" t="n">
        <v>45629</v>
      </c>
      <c r="D773" t="inlineStr">
        <is>
          <t>VÄSTERBOTTENS LÄN</t>
        </is>
      </c>
      <c r="E773" t="inlineStr">
        <is>
          <t>ÅSELE</t>
        </is>
      </c>
      <c r="G773" t="n">
        <v>38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44801-2023</t>
        </is>
      </c>
      <c r="B774" s="1" t="n">
        <v>45190</v>
      </c>
      <c r="C774" s="1" t="n">
        <v>45629</v>
      </c>
      <c r="D774" t="inlineStr">
        <is>
          <t>VÄSTERBOTTENS LÄN</t>
        </is>
      </c>
      <c r="E774" t="inlineStr">
        <is>
          <t>ÅSELE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46146-2023</t>
        </is>
      </c>
      <c r="B775" s="1" t="n">
        <v>45190</v>
      </c>
      <c r="C775" s="1" t="n">
        <v>45629</v>
      </c>
      <c r="D775" t="inlineStr">
        <is>
          <t>VÄSTERBOTTENS LÄN</t>
        </is>
      </c>
      <c r="E775" t="inlineStr">
        <is>
          <t>ÅSELE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45249-2023</t>
        </is>
      </c>
      <c r="B776" s="1" t="n">
        <v>45191</v>
      </c>
      <c r="C776" s="1" t="n">
        <v>45629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45622-2023</t>
        </is>
      </c>
      <c r="B777" s="1" t="n">
        <v>45194</v>
      </c>
      <c r="C777" s="1" t="n">
        <v>45629</v>
      </c>
      <c r="D777" t="inlineStr">
        <is>
          <t>VÄSTERBOTTENS LÄN</t>
        </is>
      </c>
      <c r="E777" t="inlineStr">
        <is>
          <t>ÅSELE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46173-2023</t>
        </is>
      </c>
      <c r="B778" s="1" t="n">
        <v>45196</v>
      </c>
      <c r="C778" s="1" t="n">
        <v>45629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46224-2023</t>
        </is>
      </c>
      <c r="B779" s="1" t="n">
        <v>45196</v>
      </c>
      <c r="C779" s="1" t="n">
        <v>45629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46696-2023</t>
        </is>
      </c>
      <c r="B780" s="1" t="n">
        <v>45198</v>
      </c>
      <c r="C780" s="1" t="n">
        <v>45629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46693-2023</t>
        </is>
      </c>
      <c r="B781" s="1" t="n">
        <v>45198</v>
      </c>
      <c r="C781" s="1" t="n">
        <v>45629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46825-2023</t>
        </is>
      </c>
      <c r="B782" s="1" t="n">
        <v>45199</v>
      </c>
      <c r="C782" s="1" t="n">
        <v>45629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46691-2023</t>
        </is>
      </c>
      <c r="B783" s="1" t="n">
        <v>45198</v>
      </c>
      <c r="C783" s="1" t="n">
        <v>45629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47616-2023</t>
        </is>
      </c>
      <c r="B784" s="1" t="n">
        <v>45198</v>
      </c>
      <c r="C784" s="1" t="n">
        <v>45629</v>
      </c>
      <c r="D784" t="inlineStr">
        <is>
          <t>VÄSTERBOTTENS LÄN</t>
        </is>
      </c>
      <c r="E784" t="inlineStr">
        <is>
          <t>ÅSELE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47146-2023</t>
        </is>
      </c>
      <c r="B785" s="1" t="n">
        <v>45201</v>
      </c>
      <c r="C785" s="1" t="n">
        <v>45629</v>
      </c>
      <c r="D785" t="inlineStr">
        <is>
          <t>VÄSTERBOTTENS LÄN</t>
        </is>
      </c>
      <c r="E785" t="inlineStr">
        <is>
          <t>ÅSELE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48165-2023</t>
        </is>
      </c>
      <c r="B786" s="1" t="n">
        <v>45201</v>
      </c>
      <c r="C786" s="1" t="n">
        <v>45629</v>
      </c>
      <c r="D786" t="inlineStr">
        <is>
          <t>VÄSTERBOTTENS LÄN</t>
        </is>
      </c>
      <c r="E786" t="inlineStr">
        <is>
          <t>ÅSELE</t>
        </is>
      </c>
      <c r="F786" t="inlineStr">
        <is>
          <t>Allmännings- och besparingsskogar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47760-2023</t>
        </is>
      </c>
      <c r="B787" s="1" t="n">
        <v>45203</v>
      </c>
      <c r="C787" s="1" t="n">
        <v>45629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48073-2023</t>
        </is>
      </c>
      <c r="B788" s="1" t="n">
        <v>45204</v>
      </c>
      <c r="C788" s="1" t="n">
        <v>45629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48081-2023</t>
        </is>
      </c>
      <c r="B789" s="1" t="n">
        <v>45204</v>
      </c>
      <c r="C789" s="1" t="n">
        <v>45629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48440-2023</t>
        </is>
      </c>
      <c r="B790" s="1" t="n">
        <v>45205</v>
      </c>
      <c r="C790" s="1" t="n">
        <v>45629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48463-2023</t>
        </is>
      </c>
      <c r="B791" s="1" t="n">
        <v>45206</v>
      </c>
      <c r="C791" s="1" t="n">
        <v>45629</v>
      </c>
      <c r="D791" t="inlineStr">
        <is>
          <t>VÄSTERBOTTENS LÄN</t>
        </is>
      </c>
      <c r="E791" t="inlineStr">
        <is>
          <t>ÅSELE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48488-2023</t>
        </is>
      </c>
      <c r="B792" s="1" t="n">
        <v>45206</v>
      </c>
      <c r="C792" s="1" t="n">
        <v>45629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48670-2023</t>
        </is>
      </c>
      <c r="B793" s="1" t="n">
        <v>45208</v>
      </c>
      <c r="C793" s="1" t="n">
        <v>45629</v>
      </c>
      <c r="D793" t="inlineStr">
        <is>
          <t>VÄSTERBOTTENS LÄN</t>
        </is>
      </c>
      <c r="E793" t="inlineStr">
        <is>
          <t>ÅSELE</t>
        </is>
      </c>
      <c r="F793" t="inlineStr">
        <is>
          <t>Naturvårdsverket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49299-2023</t>
        </is>
      </c>
      <c r="B794" s="1" t="n">
        <v>45210</v>
      </c>
      <c r="C794" s="1" t="n">
        <v>45629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49928-2023</t>
        </is>
      </c>
      <c r="B795" s="1" t="n">
        <v>45215</v>
      </c>
      <c r="C795" s="1" t="n">
        <v>45629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49926-2023</t>
        </is>
      </c>
      <c r="B796" s="1" t="n">
        <v>45214</v>
      </c>
      <c r="C796" s="1" t="n">
        <v>45629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50200-2023</t>
        </is>
      </c>
      <c r="B797" s="1" t="n">
        <v>45215</v>
      </c>
      <c r="C797" s="1" t="n">
        <v>45629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50585-2023</t>
        </is>
      </c>
      <c r="B798" s="1" t="n">
        <v>45217</v>
      </c>
      <c r="C798" s="1" t="n">
        <v>45629</v>
      </c>
      <c r="D798" t="inlineStr">
        <is>
          <t>VÄSTERBOTTENS LÄN</t>
        </is>
      </c>
      <c r="E798" t="inlineStr">
        <is>
          <t>ÅSELE</t>
        </is>
      </c>
      <c r="G798" t="n">
        <v>19.8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50795-2023</t>
        </is>
      </c>
      <c r="B799" s="1" t="n">
        <v>45217</v>
      </c>
      <c r="C799" s="1" t="n">
        <v>45629</v>
      </c>
      <c r="D799" t="inlineStr">
        <is>
          <t>VÄSTERBOTTENS LÄN</t>
        </is>
      </c>
      <c r="E799" t="inlineStr">
        <is>
          <t>ÅSELE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50858-2023</t>
        </is>
      </c>
      <c r="B800" s="1" t="n">
        <v>45218</v>
      </c>
      <c r="C800" s="1" t="n">
        <v>45629</v>
      </c>
      <c r="D800" t="inlineStr">
        <is>
          <t>VÄSTERBOTTENS LÄN</t>
        </is>
      </c>
      <c r="E800" t="inlineStr">
        <is>
          <t>ÅSELE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50861-2023</t>
        </is>
      </c>
      <c r="B801" s="1" t="n">
        <v>45218</v>
      </c>
      <c r="C801" s="1" t="n">
        <v>45629</v>
      </c>
      <c r="D801" t="inlineStr">
        <is>
          <t>VÄSTERBOTTENS LÄN</t>
        </is>
      </c>
      <c r="E801" t="inlineStr">
        <is>
          <t>ÅSELE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51473-2023</t>
        </is>
      </c>
      <c r="B802" s="1" t="n">
        <v>45221</v>
      </c>
      <c r="C802" s="1" t="n">
        <v>45629</v>
      </c>
      <c r="D802" t="inlineStr">
        <is>
          <t>VÄSTERBOTTENS LÄN</t>
        </is>
      </c>
      <c r="E802" t="inlineStr">
        <is>
          <t>ÅSELE</t>
        </is>
      </c>
      <c r="G802" t="n">
        <v>12.4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51491-2023</t>
        </is>
      </c>
      <c r="B803" s="1" t="n">
        <v>45222</v>
      </c>
      <c r="C803" s="1" t="n">
        <v>45629</v>
      </c>
      <c r="D803" t="inlineStr">
        <is>
          <t>VÄSTERBOTTENS LÄN</t>
        </is>
      </c>
      <c r="E803" t="inlineStr">
        <is>
          <t>ÅSELE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52103-2023</t>
        </is>
      </c>
      <c r="B804" s="1" t="n">
        <v>45223</v>
      </c>
      <c r="C804" s="1" t="n">
        <v>45629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52111-2023</t>
        </is>
      </c>
      <c r="B805" s="1" t="n">
        <v>45224</v>
      </c>
      <c r="C805" s="1" t="n">
        <v>45629</v>
      </c>
      <c r="D805" t="inlineStr">
        <is>
          <t>VÄSTERBOTTENS LÄN</t>
        </is>
      </c>
      <c r="E805" t="inlineStr">
        <is>
          <t>ÅSELE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52213-2023</t>
        </is>
      </c>
      <c r="B806" s="1" t="n">
        <v>45224</v>
      </c>
      <c r="C806" s="1" t="n">
        <v>45629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52280-2023</t>
        </is>
      </c>
      <c r="B807" s="1" t="n">
        <v>45224</v>
      </c>
      <c r="C807" s="1" t="n">
        <v>45629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54901-2023</t>
        </is>
      </c>
      <c r="B808" s="1" t="n">
        <v>45229</v>
      </c>
      <c r="C808" s="1" t="n">
        <v>45629</v>
      </c>
      <c r="D808" t="inlineStr">
        <is>
          <t>VÄSTERBOTTENS LÄN</t>
        </is>
      </c>
      <c r="E808" t="inlineStr">
        <is>
          <t>ÅSELE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54452-2023</t>
        </is>
      </c>
      <c r="B809" s="1" t="n">
        <v>45233</v>
      </c>
      <c r="C809" s="1" t="n">
        <v>45629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54680-2023</t>
        </is>
      </c>
      <c r="B810" s="1" t="n">
        <v>45235</v>
      </c>
      <c r="C810" s="1" t="n">
        <v>45629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54746-2023</t>
        </is>
      </c>
      <c r="B811" s="1" t="n">
        <v>45236</v>
      </c>
      <c r="C811" s="1" t="n">
        <v>45629</v>
      </c>
      <c r="D811" t="inlineStr">
        <is>
          <t>VÄSTERBOTTENS LÄN</t>
        </is>
      </c>
      <c r="E811" t="inlineStr">
        <is>
          <t>ÅSELE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54765-2023</t>
        </is>
      </c>
      <c r="B812" s="1" t="n">
        <v>45236</v>
      </c>
      <c r="C812" s="1" t="n">
        <v>45629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18.9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55920-2023</t>
        </is>
      </c>
      <c r="B813" s="1" t="n">
        <v>45240</v>
      </c>
      <c r="C813" s="1" t="n">
        <v>45629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56981-2023</t>
        </is>
      </c>
      <c r="B814" s="1" t="n">
        <v>45239</v>
      </c>
      <c r="C814" s="1" t="n">
        <v>45629</v>
      </c>
      <c r="D814" t="inlineStr">
        <is>
          <t>VÄSTERBOTTENS LÄN</t>
        </is>
      </c>
      <c r="E814" t="inlineStr">
        <is>
          <t>ÅSELE</t>
        </is>
      </c>
      <c r="F814" t="inlineStr">
        <is>
          <t>Allmännings- och besparingsskogar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56258-2023</t>
        </is>
      </c>
      <c r="B815" s="1" t="n">
        <v>45240</v>
      </c>
      <c r="C815" s="1" t="n">
        <v>45629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56961-2023</t>
        </is>
      </c>
      <c r="B816" s="1" t="n">
        <v>45244</v>
      </c>
      <c r="C816" s="1" t="n">
        <v>45629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56826-2023</t>
        </is>
      </c>
      <c r="B817" s="1" t="n">
        <v>45244</v>
      </c>
      <c r="C817" s="1" t="n">
        <v>45629</v>
      </c>
      <c r="D817" t="inlineStr">
        <is>
          <t>VÄSTERBOTTENS LÄN</t>
        </is>
      </c>
      <c r="E817" t="inlineStr">
        <is>
          <t>ÅSELE</t>
        </is>
      </c>
      <c r="F817" t="inlineStr">
        <is>
          <t>Naturvårdsverket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57920-2023</t>
        </is>
      </c>
      <c r="B818" s="1" t="n">
        <v>45244</v>
      </c>
      <c r="C818" s="1" t="n">
        <v>45629</v>
      </c>
      <c r="D818" t="inlineStr">
        <is>
          <t>VÄSTERBOTTENS LÄN</t>
        </is>
      </c>
      <c r="E818" t="inlineStr">
        <is>
          <t>ÅSELE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57377-2023</t>
        </is>
      </c>
      <c r="B819" s="1" t="n">
        <v>45245</v>
      </c>
      <c r="C819" s="1" t="n">
        <v>45629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57641-2023</t>
        </is>
      </c>
      <c r="B820" s="1" t="n">
        <v>45246</v>
      </c>
      <c r="C820" s="1" t="n">
        <v>45629</v>
      </c>
      <c r="D820" t="inlineStr">
        <is>
          <t>VÄSTERBOTTENS LÄN</t>
        </is>
      </c>
      <c r="E820" t="inlineStr">
        <is>
          <t>ÅSELE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57632-2023</t>
        </is>
      </c>
      <c r="B821" s="1" t="n">
        <v>45246</v>
      </c>
      <c r="C821" s="1" t="n">
        <v>45629</v>
      </c>
      <c r="D821" t="inlineStr">
        <is>
          <t>VÄSTERBOTTENS LÄN</t>
        </is>
      </c>
      <c r="E821" t="inlineStr">
        <is>
          <t>ÅSELE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57788-2023</t>
        </is>
      </c>
      <c r="B822" s="1" t="n">
        <v>45246</v>
      </c>
      <c r="C822" s="1" t="n">
        <v>45629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57800-2023</t>
        </is>
      </c>
      <c r="B823" s="1" t="n">
        <v>45247</v>
      </c>
      <c r="C823" s="1" t="n">
        <v>45629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58348-2023</t>
        </is>
      </c>
      <c r="B824" s="1" t="n">
        <v>45250</v>
      </c>
      <c r="C824" s="1" t="n">
        <v>45629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59998-2023</t>
        </is>
      </c>
      <c r="B825" s="1" t="n">
        <v>45257</v>
      </c>
      <c r="C825" s="1" t="n">
        <v>45629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32.5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60348-2023</t>
        </is>
      </c>
      <c r="B826" s="1" t="n">
        <v>45257</v>
      </c>
      <c r="C826" s="1" t="n">
        <v>45629</v>
      </c>
      <c r="D826" t="inlineStr">
        <is>
          <t>VÄSTERBOTTENS LÄN</t>
        </is>
      </c>
      <c r="E826" t="inlineStr">
        <is>
          <t>ÅSELE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61200-2023</t>
        </is>
      </c>
      <c r="B827" s="1" t="n">
        <v>45260</v>
      </c>
      <c r="C827" s="1" t="n">
        <v>45629</v>
      </c>
      <c r="D827" t="inlineStr">
        <is>
          <t>VÄSTERBOTTENS LÄN</t>
        </is>
      </c>
      <c r="E827" t="inlineStr">
        <is>
          <t>ÅSELE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61568-2023</t>
        </is>
      </c>
      <c r="B828" s="1" t="n">
        <v>45261</v>
      </c>
      <c r="C828" s="1" t="n">
        <v>45629</v>
      </c>
      <c r="D828" t="inlineStr">
        <is>
          <t>VÄSTERBOTTENS LÄN</t>
        </is>
      </c>
      <c r="E828" t="inlineStr">
        <is>
          <t>ÅSELE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61801-2023</t>
        </is>
      </c>
      <c r="B829" s="1" t="n">
        <v>45266</v>
      </c>
      <c r="C829" s="1" t="n">
        <v>45629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61800-2023</t>
        </is>
      </c>
      <c r="B830" s="1" t="n">
        <v>45266</v>
      </c>
      <c r="C830" s="1" t="n">
        <v>45629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61876-2023</t>
        </is>
      </c>
      <c r="B831" s="1" t="n">
        <v>45266</v>
      </c>
      <c r="C831" s="1" t="n">
        <v>45629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61985-2023</t>
        </is>
      </c>
      <c r="B832" s="1" t="n">
        <v>45266</v>
      </c>
      <c r="C832" s="1" t="n">
        <v>45629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61874-2023</t>
        </is>
      </c>
      <c r="B833" s="1" t="n">
        <v>45266</v>
      </c>
      <c r="C833" s="1" t="n">
        <v>45629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62109-2023</t>
        </is>
      </c>
      <c r="B834" s="1" t="n">
        <v>45266</v>
      </c>
      <c r="C834" s="1" t="n">
        <v>45629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62108-2023</t>
        </is>
      </c>
      <c r="B835" s="1" t="n">
        <v>45266</v>
      </c>
      <c r="C835" s="1" t="n">
        <v>45629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62353-2023</t>
        </is>
      </c>
      <c r="B836" s="1" t="n">
        <v>45267</v>
      </c>
      <c r="C836" s="1" t="n">
        <v>45629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62838-2023</t>
        </is>
      </c>
      <c r="B837" s="1" t="n">
        <v>45271</v>
      </c>
      <c r="C837" s="1" t="n">
        <v>45629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63058-2023</t>
        </is>
      </c>
      <c r="B838" s="1" t="n">
        <v>45272</v>
      </c>
      <c r="C838" s="1" t="n">
        <v>45629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63062-2023</t>
        </is>
      </c>
      <c r="B839" s="1" t="n">
        <v>45272</v>
      </c>
      <c r="C839" s="1" t="n">
        <v>45629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63059-2023</t>
        </is>
      </c>
      <c r="B840" s="1" t="n">
        <v>45272</v>
      </c>
      <c r="C840" s="1" t="n">
        <v>45629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23.2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63060-2023</t>
        </is>
      </c>
      <c r="B841" s="1" t="n">
        <v>45272</v>
      </c>
      <c r="C841" s="1" t="n">
        <v>45629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63061-2023</t>
        </is>
      </c>
      <c r="B842" s="1" t="n">
        <v>45272</v>
      </c>
      <c r="C842" s="1" t="n">
        <v>45629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63293-2023</t>
        </is>
      </c>
      <c r="B843" s="1" t="n">
        <v>45273</v>
      </c>
      <c r="C843" s="1" t="n">
        <v>45629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64496-2023</t>
        </is>
      </c>
      <c r="B844" s="1" t="n">
        <v>45280</v>
      </c>
      <c r="C844" s="1" t="n">
        <v>45629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64497-2023</t>
        </is>
      </c>
      <c r="B845" s="1" t="n">
        <v>45280</v>
      </c>
      <c r="C845" s="1" t="n">
        <v>45629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64898-2023</t>
        </is>
      </c>
      <c r="B846" s="1" t="n">
        <v>45282</v>
      </c>
      <c r="C846" s="1" t="n">
        <v>45629</v>
      </c>
      <c r="D846" t="inlineStr">
        <is>
          <t>VÄSTERBOTTENS LÄN</t>
        </is>
      </c>
      <c r="E846" t="inlineStr">
        <is>
          <t>ÅSELE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64951-2023</t>
        </is>
      </c>
      <c r="B847" s="1" t="n">
        <v>45282</v>
      </c>
      <c r="C847" s="1" t="n">
        <v>45629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64949-2023</t>
        </is>
      </c>
      <c r="B848" s="1" t="n">
        <v>45282</v>
      </c>
      <c r="C848" s="1" t="n">
        <v>45629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65038-2023</t>
        </is>
      </c>
      <c r="B849" s="1" t="n">
        <v>45282</v>
      </c>
      <c r="C849" s="1" t="n">
        <v>45629</v>
      </c>
      <c r="D849" t="inlineStr">
        <is>
          <t>VÄSTERBOTTENS LÄN</t>
        </is>
      </c>
      <c r="E849" t="inlineStr">
        <is>
          <t>ÅSELE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65040-2023</t>
        </is>
      </c>
      <c r="B850" s="1" t="n">
        <v>45282</v>
      </c>
      <c r="C850" s="1" t="n">
        <v>45629</v>
      </c>
      <c r="D850" t="inlineStr">
        <is>
          <t>VÄSTERBOTTENS LÄN</t>
        </is>
      </c>
      <c r="E850" t="inlineStr">
        <is>
          <t>ÅSELE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64948-2023</t>
        </is>
      </c>
      <c r="B851" s="1" t="n">
        <v>45282</v>
      </c>
      <c r="C851" s="1" t="n">
        <v>45629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238-2024</t>
        </is>
      </c>
      <c r="B852" s="1" t="n">
        <v>45294</v>
      </c>
      <c r="C852" s="1" t="n">
        <v>45629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339-2024</t>
        </is>
      </c>
      <c r="B853" s="1" t="n">
        <v>45295</v>
      </c>
      <c r="C853" s="1" t="n">
        <v>45629</v>
      </c>
      <c r="D853" t="inlineStr">
        <is>
          <t>VÄSTERBOTTENS LÄN</t>
        </is>
      </c>
      <c r="E853" t="inlineStr">
        <is>
          <t>ÅSELE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889-2024</t>
        </is>
      </c>
      <c r="B854" s="1" t="n">
        <v>45301</v>
      </c>
      <c r="C854" s="1" t="n">
        <v>45629</v>
      </c>
      <c r="D854" t="inlineStr">
        <is>
          <t>VÄSTERBOTTENS LÄN</t>
        </is>
      </c>
      <c r="E854" t="inlineStr">
        <is>
          <t>ÅSELE</t>
        </is>
      </c>
      <c r="G854" t="n">
        <v>28.1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2091-2024</t>
        </is>
      </c>
      <c r="B855" s="1" t="n">
        <v>45309</v>
      </c>
      <c r="C855" s="1" t="n">
        <v>45629</v>
      </c>
      <c r="D855" t="inlineStr">
        <is>
          <t>VÄSTERBOTTENS LÄN</t>
        </is>
      </c>
      <c r="E855" t="inlineStr">
        <is>
          <t>ÅSELE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2609-2024</t>
        </is>
      </c>
      <c r="B856" s="1" t="n">
        <v>45313</v>
      </c>
      <c r="C856" s="1" t="n">
        <v>45629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2608-2024</t>
        </is>
      </c>
      <c r="B857" s="1" t="n">
        <v>45313</v>
      </c>
      <c r="C857" s="1" t="n">
        <v>45629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3059-2024</t>
        </is>
      </c>
      <c r="B858" s="1" t="n">
        <v>45316</v>
      </c>
      <c r="C858" s="1" t="n">
        <v>45629</v>
      </c>
      <c r="D858" t="inlineStr">
        <is>
          <t>VÄSTERBOTTENS LÄN</t>
        </is>
      </c>
      <c r="E858" t="inlineStr">
        <is>
          <t>ÅSELE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3063-2024</t>
        </is>
      </c>
      <c r="B859" s="1" t="n">
        <v>45316</v>
      </c>
      <c r="C859" s="1" t="n">
        <v>45629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3111-2024</t>
        </is>
      </c>
      <c r="B860" s="1" t="n">
        <v>45316</v>
      </c>
      <c r="C860" s="1" t="n">
        <v>45629</v>
      </c>
      <c r="D860" t="inlineStr">
        <is>
          <t>VÄSTERBOTTENS LÄN</t>
        </is>
      </c>
      <c r="E860" t="inlineStr">
        <is>
          <t>ÅSELE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3088-2024</t>
        </is>
      </c>
      <c r="B861" s="1" t="n">
        <v>45316</v>
      </c>
      <c r="C861" s="1" t="n">
        <v>45629</v>
      </c>
      <c r="D861" t="inlineStr">
        <is>
          <t>VÄSTERBOTTENS LÄN</t>
        </is>
      </c>
      <c r="E861" t="inlineStr">
        <is>
          <t>ÅSELE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3117-2024</t>
        </is>
      </c>
      <c r="B862" s="1" t="n">
        <v>45316</v>
      </c>
      <c r="C862" s="1" t="n">
        <v>45629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3565-2024</t>
        </is>
      </c>
      <c r="B863" s="1" t="n">
        <v>45320</v>
      </c>
      <c r="C863" s="1" t="n">
        <v>45629</v>
      </c>
      <c r="D863" t="inlineStr">
        <is>
          <t>VÄSTERBOTTENS LÄN</t>
        </is>
      </c>
      <c r="E863" t="inlineStr">
        <is>
          <t>ÅSELE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3559-2024</t>
        </is>
      </c>
      <c r="B864" s="1" t="n">
        <v>45320</v>
      </c>
      <c r="C864" s="1" t="n">
        <v>45629</v>
      </c>
      <c r="D864" t="inlineStr">
        <is>
          <t>VÄSTERBOTTENS LÄN</t>
        </is>
      </c>
      <c r="E864" t="inlineStr">
        <is>
          <t>ÅSELE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5006-2024</t>
        </is>
      </c>
      <c r="B865" s="1" t="n">
        <v>45329</v>
      </c>
      <c r="C865" s="1" t="n">
        <v>45629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5018-2024</t>
        </is>
      </c>
      <c r="B866" s="1" t="n">
        <v>45329</v>
      </c>
      <c r="C866" s="1" t="n">
        <v>45629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5022-2024</t>
        </is>
      </c>
      <c r="B867" s="1" t="n">
        <v>45329</v>
      </c>
      <c r="C867" s="1" t="n">
        <v>45629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5012-2024</t>
        </is>
      </c>
      <c r="B868" s="1" t="n">
        <v>45329</v>
      </c>
      <c r="C868" s="1" t="n">
        <v>45629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5024-2024</t>
        </is>
      </c>
      <c r="B869" s="1" t="n">
        <v>45329</v>
      </c>
      <c r="C869" s="1" t="n">
        <v>45629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4875-2024</t>
        </is>
      </c>
      <c r="B870" s="1" t="n">
        <v>45329</v>
      </c>
      <c r="C870" s="1" t="n">
        <v>45629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4901-2024</t>
        </is>
      </c>
      <c r="B871" s="1" t="n">
        <v>45329</v>
      </c>
      <c r="C871" s="1" t="n">
        <v>45629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4921-2024</t>
        </is>
      </c>
      <c r="B872" s="1" t="n">
        <v>45329</v>
      </c>
      <c r="C872" s="1" t="n">
        <v>45629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5013-2024</t>
        </is>
      </c>
      <c r="B873" s="1" t="n">
        <v>45329</v>
      </c>
      <c r="C873" s="1" t="n">
        <v>45629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4915-2024</t>
        </is>
      </c>
      <c r="B874" s="1" t="n">
        <v>45329</v>
      </c>
      <c r="C874" s="1" t="n">
        <v>45629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5019-2024</t>
        </is>
      </c>
      <c r="B875" s="1" t="n">
        <v>45329</v>
      </c>
      <c r="C875" s="1" t="n">
        <v>45629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5247-2024</t>
        </is>
      </c>
      <c r="B876" s="1" t="n">
        <v>45330</v>
      </c>
      <c r="C876" s="1" t="n">
        <v>45629</v>
      </c>
      <c r="D876" t="inlineStr">
        <is>
          <t>VÄSTERBOTTENS LÄN</t>
        </is>
      </c>
      <c r="E876" t="inlineStr">
        <is>
          <t>ÅSELE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5246-2024</t>
        </is>
      </c>
      <c r="B877" s="1" t="n">
        <v>45330</v>
      </c>
      <c r="C877" s="1" t="n">
        <v>45629</v>
      </c>
      <c r="D877" t="inlineStr">
        <is>
          <t>VÄSTERBOTTENS LÄN</t>
        </is>
      </c>
      <c r="E877" t="inlineStr">
        <is>
          <t>ÅSELE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5245-2024</t>
        </is>
      </c>
      <c r="B878" s="1" t="n">
        <v>45330</v>
      </c>
      <c r="C878" s="1" t="n">
        <v>45629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5249-2024</t>
        </is>
      </c>
      <c r="B879" s="1" t="n">
        <v>45330</v>
      </c>
      <c r="C879" s="1" t="n">
        <v>45629</v>
      </c>
      <c r="D879" t="inlineStr">
        <is>
          <t>VÄSTERBOTTENS LÄN</t>
        </is>
      </c>
      <c r="E879" t="inlineStr">
        <is>
          <t>ÅSELE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5431-2024</t>
        </is>
      </c>
      <c r="B880" s="1" t="n">
        <v>45331</v>
      </c>
      <c r="C880" s="1" t="n">
        <v>45629</v>
      </c>
      <c r="D880" t="inlineStr">
        <is>
          <t>VÄSTERBOTTENS LÄN</t>
        </is>
      </c>
      <c r="E880" t="inlineStr">
        <is>
          <t>ÅSELE</t>
        </is>
      </c>
      <c r="G880" t="n">
        <v>29.3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5543-2024</t>
        </is>
      </c>
      <c r="B881" s="1" t="n">
        <v>45334</v>
      </c>
      <c r="C881" s="1" t="n">
        <v>45629</v>
      </c>
      <c r="D881" t="inlineStr">
        <is>
          <t>VÄSTERBOTTENS LÄN</t>
        </is>
      </c>
      <c r="E881" t="inlineStr">
        <is>
          <t>ÅSELE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5545-2024</t>
        </is>
      </c>
      <c r="B882" s="1" t="n">
        <v>45334</v>
      </c>
      <c r="C882" s="1" t="n">
        <v>45629</v>
      </c>
      <c r="D882" t="inlineStr">
        <is>
          <t>VÄSTERBOTTENS LÄN</t>
        </is>
      </c>
      <c r="E882" t="inlineStr">
        <is>
          <t>ÅSELE</t>
        </is>
      </c>
      <c r="G882" t="n">
        <v>14.4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5726-2024</t>
        </is>
      </c>
      <c r="B883" s="1" t="n">
        <v>45334</v>
      </c>
      <c r="C883" s="1" t="n">
        <v>45629</v>
      </c>
      <c r="D883" t="inlineStr">
        <is>
          <t>VÄSTERBOTTENS LÄN</t>
        </is>
      </c>
      <c r="E883" t="inlineStr">
        <is>
          <t>ÅSELE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5815-2024</t>
        </is>
      </c>
      <c r="B884" s="1" t="n">
        <v>45335</v>
      </c>
      <c r="C884" s="1" t="n">
        <v>45629</v>
      </c>
      <c r="D884" t="inlineStr">
        <is>
          <t>VÄSTERBOTTENS LÄN</t>
        </is>
      </c>
      <c r="E884" t="inlineStr">
        <is>
          <t>ÅSELE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5955-2024</t>
        </is>
      </c>
      <c r="B885" s="1" t="n">
        <v>45336</v>
      </c>
      <c r="C885" s="1" t="n">
        <v>45629</v>
      </c>
      <c r="D885" t="inlineStr">
        <is>
          <t>VÄSTERBOTTENS LÄN</t>
        </is>
      </c>
      <c r="E885" t="inlineStr">
        <is>
          <t>ÅSELE</t>
        </is>
      </c>
      <c r="F885" t="inlineStr">
        <is>
          <t>Naturvårdsverket</t>
        </is>
      </c>
      <c r="G885" t="n">
        <v>22.6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6576-2024</t>
        </is>
      </c>
      <c r="B886" s="1" t="n">
        <v>45341</v>
      </c>
      <c r="C886" s="1" t="n">
        <v>45629</v>
      </c>
      <c r="D886" t="inlineStr">
        <is>
          <t>VÄSTERBOTTENS LÄN</t>
        </is>
      </c>
      <c r="E886" t="inlineStr">
        <is>
          <t>ÅSELE</t>
        </is>
      </c>
      <c r="F886" t="inlineStr">
        <is>
          <t>Holmen skog AB</t>
        </is>
      </c>
      <c r="G886" t="n">
        <v>32.6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6583-2024</t>
        </is>
      </c>
      <c r="B887" s="1" t="n">
        <v>45341</v>
      </c>
      <c r="C887" s="1" t="n">
        <v>45629</v>
      </c>
      <c r="D887" t="inlineStr">
        <is>
          <t>VÄSTERBOTTENS LÄN</t>
        </is>
      </c>
      <c r="E887" t="inlineStr">
        <is>
          <t>ÅSELE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45629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45629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45629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45629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45629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45629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45629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45629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45629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45629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45629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45629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45629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45629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45629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45629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45629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45629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45629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45629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45629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45629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45629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45629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45629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45629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45629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45629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45629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45629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45629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45629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45629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45629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45629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45629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45629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45629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45629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45629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45629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45629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45629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45629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45629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45629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45629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45629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45629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45629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45629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45629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45629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45629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45629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45629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45629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45629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45629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45629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45629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45629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45629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45629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45629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45629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45629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45629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45629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45629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45629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45629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45629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45629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45629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45629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45629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45629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45629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45629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45629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45629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45629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45629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45629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45629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45629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45629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45629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45629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45629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45629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45629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45629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45629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45629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45629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45629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45629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45629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45629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45629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45629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45629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45629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45629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45629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45629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45629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45629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45629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45629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45629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45629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45629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45629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45629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45629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45629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45629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45629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45629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45629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45629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45629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45629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45629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45629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45629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45629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45629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45629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45629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45629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45629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45629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45629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45629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45629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45629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45629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45629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45629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45629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45629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45629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45629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45629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45629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45629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45629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45629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45629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45629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45629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45629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45629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45629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45629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45629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45629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45629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45629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45629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45629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45629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45629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45629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45629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45629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45629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45629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45629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45629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45629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45629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45629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45629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45629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45629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45629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45629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45629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45629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45629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45629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45629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45629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45629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45629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45629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45629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45629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45629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45629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45629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45629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45629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45629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45629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45629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45629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45629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45629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45629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45629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45629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45629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45629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45629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45629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45629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45629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45629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45629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45629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45629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45629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45629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45629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45629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45629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45629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45629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45629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45629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45629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45629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45629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45629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45629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45629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45629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45629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45629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45629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45629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45629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45629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45629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45629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45629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45629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45629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45629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45629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45629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45629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45629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45629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45629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45629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45629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45629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45629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45629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45629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45629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45629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45629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45629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45629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45629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45629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45629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45629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45629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45629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45629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45629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45629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45629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45629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45629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45629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45629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45629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45629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45629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45629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50420-2024</t>
        </is>
      </c>
      <c r="B1168" s="1" t="n">
        <v>45601</v>
      </c>
      <c r="C1168" s="1" t="n">
        <v>45629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45629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50419-2024</t>
        </is>
      </c>
      <c r="B1170" s="1" t="n">
        <v>45601</v>
      </c>
      <c r="C1170" s="1" t="n">
        <v>45629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50641-2024</t>
        </is>
      </c>
      <c r="B1171" s="1" t="n">
        <v>45601</v>
      </c>
      <c r="C1171" s="1" t="n">
        <v>45629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51405-2024</t>
        </is>
      </c>
      <c r="B1172" s="1" t="n">
        <v>45604</v>
      </c>
      <c r="C1172" s="1" t="n">
        <v>45629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45629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45629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45629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45629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45629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45629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45629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45629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53679-2024</t>
        </is>
      </c>
      <c r="B1181" s="1" t="n">
        <v>45615</v>
      </c>
      <c r="C1181" s="1" t="n">
        <v>45629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45629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45629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45629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54729-2024</t>
        </is>
      </c>
      <c r="B1185" s="1" t="n">
        <v>45618</v>
      </c>
      <c r="C1185" s="1" t="n">
        <v>45629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45629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45629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54958-2024</t>
        </is>
      </c>
      <c r="B1188" s="1" t="n">
        <v>45619</v>
      </c>
      <c r="C1188" s="1" t="n">
        <v>45629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45629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45629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45629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45629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55615-2024</t>
        </is>
      </c>
      <c r="B1193" s="1" t="n">
        <v>45622</v>
      </c>
      <c r="C1193" s="1" t="n">
        <v>45629</v>
      </c>
      <c r="D1193" t="inlineStr">
        <is>
          <t>VÄSTERBOTTENS LÄN</t>
        </is>
      </c>
      <c r="E1193" t="inlineStr">
        <is>
          <t>ÅSELE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55623-2024</t>
        </is>
      </c>
      <c r="B1194" s="1" t="n">
        <v>45622</v>
      </c>
      <c r="C1194" s="1" t="n">
        <v>45629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45629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56446-2024</t>
        </is>
      </c>
      <c r="B1196" s="1" t="n">
        <v>45625</v>
      </c>
      <c r="C1196" s="1" t="n">
        <v>45629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2024-12-03T15:18:14Z</dcterms:created>
  <dcterms:modified xmlns:dcterms="http://purl.org/dc/terms/" xmlns:xsi="http://www.w3.org/2001/XMLSchema-instance" xsi:type="dcterms:W3CDTF">2024-12-03T15:18:15Z</dcterms:modified>
</cp:coreProperties>
</file>