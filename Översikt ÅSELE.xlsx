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45910</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45910</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45910</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45910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45910</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45910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45910</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45910</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45910</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45910</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45910</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45910</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45910</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45910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45910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45910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45910</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45910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45910</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15081-2023</t>
        </is>
      </c>
      <c r="B30" s="1" t="n">
        <v>45016.07569444444</v>
      </c>
      <c r="C30" s="1" t="n">
        <v>45910</v>
      </c>
      <c r="D30" t="inlineStr">
        <is>
          <t>VÄSTERBOTTENS LÄN</t>
        </is>
      </c>
      <c r="E30" t="inlineStr">
        <is>
          <t>ÅSELE</t>
        </is>
      </c>
      <c r="F30" t="inlineStr">
        <is>
          <t>SCA</t>
        </is>
      </c>
      <c r="G30" t="n">
        <v>6.4</v>
      </c>
      <c r="H30" t="n">
        <v>0</v>
      </c>
      <c r="I30" t="n">
        <v>0</v>
      </c>
      <c r="J30" t="n">
        <v>2</v>
      </c>
      <c r="K30" t="n">
        <v>0</v>
      </c>
      <c r="L30" t="n">
        <v>0</v>
      </c>
      <c r="M30" t="n">
        <v>0</v>
      </c>
      <c r="N30" t="n">
        <v>0</v>
      </c>
      <c r="O30" t="n">
        <v>2</v>
      </c>
      <c r="P30" t="n">
        <v>0</v>
      </c>
      <c r="Q30" t="n">
        <v>2</v>
      </c>
      <c r="R30" s="2" t="inlineStr">
        <is>
          <t>Gränsticka
Koralltaggsvamp</t>
        </is>
      </c>
      <c r="S30">
        <f>HYPERLINK("https://klasma.github.io/Logging_2463/artfynd/A 15081-2023 artfynd.xlsx", "A 15081-2023")</f>
        <v/>
      </c>
      <c r="T30">
        <f>HYPERLINK("https://klasma.github.io/Logging_2463/kartor/A 15081-2023 karta.png", "A 15081-2023")</f>
        <v/>
      </c>
      <c r="V30">
        <f>HYPERLINK("https://klasma.github.io/Logging_2463/klagomål/A 15081-2023 FSC-klagomål.docx", "A 15081-2023")</f>
        <v/>
      </c>
      <c r="W30">
        <f>HYPERLINK("https://klasma.github.io/Logging_2463/klagomålsmail/A 15081-2023 FSC-klagomål mail.docx", "A 15081-2023")</f>
        <v/>
      </c>
      <c r="X30">
        <f>HYPERLINK("https://klasma.github.io/Logging_2463/tillsyn/A 15081-2023 tillsynsbegäran.docx", "A 15081-2023")</f>
        <v/>
      </c>
      <c r="Y30">
        <f>HYPERLINK("https://klasma.github.io/Logging_2463/tillsynsmail/A 15081-2023 tillsynsbegäran mail.docx", "A 15081-2023")</f>
        <v/>
      </c>
    </row>
    <row r="31" ht="15" customHeight="1">
      <c r="A31" t="inlineStr">
        <is>
          <t>A 10292-2023</t>
        </is>
      </c>
      <c r="B31" s="1" t="n">
        <v>44986</v>
      </c>
      <c r="C31" s="1" t="n">
        <v>45910</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45910</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25712-2024</t>
        </is>
      </c>
      <c r="B33" s="1" t="n">
        <v>45463</v>
      </c>
      <c r="C33" s="1" t="n">
        <v>45910</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8880-2024</t>
        </is>
      </c>
      <c r="B34" s="1" t="n">
        <v>45357</v>
      </c>
      <c r="C34" s="1" t="n">
        <v>45910</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41018-2025</t>
        </is>
      </c>
      <c r="B35" s="1" t="n">
        <v>45898.365</v>
      </c>
      <c r="C35" s="1" t="n">
        <v>45910</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40328-2022</t>
        </is>
      </c>
      <c r="B36" s="1" t="n">
        <v>44823</v>
      </c>
      <c r="C36" s="1" t="n">
        <v>45910</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45910</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42132-2024</t>
        </is>
      </c>
      <c r="B38" s="1" t="n">
        <v>45562</v>
      </c>
      <c r="C38" s="1" t="n">
        <v>45910</v>
      </c>
      <c r="D38" t="inlineStr">
        <is>
          <t>VÄSTERBOTTENS LÄN</t>
        </is>
      </c>
      <c r="E38" t="inlineStr">
        <is>
          <t>ÅSELE</t>
        </is>
      </c>
      <c r="F38" t="inlineStr">
        <is>
          <t>Holmen skog AB</t>
        </is>
      </c>
      <c r="G38" t="n">
        <v>18.5</v>
      </c>
      <c r="H38" t="n">
        <v>0</v>
      </c>
      <c r="I38" t="n">
        <v>0</v>
      </c>
      <c r="J38" t="n">
        <v>1</v>
      </c>
      <c r="K38" t="n">
        <v>0</v>
      </c>
      <c r="L38" t="n">
        <v>0</v>
      </c>
      <c r="M38" t="n">
        <v>0</v>
      </c>
      <c r="N38" t="n">
        <v>0</v>
      </c>
      <c r="O38" t="n">
        <v>1</v>
      </c>
      <c r="P38" t="n">
        <v>0</v>
      </c>
      <c r="Q38" t="n">
        <v>1</v>
      </c>
      <c r="R38" s="2" t="inlineStr">
        <is>
          <t>Kolflarnlav</t>
        </is>
      </c>
      <c r="S38">
        <f>HYPERLINK("https://klasma.github.io/Logging_2463/artfynd/A 42132-2024 artfynd.xlsx", "A 42132-2024")</f>
        <v/>
      </c>
      <c r="T38">
        <f>HYPERLINK("https://klasma.github.io/Logging_2463/kartor/A 42132-2024 karta.png", "A 42132-2024")</f>
        <v/>
      </c>
      <c r="V38">
        <f>HYPERLINK("https://klasma.github.io/Logging_2463/klagomål/A 42132-2024 FSC-klagomål.docx", "A 42132-2024")</f>
        <v/>
      </c>
      <c r="W38">
        <f>HYPERLINK("https://klasma.github.io/Logging_2463/klagomålsmail/A 42132-2024 FSC-klagomål mail.docx", "A 42132-2024")</f>
        <v/>
      </c>
      <c r="X38">
        <f>HYPERLINK("https://klasma.github.io/Logging_2463/tillsyn/A 42132-2024 tillsynsbegäran.docx", "A 42132-2024")</f>
        <v/>
      </c>
      <c r="Y38">
        <f>HYPERLINK("https://klasma.github.io/Logging_2463/tillsynsmail/A 42132-2024 tillsynsbegäran mail.docx", "A 42132-2024")</f>
        <v/>
      </c>
    </row>
    <row r="39" ht="15" customHeight="1">
      <c r="A39" t="inlineStr">
        <is>
          <t>A 18000-2025</t>
        </is>
      </c>
      <c r="B39" s="1" t="n">
        <v>45761</v>
      </c>
      <c r="C39" s="1" t="n">
        <v>45910</v>
      </c>
      <c r="D39" t="inlineStr">
        <is>
          <t>VÄSTERBOTTENS LÄN</t>
        </is>
      </c>
      <c r="E39" t="inlineStr">
        <is>
          <t>ÅSELE</t>
        </is>
      </c>
      <c r="G39" t="n">
        <v>4.2</v>
      </c>
      <c r="H39" t="n">
        <v>0</v>
      </c>
      <c r="I39" t="n">
        <v>0</v>
      </c>
      <c r="J39" t="n">
        <v>1</v>
      </c>
      <c r="K39" t="n">
        <v>0</v>
      </c>
      <c r="L39" t="n">
        <v>0</v>
      </c>
      <c r="M39" t="n">
        <v>0</v>
      </c>
      <c r="N39" t="n">
        <v>0</v>
      </c>
      <c r="O39" t="n">
        <v>1</v>
      </c>
      <c r="P39" t="n">
        <v>0</v>
      </c>
      <c r="Q39" t="n">
        <v>1</v>
      </c>
      <c r="R39" s="2" t="inlineStr">
        <is>
          <t>Månlåsbräken</t>
        </is>
      </c>
      <c r="S39">
        <f>HYPERLINK("https://klasma.github.io/Logging_2463/artfynd/A 18000-2025 artfynd.xlsx", "A 18000-2025")</f>
        <v/>
      </c>
      <c r="T39">
        <f>HYPERLINK("https://klasma.github.io/Logging_2463/kartor/A 18000-2025 karta.png", "A 18000-2025")</f>
        <v/>
      </c>
      <c r="V39">
        <f>HYPERLINK("https://klasma.github.io/Logging_2463/klagomål/A 18000-2025 FSC-klagomål.docx", "A 18000-2025")</f>
        <v/>
      </c>
      <c r="W39">
        <f>HYPERLINK("https://klasma.github.io/Logging_2463/klagomålsmail/A 18000-2025 FSC-klagomål mail.docx", "A 18000-2025")</f>
        <v/>
      </c>
      <c r="X39">
        <f>HYPERLINK("https://klasma.github.io/Logging_2463/tillsyn/A 18000-2025 tillsynsbegäran.docx", "A 18000-2025")</f>
        <v/>
      </c>
      <c r="Y39">
        <f>HYPERLINK("https://klasma.github.io/Logging_2463/tillsynsmail/A 18000-2025 tillsynsbegäran mail.docx", "A 18000-2025")</f>
        <v/>
      </c>
    </row>
    <row r="40" ht="15" customHeight="1">
      <c r="A40" t="inlineStr">
        <is>
          <t>A 39380-2022</t>
        </is>
      </c>
      <c r="B40" s="1" t="n">
        <v>44817</v>
      </c>
      <c r="C40" s="1" t="n">
        <v>45910</v>
      </c>
      <c r="D40" t="inlineStr">
        <is>
          <t>VÄSTERBOTTENS LÄN</t>
        </is>
      </c>
      <c r="E40" t="inlineStr">
        <is>
          <t>ÅSELE</t>
        </is>
      </c>
      <c r="F40" t="inlineStr">
        <is>
          <t>SCA</t>
        </is>
      </c>
      <c r="G40" t="n">
        <v>2.4</v>
      </c>
      <c r="H40" t="n">
        <v>1</v>
      </c>
      <c r="I40" t="n">
        <v>1</v>
      </c>
      <c r="J40" t="n">
        <v>0</v>
      </c>
      <c r="K40" t="n">
        <v>0</v>
      </c>
      <c r="L40" t="n">
        <v>0</v>
      </c>
      <c r="M40" t="n">
        <v>0</v>
      </c>
      <c r="N40" t="n">
        <v>0</v>
      </c>
      <c r="O40" t="n">
        <v>0</v>
      </c>
      <c r="P40" t="n">
        <v>0</v>
      </c>
      <c r="Q40" t="n">
        <v>1</v>
      </c>
      <c r="R40" s="2" t="inlineStr">
        <is>
          <t>Lappranunkel</t>
        </is>
      </c>
      <c r="S40">
        <f>HYPERLINK("https://klasma.github.io/Logging_2463/artfynd/A 39380-2022 artfynd.xlsx", "A 39380-2022")</f>
        <v/>
      </c>
      <c r="T40">
        <f>HYPERLINK("https://klasma.github.io/Logging_2463/kartor/A 39380-2022 karta.png", "A 39380-2022")</f>
        <v/>
      </c>
      <c r="V40">
        <f>HYPERLINK("https://klasma.github.io/Logging_2463/klagomål/A 39380-2022 FSC-klagomål.docx", "A 39380-2022")</f>
        <v/>
      </c>
      <c r="W40">
        <f>HYPERLINK("https://klasma.github.io/Logging_2463/klagomålsmail/A 39380-2022 FSC-klagomål mail.docx", "A 39380-2022")</f>
        <v/>
      </c>
      <c r="X40">
        <f>HYPERLINK("https://klasma.github.io/Logging_2463/tillsyn/A 39380-2022 tillsynsbegäran.docx", "A 39380-2022")</f>
        <v/>
      </c>
      <c r="Y40">
        <f>HYPERLINK("https://klasma.github.io/Logging_2463/tillsynsmail/A 39380-2022 tillsynsbegäran mail.docx", "A 39380-2022")</f>
        <v/>
      </c>
    </row>
    <row r="41" ht="15" customHeight="1">
      <c r="A41" t="inlineStr">
        <is>
          <t>A 27106-2025</t>
        </is>
      </c>
      <c r="B41" s="1" t="n">
        <v>45811</v>
      </c>
      <c r="C41" s="1" t="n">
        <v>45910</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26867-2025</t>
        </is>
      </c>
      <c r="B42" s="1" t="n">
        <v>45810</v>
      </c>
      <c r="C42" s="1" t="n">
        <v>45910</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54741-2023</t>
        </is>
      </c>
      <c r="B43" s="1" t="n">
        <v>45236.40642361111</v>
      </c>
      <c r="C43" s="1" t="n">
        <v>45910</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43459-2024</t>
        </is>
      </c>
      <c r="B44" s="1" t="n">
        <v>45568</v>
      </c>
      <c r="C44" s="1" t="n">
        <v>45910</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39556-2024</t>
        </is>
      </c>
      <c r="B45" s="1" t="n">
        <v>45552</v>
      </c>
      <c r="C45" s="1" t="n">
        <v>45910</v>
      </c>
      <c r="D45" t="inlineStr">
        <is>
          <t>VÄSTERBOTTENS LÄN</t>
        </is>
      </c>
      <c r="E45" t="inlineStr">
        <is>
          <t>ÅSELE</t>
        </is>
      </c>
      <c r="F45" t="inlineStr">
        <is>
          <t>Sveaskog</t>
        </is>
      </c>
      <c r="G45" t="n">
        <v>13.9</v>
      </c>
      <c r="H45" t="n">
        <v>0</v>
      </c>
      <c r="I45" t="n">
        <v>0</v>
      </c>
      <c r="J45" t="n">
        <v>1</v>
      </c>
      <c r="K45" t="n">
        <v>0</v>
      </c>
      <c r="L45" t="n">
        <v>0</v>
      </c>
      <c r="M45" t="n">
        <v>0</v>
      </c>
      <c r="N45" t="n">
        <v>0</v>
      </c>
      <c r="O45" t="n">
        <v>1</v>
      </c>
      <c r="P45" t="n">
        <v>0</v>
      </c>
      <c r="Q45" t="n">
        <v>1</v>
      </c>
      <c r="R45" s="2" t="inlineStr">
        <is>
          <t>Garnlav</t>
        </is>
      </c>
      <c r="S45">
        <f>HYPERLINK("https://klasma.github.io/Logging_2463/artfynd/A 39556-2024 artfynd.xlsx", "A 39556-2024")</f>
        <v/>
      </c>
      <c r="T45">
        <f>HYPERLINK("https://klasma.github.io/Logging_2463/kartor/A 39556-2024 karta.png", "A 39556-2024")</f>
        <v/>
      </c>
      <c r="V45">
        <f>HYPERLINK("https://klasma.github.io/Logging_2463/klagomål/A 39556-2024 FSC-klagomål.docx", "A 39556-2024")</f>
        <v/>
      </c>
      <c r="W45">
        <f>HYPERLINK("https://klasma.github.io/Logging_2463/klagomålsmail/A 39556-2024 FSC-klagomål mail.docx", "A 39556-2024")</f>
        <v/>
      </c>
      <c r="X45">
        <f>HYPERLINK("https://klasma.github.io/Logging_2463/tillsyn/A 39556-2024 tillsynsbegäran.docx", "A 39556-2024")</f>
        <v/>
      </c>
      <c r="Y45">
        <f>HYPERLINK("https://klasma.github.io/Logging_2463/tillsynsmail/A 39556-2024 tillsynsbegäran mail.docx", "A 39556-2024")</f>
        <v/>
      </c>
    </row>
    <row r="46" ht="15" customHeight="1">
      <c r="A46" t="inlineStr">
        <is>
          <t>A 37568-2025</t>
        </is>
      </c>
      <c r="B46" s="1" t="n">
        <v>45880.3647337963</v>
      </c>
      <c r="C46" s="1" t="n">
        <v>45910</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31518-2024</t>
        </is>
      </c>
      <c r="B47" s="1" t="n">
        <v>45505</v>
      </c>
      <c r="C47" s="1" t="n">
        <v>45910</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26897-2023</t>
        </is>
      </c>
      <c r="B48" s="1" t="n">
        <v>45093.60384259259</v>
      </c>
      <c r="C48" s="1" t="n">
        <v>45910</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41078-2025</t>
        </is>
      </c>
      <c r="B49" s="1" t="n">
        <v>45898</v>
      </c>
      <c r="C49" s="1" t="n">
        <v>45910</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42090-2025</t>
        </is>
      </c>
      <c r="B50" s="1" t="n">
        <v>45903.69844907407</v>
      </c>
      <c r="C50" s="1" t="n">
        <v>45910</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48743-2023</t>
        </is>
      </c>
      <c r="B51" s="1" t="n">
        <v>45208</v>
      </c>
      <c r="C51" s="1" t="n">
        <v>45910</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27315-2021</t>
        </is>
      </c>
      <c r="B52" s="1" t="n">
        <v>44350</v>
      </c>
      <c r="C52" s="1" t="n">
        <v>45910</v>
      </c>
      <c r="D52" t="inlineStr">
        <is>
          <t>VÄSTERBOTTENS LÄN</t>
        </is>
      </c>
      <c r="E52" t="inlineStr">
        <is>
          <t>ÅSELE</t>
        </is>
      </c>
      <c r="G52" t="n">
        <v>1.2</v>
      </c>
      <c r="H52" t="n">
        <v>0</v>
      </c>
      <c r="I52" t="n">
        <v>0</v>
      </c>
      <c r="J52" t="n">
        <v>0</v>
      </c>
      <c r="K52" t="n">
        <v>0</v>
      </c>
      <c r="L52" t="n">
        <v>0</v>
      </c>
      <c r="M52" t="n">
        <v>0</v>
      </c>
      <c r="N52" t="n">
        <v>0</v>
      </c>
      <c r="O52" t="n">
        <v>0</v>
      </c>
      <c r="P52" t="n">
        <v>0</v>
      </c>
      <c r="Q52" t="n">
        <v>0</v>
      </c>
      <c r="R52" s="2" t="inlineStr"/>
    </row>
    <row r="53" ht="15" customHeight="1">
      <c r="A53" t="inlineStr">
        <is>
          <t>A 3567-2021</t>
        </is>
      </c>
      <c r="B53" s="1" t="n">
        <v>44218</v>
      </c>
      <c r="C53" s="1" t="n">
        <v>45910</v>
      </c>
      <c r="D53" t="inlineStr">
        <is>
          <t>VÄSTERBOTTENS LÄN</t>
        </is>
      </c>
      <c r="E53" t="inlineStr">
        <is>
          <t>ÅSELE</t>
        </is>
      </c>
      <c r="G53" t="n">
        <v>1.6</v>
      </c>
      <c r="H53" t="n">
        <v>0</v>
      </c>
      <c r="I53" t="n">
        <v>0</v>
      </c>
      <c r="J53" t="n">
        <v>0</v>
      </c>
      <c r="K53" t="n">
        <v>0</v>
      </c>
      <c r="L53" t="n">
        <v>0</v>
      </c>
      <c r="M53" t="n">
        <v>0</v>
      </c>
      <c r="N53" t="n">
        <v>0</v>
      </c>
      <c r="O53" t="n">
        <v>0</v>
      </c>
      <c r="P53" t="n">
        <v>0</v>
      </c>
      <c r="Q53" t="n">
        <v>0</v>
      </c>
      <c r="R53" s="2" t="inlineStr"/>
    </row>
    <row r="54" ht="15" customHeight="1">
      <c r="A54" t="inlineStr">
        <is>
          <t>A 974-2021</t>
        </is>
      </c>
      <c r="B54" s="1" t="n">
        <v>44207</v>
      </c>
      <c r="C54" s="1" t="n">
        <v>45910</v>
      </c>
      <c r="D54" t="inlineStr">
        <is>
          <t>VÄSTERBOTTENS LÄN</t>
        </is>
      </c>
      <c r="E54" t="inlineStr">
        <is>
          <t>ÅSELE</t>
        </is>
      </c>
      <c r="F54" t="inlineStr">
        <is>
          <t>Sveaskog</t>
        </is>
      </c>
      <c r="G54" t="n">
        <v>5.5</v>
      </c>
      <c r="H54" t="n">
        <v>0</v>
      </c>
      <c r="I54" t="n">
        <v>0</v>
      </c>
      <c r="J54" t="n">
        <v>0</v>
      </c>
      <c r="K54" t="n">
        <v>0</v>
      </c>
      <c r="L54" t="n">
        <v>0</v>
      </c>
      <c r="M54" t="n">
        <v>0</v>
      </c>
      <c r="N54" t="n">
        <v>0</v>
      </c>
      <c r="O54" t="n">
        <v>0</v>
      </c>
      <c r="P54" t="n">
        <v>0</v>
      </c>
      <c r="Q54" t="n">
        <v>0</v>
      </c>
      <c r="R54" s="2" t="inlineStr"/>
    </row>
    <row r="55" ht="15" customHeight="1">
      <c r="A55" t="inlineStr">
        <is>
          <t>A 56145-2020</t>
        </is>
      </c>
      <c r="B55" s="1" t="n">
        <v>44133</v>
      </c>
      <c r="C55" s="1" t="n">
        <v>45910</v>
      </c>
      <c r="D55" t="inlineStr">
        <is>
          <t>VÄSTERBOTTENS LÄN</t>
        </is>
      </c>
      <c r="E55" t="inlineStr">
        <is>
          <t>ÅSELE</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59307-2020</t>
        </is>
      </c>
      <c r="B56" s="1" t="n">
        <v>44147</v>
      </c>
      <c r="C56" s="1" t="n">
        <v>45910</v>
      </c>
      <c r="D56" t="inlineStr">
        <is>
          <t>VÄSTERBOTTENS LÄN</t>
        </is>
      </c>
      <c r="E56" t="inlineStr">
        <is>
          <t>ÅSELE</t>
        </is>
      </c>
      <c r="G56" t="n">
        <v>2.4</v>
      </c>
      <c r="H56" t="n">
        <v>0</v>
      </c>
      <c r="I56" t="n">
        <v>0</v>
      </c>
      <c r="J56" t="n">
        <v>0</v>
      </c>
      <c r="K56" t="n">
        <v>0</v>
      </c>
      <c r="L56" t="n">
        <v>0</v>
      </c>
      <c r="M56" t="n">
        <v>0</v>
      </c>
      <c r="N56" t="n">
        <v>0</v>
      </c>
      <c r="O56" t="n">
        <v>0</v>
      </c>
      <c r="P56" t="n">
        <v>0</v>
      </c>
      <c r="Q56" t="n">
        <v>0</v>
      </c>
      <c r="R56" s="2" t="inlineStr"/>
    </row>
    <row r="57" ht="15" customHeight="1">
      <c r="A57" t="inlineStr">
        <is>
          <t>A 46911-2020</t>
        </is>
      </c>
      <c r="B57" s="1" t="n">
        <v>44090</v>
      </c>
      <c r="C57" s="1" t="n">
        <v>45910</v>
      </c>
      <c r="D57" t="inlineStr">
        <is>
          <t>VÄSTERBOTTENS LÄN</t>
        </is>
      </c>
      <c r="E57" t="inlineStr">
        <is>
          <t>ÅSELE</t>
        </is>
      </c>
      <c r="G57" t="n">
        <v>2.3</v>
      </c>
      <c r="H57" t="n">
        <v>0</v>
      </c>
      <c r="I57" t="n">
        <v>0</v>
      </c>
      <c r="J57" t="n">
        <v>0</v>
      </c>
      <c r="K57" t="n">
        <v>0</v>
      </c>
      <c r="L57" t="n">
        <v>0</v>
      </c>
      <c r="M57" t="n">
        <v>0</v>
      </c>
      <c r="N57" t="n">
        <v>0</v>
      </c>
      <c r="O57" t="n">
        <v>0</v>
      </c>
      <c r="P57" t="n">
        <v>0</v>
      </c>
      <c r="Q57" t="n">
        <v>0</v>
      </c>
      <c r="R57" s="2" t="inlineStr"/>
    </row>
    <row r="58" ht="15" customHeight="1">
      <c r="A58" t="inlineStr">
        <is>
          <t>A 36450-2021</t>
        </is>
      </c>
      <c r="B58" s="1" t="n">
        <v>44390</v>
      </c>
      <c r="C58" s="1" t="n">
        <v>45910</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45910</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45910</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45910</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48280-2022</t>
        </is>
      </c>
      <c r="B62" s="1" t="n">
        <v>44858.49686342593</v>
      </c>
      <c r="C62" s="1" t="n">
        <v>45910</v>
      </c>
      <c r="D62" t="inlineStr">
        <is>
          <t>VÄSTERBOTTENS LÄN</t>
        </is>
      </c>
      <c r="E62" t="inlineStr">
        <is>
          <t>ÅSELE</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59585-2020</t>
        </is>
      </c>
      <c r="B63" s="1" t="n">
        <v>44148</v>
      </c>
      <c r="C63" s="1" t="n">
        <v>45910</v>
      </c>
      <c r="D63" t="inlineStr">
        <is>
          <t>VÄSTERBOTTENS LÄN</t>
        </is>
      </c>
      <c r="E63" t="inlineStr">
        <is>
          <t>ÅSELE</t>
        </is>
      </c>
      <c r="F63" t="inlineStr">
        <is>
          <t>Kommuner</t>
        </is>
      </c>
      <c r="G63" t="n">
        <v>4.3</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45910</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66612-2021</t>
        </is>
      </c>
      <c r="B65" s="1" t="n">
        <v>44519.49189814815</v>
      </c>
      <c r="C65" s="1" t="n">
        <v>45910</v>
      </c>
      <c r="D65" t="inlineStr">
        <is>
          <t>VÄSTERBOTTENS LÄN</t>
        </is>
      </c>
      <c r="E65" t="inlineStr">
        <is>
          <t>ÅSELE</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45910</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31848-2022</t>
        </is>
      </c>
      <c r="B67" s="1" t="n">
        <v>44776</v>
      </c>
      <c r="C67" s="1" t="n">
        <v>45910</v>
      </c>
      <c r="D67" t="inlineStr">
        <is>
          <t>VÄSTERBOTTENS LÄN</t>
        </is>
      </c>
      <c r="E67" t="inlineStr">
        <is>
          <t>ÅSELE</t>
        </is>
      </c>
      <c r="F67" t="inlineStr">
        <is>
          <t>SCA</t>
        </is>
      </c>
      <c r="G67" t="n">
        <v>1.4</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45910</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36460-2021</t>
        </is>
      </c>
      <c r="B69" s="1" t="n">
        <v>44390</v>
      </c>
      <c r="C69" s="1" t="n">
        <v>45910</v>
      </c>
      <c r="D69" t="inlineStr">
        <is>
          <t>VÄSTERBOTTENS LÄN</t>
        </is>
      </c>
      <c r="E69" t="inlineStr">
        <is>
          <t>ÅSELE</t>
        </is>
      </c>
      <c r="F69" t="inlineStr">
        <is>
          <t>SCA</t>
        </is>
      </c>
      <c r="G69" t="n">
        <v>4.2</v>
      </c>
      <c r="H69" t="n">
        <v>0</v>
      </c>
      <c r="I69" t="n">
        <v>0</v>
      </c>
      <c r="J69" t="n">
        <v>0</v>
      </c>
      <c r="K69" t="n">
        <v>0</v>
      </c>
      <c r="L69" t="n">
        <v>0</v>
      </c>
      <c r="M69" t="n">
        <v>0</v>
      </c>
      <c r="N69" t="n">
        <v>0</v>
      </c>
      <c r="O69" t="n">
        <v>0</v>
      </c>
      <c r="P69" t="n">
        <v>0</v>
      </c>
      <c r="Q69" t="n">
        <v>0</v>
      </c>
      <c r="R69" s="2" t="inlineStr"/>
    </row>
    <row r="70" ht="15" customHeight="1">
      <c r="A70" t="inlineStr">
        <is>
          <t>A 37313-2022</t>
        </is>
      </c>
      <c r="B70" s="1" t="n">
        <v>44808.95638888889</v>
      </c>
      <c r="C70" s="1" t="n">
        <v>45910</v>
      </c>
      <c r="D70" t="inlineStr">
        <is>
          <t>VÄSTERBOTTENS LÄN</t>
        </is>
      </c>
      <c r="E70" t="inlineStr">
        <is>
          <t>ÅSELE</t>
        </is>
      </c>
      <c r="G70" t="n">
        <v>2.5</v>
      </c>
      <c r="H70" t="n">
        <v>0</v>
      </c>
      <c r="I70" t="n">
        <v>0</v>
      </c>
      <c r="J70" t="n">
        <v>0</v>
      </c>
      <c r="K70" t="n">
        <v>0</v>
      </c>
      <c r="L70" t="n">
        <v>0</v>
      </c>
      <c r="M70" t="n">
        <v>0</v>
      </c>
      <c r="N70" t="n">
        <v>0</v>
      </c>
      <c r="O70" t="n">
        <v>0</v>
      </c>
      <c r="P70" t="n">
        <v>0</v>
      </c>
      <c r="Q70" t="n">
        <v>0</v>
      </c>
      <c r="R70" s="2" t="inlineStr"/>
    </row>
    <row r="71" ht="15" customHeight="1">
      <c r="A71" t="inlineStr">
        <is>
          <t>A 36188-2022</t>
        </is>
      </c>
      <c r="B71" s="1" t="n">
        <v>44803.43947916666</v>
      </c>
      <c r="C71" s="1" t="n">
        <v>45910</v>
      </c>
      <c r="D71" t="inlineStr">
        <is>
          <t>VÄSTERBOTTENS LÄN</t>
        </is>
      </c>
      <c r="E71" t="inlineStr">
        <is>
          <t>ÅSELE</t>
        </is>
      </c>
      <c r="F71" t="inlineStr">
        <is>
          <t>Sveaskog</t>
        </is>
      </c>
      <c r="G71" t="n">
        <v>14.2</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45910</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46981-2022</t>
        </is>
      </c>
      <c r="B73" s="1" t="n">
        <v>44851.95386574074</v>
      </c>
      <c r="C73" s="1" t="n">
        <v>45910</v>
      </c>
      <c r="D73" t="inlineStr">
        <is>
          <t>VÄSTERBOTTENS LÄN</t>
        </is>
      </c>
      <c r="E73" t="inlineStr">
        <is>
          <t>ÅSELE</t>
        </is>
      </c>
      <c r="F73" t="inlineStr">
        <is>
          <t>SCA</t>
        </is>
      </c>
      <c r="G73" t="n">
        <v>1.1</v>
      </c>
      <c r="H73" t="n">
        <v>0</v>
      </c>
      <c r="I73" t="n">
        <v>0</v>
      </c>
      <c r="J73" t="n">
        <v>0</v>
      </c>
      <c r="K73" t="n">
        <v>0</v>
      </c>
      <c r="L73" t="n">
        <v>0</v>
      </c>
      <c r="M73" t="n">
        <v>0</v>
      </c>
      <c r="N73" t="n">
        <v>0</v>
      </c>
      <c r="O73" t="n">
        <v>0</v>
      </c>
      <c r="P73" t="n">
        <v>0</v>
      </c>
      <c r="Q73" t="n">
        <v>0</v>
      </c>
      <c r="R73" s="2" t="inlineStr"/>
    </row>
    <row r="74" ht="15" customHeight="1">
      <c r="A74" t="inlineStr">
        <is>
          <t>A 64478-2020</t>
        </is>
      </c>
      <c r="B74" s="1" t="n">
        <v>44168</v>
      </c>
      <c r="C74" s="1" t="n">
        <v>45910</v>
      </c>
      <c r="D74" t="inlineStr">
        <is>
          <t>VÄSTERBOTTENS LÄN</t>
        </is>
      </c>
      <c r="E74" t="inlineStr">
        <is>
          <t>ÅSELE</t>
        </is>
      </c>
      <c r="G74" t="n">
        <v>2.1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45910</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45910</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45910</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45910</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45910</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45910</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64835-2020</t>
        </is>
      </c>
      <c r="B81" s="1" t="n">
        <v>44170</v>
      </c>
      <c r="C81" s="1" t="n">
        <v>45910</v>
      </c>
      <c r="D81" t="inlineStr">
        <is>
          <t>VÄSTERBOTTENS LÄN</t>
        </is>
      </c>
      <c r="E81" t="inlineStr">
        <is>
          <t>ÅSELE</t>
        </is>
      </c>
      <c r="G81" t="n">
        <v>1</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45910</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45910</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45910</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45910</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45910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45910</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46856-2020</t>
        </is>
      </c>
      <c r="B88" s="1" t="n">
        <v>44089</v>
      </c>
      <c r="C88" s="1" t="n">
        <v>45910</v>
      </c>
      <c r="D88" t="inlineStr">
        <is>
          <t>VÄSTERBOTTENS LÄN</t>
        </is>
      </c>
      <c r="E88" t="inlineStr">
        <is>
          <t>ÅSELE</t>
        </is>
      </c>
      <c r="G88" t="n">
        <v>4.1</v>
      </c>
      <c r="H88" t="n">
        <v>0</v>
      </c>
      <c r="I88" t="n">
        <v>0</v>
      </c>
      <c r="J88" t="n">
        <v>0</v>
      </c>
      <c r="K88" t="n">
        <v>0</v>
      </c>
      <c r="L88" t="n">
        <v>0</v>
      </c>
      <c r="M88" t="n">
        <v>0</v>
      </c>
      <c r="N88" t="n">
        <v>0</v>
      </c>
      <c r="O88" t="n">
        <v>0</v>
      </c>
      <c r="P88" t="n">
        <v>0</v>
      </c>
      <c r="Q88" t="n">
        <v>0</v>
      </c>
      <c r="R88" s="2" t="inlineStr"/>
    </row>
    <row r="89" ht="15" customHeight="1">
      <c r="A89" t="inlineStr">
        <is>
          <t>A 46883-2020</t>
        </is>
      </c>
      <c r="B89" s="1" t="n">
        <v>44089</v>
      </c>
      <c r="C89" s="1" t="n">
        <v>45910</v>
      </c>
      <c r="D89" t="inlineStr">
        <is>
          <t>VÄSTERBOTTENS LÄN</t>
        </is>
      </c>
      <c r="E89" t="inlineStr">
        <is>
          <t>ÅSELE</t>
        </is>
      </c>
      <c r="G89" t="n">
        <v>3</v>
      </c>
      <c r="H89" t="n">
        <v>0</v>
      </c>
      <c r="I89" t="n">
        <v>0</v>
      </c>
      <c r="J89" t="n">
        <v>0</v>
      </c>
      <c r="K89" t="n">
        <v>0</v>
      </c>
      <c r="L89" t="n">
        <v>0</v>
      </c>
      <c r="M89" t="n">
        <v>0</v>
      </c>
      <c r="N89" t="n">
        <v>0</v>
      </c>
      <c r="O89" t="n">
        <v>0</v>
      </c>
      <c r="P89" t="n">
        <v>0</v>
      </c>
      <c r="Q89" t="n">
        <v>0</v>
      </c>
      <c r="R89" s="2" t="inlineStr"/>
    </row>
    <row r="90" ht="15" customHeight="1">
      <c r="A90" t="inlineStr">
        <is>
          <t>A 46913-2020</t>
        </is>
      </c>
      <c r="B90" s="1" t="n">
        <v>44090</v>
      </c>
      <c r="C90" s="1" t="n">
        <v>45910</v>
      </c>
      <c r="D90" t="inlineStr">
        <is>
          <t>VÄSTERBOTTENS LÄN</t>
        </is>
      </c>
      <c r="E90" t="inlineStr">
        <is>
          <t>ÅSELE</t>
        </is>
      </c>
      <c r="G90" t="n">
        <v>2.8</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45910</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45910</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45910</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45910</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45910</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45910</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45910</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45910</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45910</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45910</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45910</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45910</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45910</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45910</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45910</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45910</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45910</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32178-2021</t>
        </is>
      </c>
      <c r="B108" s="1" t="n">
        <v>44371</v>
      </c>
      <c r="C108" s="1" t="n">
        <v>45910</v>
      </c>
      <c r="D108" t="inlineStr">
        <is>
          <t>VÄSTERBOTTENS LÄN</t>
        </is>
      </c>
      <c r="E108" t="inlineStr">
        <is>
          <t>ÅSELE</t>
        </is>
      </c>
      <c r="F108" t="inlineStr">
        <is>
          <t>Holmen skog AB</t>
        </is>
      </c>
      <c r="G108" t="n">
        <v>2.6</v>
      </c>
      <c r="H108" t="n">
        <v>0</v>
      </c>
      <c r="I108" t="n">
        <v>0</v>
      </c>
      <c r="J108" t="n">
        <v>0</v>
      </c>
      <c r="K108" t="n">
        <v>0</v>
      </c>
      <c r="L108" t="n">
        <v>0</v>
      </c>
      <c r="M108" t="n">
        <v>0</v>
      </c>
      <c r="N108" t="n">
        <v>0</v>
      </c>
      <c r="O108" t="n">
        <v>0</v>
      </c>
      <c r="P108" t="n">
        <v>0</v>
      </c>
      <c r="Q108" t="n">
        <v>0</v>
      </c>
      <c r="R108" s="2" t="inlineStr"/>
    </row>
    <row r="109" ht="15" customHeight="1">
      <c r="A109" t="inlineStr">
        <is>
          <t>A 60524-2021</t>
        </is>
      </c>
      <c r="B109" s="1" t="n">
        <v>44496</v>
      </c>
      <c r="C109" s="1" t="n">
        <v>45910</v>
      </c>
      <c r="D109" t="inlineStr">
        <is>
          <t>VÄSTERBOTTENS LÄN</t>
        </is>
      </c>
      <c r="E109" t="inlineStr">
        <is>
          <t>ÅSELE</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36194-2022</t>
        </is>
      </c>
      <c r="B110" s="1" t="n">
        <v>44803</v>
      </c>
      <c r="C110" s="1" t="n">
        <v>45910</v>
      </c>
      <c r="D110" t="inlineStr">
        <is>
          <t>VÄSTERBOTTENS LÄN</t>
        </is>
      </c>
      <c r="E110" t="inlineStr">
        <is>
          <t>ÅSELE</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45910</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54432-2021</t>
        </is>
      </c>
      <c r="B112" s="1" t="n">
        <v>44472</v>
      </c>
      <c r="C112" s="1" t="n">
        <v>45910</v>
      </c>
      <c r="D112" t="inlineStr">
        <is>
          <t>VÄSTERBOTTENS LÄN</t>
        </is>
      </c>
      <c r="E112" t="inlineStr">
        <is>
          <t>ÅSELE</t>
        </is>
      </c>
      <c r="G112" t="n">
        <v>5.2</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45910</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45910</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45910</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44498.62789351852</v>
      </c>
      <c r="C116" s="1" t="n">
        <v>45910</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45910</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45910</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3469-2022</t>
        </is>
      </c>
      <c r="B119" s="1" t="n">
        <v>44585</v>
      </c>
      <c r="C119" s="1" t="n">
        <v>45910</v>
      </c>
      <c r="D119" t="inlineStr">
        <is>
          <t>VÄSTERBOTTENS LÄN</t>
        </is>
      </c>
      <c r="E119" t="inlineStr">
        <is>
          <t>ÅSELE</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51762-2020</t>
        </is>
      </c>
      <c r="B120" s="1" t="n">
        <v>44115.63228009259</v>
      </c>
      <c r="C120" s="1" t="n">
        <v>45910</v>
      </c>
      <c r="D120" t="inlineStr">
        <is>
          <t>VÄSTERBOTTENS LÄN</t>
        </is>
      </c>
      <c r="E120" t="inlineStr">
        <is>
          <t>ÅSELE</t>
        </is>
      </c>
      <c r="G120" t="n">
        <v>1</v>
      </c>
      <c r="H120" t="n">
        <v>0</v>
      </c>
      <c r="I120" t="n">
        <v>0</v>
      </c>
      <c r="J120" t="n">
        <v>0</v>
      </c>
      <c r="K120" t="n">
        <v>0</v>
      </c>
      <c r="L120" t="n">
        <v>0</v>
      </c>
      <c r="M120" t="n">
        <v>0</v>
      </c>
      <c r="N120" t="n">
        <v>0</v>
      </c>
      <c r="O120" t="n">
        <v>0</v>
      </c>
      <c r="P120" t="n">
        <v>0</v>
      </c>
      <c r="Q120" t="n">
        <v>0</v>
      </c>
      <c r="R120" s="2" t="inlineStr"/>
    </row>
    <row r="121" ht="15" customHeight="1">
      <c r="A121" t="inlineStr">
        <is>
          <t>A 51958-2020</t>
        </is>
      </c>
      <c r="B121" s="1" t="n">
        <v>44116</v>
      </c>
      <c r="C121" s="1" t="n">
        <v>45910</v>
      </c>
      <c r="D121" t="inlineStr">
        <is>
          <t>VÄSTERBOTTENS LÄN</t>
        </is>
      </c>
      <c r="E121" t="inlineStr">
        <is>
          <t>ÅSELE</t>
        </is>
      </c>
      <c r="G121" t="n">
        <v>0.4</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45910</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45910</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23996-2022</t>
        </is>
      </c>
      <c r="B124" s="1" t="n">
        <v>44722</v>
      </c>
      <c r="C124" s="1" t="n">
        <v>45910</v>
      </c>
      <c r="D124" t="inlineStr">
        <is>
          <t>VÄSTERBOTTENS LÄN</t>
        </is>
      </c>
      <c r="E124" t="inlineStr">
        <is>
          <t>ÅSELE</t>
        </is>
      </c>
      <c r="F124" t="inlineStr">
        <is>
          <t>SCA</t>
        </is>
      </c>
      <c r="G124" t="n">
        <v>5.5</v>
      </c>
      <c r="H124" t="n">
        <v>0</v>
      </c>
      <c r="I124" t="n">
        <v>0</v>
      </c>
      <c r="J124" t="n">
        <v>0</v>
      </c>
      <c r="K124" t="n">
        <v>0</v>
      </c>
      <c r="L124" t="n">
        <v>0</v>
      </c>
      <c r="M124" t="n">
        <v>0</v>
      </c>
      <c r="N124" t="n">
        <v>0</v>
      </c>
      <c r="O124" t="n">
        <v>0</v>
      </c>
      <c r="P124" t="n">
        <v>0</v>
      </c>
      <c r="Q124" t="n">
        <v>0</v>
      </c>
      <c r="R124" s="2" t="inlineStr"/>
    </row>
    <row r="125" ht="15" customHeight="1">
      <c r="A125" t="inlineStr">
        <is>
          <t>A 22011-2022</t>
        </is>
      </c>
      <c r="B125" s="1" t="n">
        <v>44711</v>
      </c>
      <c r="C125" s="1" t="n">
        <v>45910</v>
      </c>
      <c r="D125" t="inlineStr">
        <is>
          <t>VÄSTERBOTTENS LÄN</t>
        </is>
      </c>
      <c r="E125" t="inlineStr">
        <is>
          <t>ÅSELE</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52171-2020</t>
        </is>
      </c>
      <c r="B126" s="1" t="n">
        <v>44117</v>
      </c>
      <c r="C126" s="1" t="n">
        <v>45910</v>
      </c>
      <c r="D126" t="inlineStr">
        <is>
          <t>VÄSTERBOTTENS LÄN</t>
        </is>
      </c>
      <c r="E126" t="inlineStr">
        <is>
          <t>ÅSELE</t>
        </is>
      </c>
      <c r="G126" t="n">
        <v>1.3</v>
      </c>
      <c r="H126" t="n">
        <v>0</v>
      </c>
      <c r="I126" t="n">
        <v>0</v>
      </c>
      <c r="J126" t="n">
        <v>0</v>
      </c>
      <c r="K126" t="n">
        <v>0</v>
      </c>
      <c r="L126" t="n">
        <v>0</v>
      </c>
      <c r="M126" t="n">
        <v>0</v>
      </c>
      <c r="N126" t="n">
        <v>0</v>
      </c>
      <c r="O126" t="n">
        <v>0</v>
      </c>
      <c r="P126" t="n">
        <v>0</v>
      </c>
      <c r="Q126" t="n">
        <v>0</v>
      </c>
      <c r="R126" s="2" t="inlineStr"/>
    </row>
    <row r="127" ht="15" customHeight="1">
      <c r="A127" t="inlineStr">
        <is>
          <t>A 49803-2021</t>
        </is>
      </c>
      <c r="B127" s="1" t="n">
        <v>44455.60459490741</v>
      </c>
      <c r="C127" s="1" t="n">
        <v>45910</v>
      </c>
      <c r="D127" t="inlineStr">
        <is>
          <t>VÄSTERBOTTENS LÄN</t>
        </is>
      </c>
      <c r="E127" t="inlineStr">
        <is>
          <t>ÅSELE</t>
        </is>
      </c>
      <c r="F127" t="inlineStr">
        <is>
          <t>Holmen skog AB</t>
        </is>
      </c>
      <c r="G127" t="n">
        <v>13.7</v>
      </c>
      <c r="H127" t="n">
        <v>0</v>
      </c>
      <c r="I127" t="n">
        <v>0</v>
      </c>
      <c r="J127" t="n">
        <v>0</v>
      </c>
      <c r="K127" t="n">
        <v>0</v>
      </c>
      <c r="L127" t="n">
        <v>0</v>
      </c>
      <c r="M127" t="n">
        <v>0</v>
      </c>
      <c r="N127" t="n">
        <v>0</v>
      </c>
      <c r="O127" t="n">
        <v>0</v>
      </c>
      <c r="P127" t="n">
        <v>0</v>
      </c>
      <c r="Q127" t="n">
        <v>0</v>
      </c>
      <c r="R127" s="2" t="inlineStr"/>
    </row>
    <row r="128" ht="15" customHeight="1">
      <c r="A128" t="inlineStr">
        <is>
          <t>A 63244-2020</t>
        </is>
      </c>
      <c r="B128" s="1" t="n">
        <v>44163</v>
      </c>
      <c r="C128" s="1" t="n">
        <v>45910</v>
      </c>
      <c r="D128" t="inlineStr">
        <is>
          <t>VÄSTERBOTTENS LÄN</t>
        </is>
      </c>
      <c r="E128" t="inlineStr">
        <is>
          <t>ÅSELE</t>
        </is>
      </c>
      <c r="G128" t="n">
        <v>4.4</v>
      </c>
      <c r="H128" t="n">
        <v>0</v>
      </c>
      <c r="I128" t="n">
        <v>0</v>
      </c>
      <c r="J128" t="n">
        <v>0</v>
      </c>
      <c r="K128" t="n">
        <v>0</v>
      </c>
      <c r="L128" t="n">
        <v>0</v>
      </c>
      <c r="M128" t="n">
        <v>0</v>
      </c>
      <c r="N128" t="n">
        <v>0</v>
      </c>
      <c r="O128" t="n">
        <v>0</v>
      </c>
      <c r="P128" t="n">
        <v>0</v>
      </c>
      <c r="Q128" t="n">
        <v>0</v>
      </c>
      <c r="R128" s="2" t="inlineStr"/>
    </row>
    <row r="129" ht="15" customHeight="1">
      <c r="A129" t="inlineStr">
        <is>
          <t>A 49841-2020</t>
        </is>
      </c>
      <c r="B129" s="1" t="n">
        <v>44106</v>
      </c>
      <c r="C129" s="1" t="n">
        <v>45910</v>
      </c>
      <c r="D129" t="inlineStr">
        <is>
          <t>VÄSTERBOTTENS LÄN</t>
        </is>
      </c>
      <c r="E129" t="inlineStr">
        <is>
          <t>ÅSELE</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45910</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17255-2022</t>
        </is>
      </c>
      <c r="B131" s="1" t="n">
        <v>44678</v>
      </c>
      <c r="C131" s="1" t="n">
        <v>45910</v>
      </c>
      <c r="D131" t="inlineStr">
        <is>
          <t>VÄSTERBOTTENS LÄN</t>
        </is>
      </c>
      <c r="E131" t="inlineStr">
        <is>
          <t>ÅSELE</t>
        </is>
      </c>
      <c r="F131" t="inlineStr">
        <is>
          <t>Allmännings- och besparingsskogar</t>
        </is>
      </c>
      <c r="G131" t="n">
        <v>2.6</v>
      </c>
      <c r="H131" t="n">
        <v>0</v>
      </c>
      <c r="I131" t="n">
        <v>0</v>
      </c>
      <c r="J131" t="n">
        <v>0</v>
      </c>
      <c r="K131" t="n">
        <v>0</v>
      </c>
      <c r="L131" t="n">
        <v>0</v>
      </c>
      <c r="M131" t="n">
        <v>0</v>
      </c>
      <c r="N131" t="n">
        <v>0</v>
      </c>
      <c r="O131" t="n">
        <v>0</v>
      </c>
      <c r="P131" t="n">
        <v>0</v>
      </c>
      <c r="Q131" t="n">
        <v>0</v>
      </c>
      <c r="R131" s="2" t="inlineStr"/>
    </row>
    <row r="132" ht="15" customHeight="1">
      <c r="A132" t="inlineStr">
        <is>
          <t>A 55922-2021</t>
        </is>
      </c>
      <c r="B132" s="1" t="n">
        <v>44476</v>
      </c>
      <c r="C132" s="1" t="n">
        <v>45910</v>
      </c>
      <c r="D132" t="inlineStr">
        <is>
          <t>VÄSTERBOTTENS LÄN</t>
        </is>
      </c>
      <c r="E132" t="inlineStr">
        <is>
          <t>ÅSELE</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46862-2020</t>
        </is>
      </c>
      <c r="B133" s="1" t="n">
        <v>44089</v>
      </c>
      <c r="C133" s="1" t="n">
        <v>45910</v>
      </c>
      <c r="D133" t="inlineStr">
        <is>
          <t>VÄSTERBOTTENS LÄN</t>
        </is>
      </c>
      <c r="E133" t="inlineStr">
        <is>
          <t>ÅSELE</t>
        </is>
      </c>
      <c r="G133" t="n">
        <v>16.3</v>
      </c>
      <c r="H133" t="n">
        <v>0</v>
      </c>
      <c r="I133" t="n">
        <v>0</v>
      </c>
      <c r="J133" t="n">
        <v>0</v>
      </c>
      <c r="K133" t="n">
        <v>0</v>
      </c>
      <c r="L133" t="n">
        <v>0</v>
      </c>
      <c r="M133" t="n">
        <v>0</v>
      </c>
      <c r="N133" t="n">
        <v>0</v>
      </c>
      <c r="O133" t="n">
        <v>0</v>
      </c>
      <c r="P133" t="n">
        <v>0</v>
      </c>
      <c r="Q133" t="n">
        <v>0</v>
      </c>
      <c r="R133" s="2" t="inlineStr"/>
    </row>
    <row r="134" ht="15" customHeight="1">
      <c r="A134" t="inlineStr">
        <is>
          <t>A 29776-2022</t>
        </is>
      </c>
      <c r="B134" s="1" t="n">
        <v>44755</v>
      </c>
      <c r="C134" s="1" t="n">
        <v>45910</v>
      </c>
      <c r="D134" t="inlineStr">
        <is>
          <t>VÄSTERBOTTENS LÄN</t>
        </is>
      </c>
      <c r="E134" t="inlineStr">
        <is>
          <t>ÅSELE</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45910</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45910</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34787-2022</t>
        </is>
      </c>
      <c r="B137" s="1" t="n">
        <v>44795</v>
      </c>
      <c r="C137" s="1" t="n">
        <v>45910</v>
      </c>
      <c r="D137" t="inlineStr">
        <is>
          <t>VÄSTERBOTTENS LÄN</t>
        </is>
      </c>
      <c r="E137" t="inlineStr">
        <is>
          <t>ÅSELE</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7694-2022</t>
        </is>
      </c>
      <c r="B138" s="1" t="n">
        <v>44607.94155092593</v>
      </c>
      <c r="C138" s="1" t="n">
        <v>45910</v>
      </c>
      <c r="D138" t="inlineStr">
        <is>
          <t>VÄSTERBOTTENS LÄN</t>
        </is>
      </c>
      <c r="E138" t="inlineStr">
        <is>
          <t>ÅSELE</t>
        </is>
      </c>
      <c r="F138" t="inlineStr">
        <is>
          <t>SCA</t>
        </is>
      </c>
      <c r="G138" t="n">
        <v>3.8</v>
      </c>
      <c r="H138" t="n">
        <v>0</v>
      </c>
      <c r="I138" t="n">
        <v>0</v>
      </c>
      <c r="J138" t="n">
        <v>0</v>
      </c>
      <c r="K138" t="n">
        <v>0</v>
      </c>
      <c r="L138" t="n">
        <v>0</v>
      </c>
      <c r="M138" t="n">
        <v>0</v>
      </c>
      <c r="N138" t="n">
        <v>0</v>
      </c>
      <c r="O138" t="n">
        <v>0</v>
      </c>
      <c r="P138" t="n">
        <v>0</v>
      </c>
      <c r="Q138" t="n">
        <v>0</v>
      </c>
      <c r="R138" s="2" t="inlineStr"/>
    </row>
    <row r="139" ht="15" customHeight="1">
      <c r="A139" t="inlineStr">
        <is>
          <t>A 66557-2021</t>
        </is>
      </c>
      <c r="B139" s="1" t="n">
        <v>44519.41366898148</v>
      </c>
      <c r="C139" s="1" t="n">
        <v>45910</v>
      </c>
      <c r="D139" t="inlineStr">
        <is>
          <t>VÄSTERBOTTENS LÄN</t>
        </is>
      </c>
      <c r="E139" t="inlineStr">
        <is>
          <t>ÅSELE</t>
        </is>
      </c>
      <c r="F139" t="inlineStr">
        <is>
          <t>Holmen skog AB</t>
        </is>
      </c>
      <c r="G139" t="n">
        <v>2.3</v>
      </c>
      <c r="H139" t="n">
        <v>0</v>
      </c>
      <c r="I139" t="n">
        <v>0</v>
      </c>
      <c r="J139" t="n">
        <v>0</v>
      </c>
      <c r="K139" t="n">
        <v>0</v>
      </c>
      <c r="L139" t="n">
        <v>0</v>
      </c>
      <c r="M139" t="n">
        <v>0</v>
      </c>
      <c r="N139" t="n">
        <v>0</v>
      </c>
      <c r="O139" t="n">
        <v>0</v>
      </c>
      <c r="P139" t="n">
        <v>0</v>
      </c>
      <c r="Q139" t="n">
        <v>0</v>
      </c>
      <c r="R139" s="2" t="inlineStr"/>
    </row>
    <row r="140" ht="15" customHeight="1">
      <c r="A140" t="inlineStr">
        <is>
          <t>A 15559-2022</t>
        </is>
      </c>
      <c r="B140" s="1" t="n">
        <v>44662</v>
      </c>
      <c r="C140" s="1" t="n">
        <v>45910</v>
      </c>
      <c r="D140" t="inlineStr">
        <is>
          <t>VÄSTERBOTTENS LÄN</t>
        </is>
      </c>
      <c r="E140" t="inlineStr">
        <is>
          <t>ÅSELE</t>
        </is>
      </c>
      <c r="G140" t="n">
        <v>6.4</v>
      </c>
      <c r="H140" t="n">
        <v>0</v>
      </c>
      <c r="I140" t="n">
        <v>0</v>
      </c>
      <c r="J140" t="n">
        <v>0</v>
      </c>
      <c r="K140" t="n">
        <v>0</v>
      </c>
      <c r="L140" t="n">
        <v>0</v>
      </c>
      <c r="M140" t="n">
        <v>0</v>
      </c>
      <c r="N140" t="n">
        <v>0</v>
      </c>
      <c r="O140" t="n">
        <v>0</v>
      </c>
      <c r="P140" t="n">
        <v>0</v>
      </c>
      <c r="Q140" t="n">
        <v>0</v>
      </c>
      <c r="R140" s="2" t="inlineStr"/>
    </row>
    <row r="141" ht="15" customHeight="1">
      <c r="A141" t="inlineStr">
        <is>
          <t>A 39938-2021</t>
        </is>
      </c>
      <c r="B141" s="1" t="n">
        <v>44417</v>
      </c>
      <c r="C141" s="1" t="n">
        <v>45910</v>
      </c>
      <c r="D141" t="inlineStr">
        <is>
          <t>VÄSTERBOTTENS LÄN</t>
        </is>
      </c>
      <c r="E141" t="inlineStr">
        <is>
          <t>ÅSELE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60033-2020</t>
        </is>
      </c>
      <c r="B142" s="1" t="n">
        <v>44151</v>
      </c>
      <c r="C142" s="1" t="n">
        <v>45910</v>
      </c>
      <c r="D142" t="inlineStr">
        <is>
          <t>VÄSTERBOTTENS LÄN</t>
        </is>
      </c>
      <c r="E142" t="inlineStr">
        <is>
          <t>ÅSELE</t>
        </is>
      </c>
      <c r="F142" t="inlineStr">
        <is>
          <t>SCA</t>
        </is>
      </c>
      <c r="G142" t="n">
        <v>0.2</v>
      </c>
      <c r="H142" t="n">
        <v>0</v>
      </c>
      <c r="I142" t="n">
        <v>0</v>
      </c>
      <c r="J142" t="n">
        <v>0</v>
      </c>
      <c r="K142" t="n">
        <v>0</v>
      </c>
      <c r="L142" t="n">
        <v>0</v>
      </c>
      <c r="M142" t="n">
        <v>0</v>
      </c>
      <c r="N142" t="n">
        <v>0</v>
      </c>
      <c r="O142" t="n">
        <v>0</v>
      </c>
      <c r="P142" t="n">
        <v>0</v>
      </c>
      <c r="Q142" t="n">
        <v>0</v>
      </c>
      <c r="R142" s="2" t="inlineStr"/>
    </row>
    <row r="143" ht="15" customHeight="1">
      <c r="A143" t="inlineStr">
        <is>
          <t>A 32359-2022</t>
        </is>
      </c>
      <c r="B143" s="1" t="n">
        <v>44781</v>
      </c>
      <c r="C143" s="1" t="n">
        <v>45910</v>
      </c>
      <c r="D143" t="inlineStr">
        <is>
          <t>VÄSTERBOTTENS LÄN</t>
        </is>
      </c>
      <c r="E143" t="inlineStr">
        <is>
          <t>ÅSELE</t>
        </is>
      </c>
      <c r="F143" t="inlineStr">
        <is>
          <t>SCA</t>
        </is>
      </c>
      <c r="G143" t="n">
        <v>11.8</v>
      </c>
      <c r="H143" t="n">
        <v>0</v>
      </c>
      <c r="I143" t="n">
        <v>0</v>
      </c>
      <c r="J143" t="n">
        <v>0</v>
      </c>
      <c r="K143" t="n">
        <v>0</v>
      </c>
      <c r="L143" t="n">
        <v>0</v>
      </c>
      <c r="M143" t="n">
        <v>0</v>
      </c>
      <c r="N143" t="n">
        <v>0</v>
      </c>
      <c r="O143" t="n">
        <v>0</v>
      </c>
      <c r="P143" t="n">
        <v>0</v>
      </c>
      <c r="Q143" t="n">
        <v>0</v>
      </c>
      <c r="R143" s="2" t="inlineStr"/>
    </row>
    <row r="144" ht="15" customHeight="1">
      <c r="A144" t="inlineStr">
        <is>
          <t>A 35745-2021</t>
        </is>
      </c>
      <c r="B144" s="1" t="n">
        <v>44386.56488425926</v>
      </c>
      <c r="C144" s="1" t="n">
        <v>45910</v>
      </c>
      <c r="D144" t="inlineStr">
        <is>
          <t>VÄSTERBOTTENS LÄN</t>
        </is>
      </c>
      <c r="E144" t="inlineStr">
        <is>
          <t>ÅSELE</t>
        </is>
      </c>
      <c r="F144" t="inlineStr">
        <is>
          <t>Holmen skog AB</t>
        </is>
      </c>
      <c r="G144" t="n">
        <v>1.8</v>
      </c>
      <c r="H144" t="n">
        <v>0</v>
      </c>
      <c r="I144" t="n">
        <v>0</v>
      </c>
      <c r="J144" t="n">
        <v>0</v>
      </c>
      <c r="K144" t="n">
        <v>0</v>
      </c>
      <c r="L144" t="n">
        <v>0</v>
      </c>
      <c r="M144" t="n">
        <v>0</v>
      </c>
      <c r="N144" t="n">
        <v>0</v>
      </c>
      <c r="O144" t="n">
        <v>0</v>
      </c>
      <c r="P144" t="n">
        <v>0</v>
      </c>
      <c r="Q144" t="n">
        <v>0</v>
      </c>
      <c r="R144" s="2" t="inlineStr"/>
    </row>
    <row r="145" ht="15" customHeight="1">
      <c r="A145" t="inlineStr">
        <is>
          <t>A 60413-2021</t>
        </is>
      </c>
      <c r="B145" s="1" t="n">
        <v>44496.39971064815</v>
      </c>
      <c r="C145" s="1" t="n">
        <v>45910</v>
      </c>
      <c r="D145" t="inlineStr">
        <is>
          <t>VÄSTERBOTTENS LÄN</t>
        </is>
      </c>
      <c r="E145" t="inlineStr">
        <is>
          <t>ÅSELE</t>
        </is>
      </c>
      <c r="F145" t="inlineStr">
        <is>
          <t>Holmen skog AB</t>
        </is>
      </c>
      <c r="G145" t="n">
        <v>4</v>
      </c>
      <c r="H145" t="n">
        <v>0</v>
      </c>
      <c r="I145" t="n">
        <v>0</v>
      </c>
      <c r="J145" t="n">
        <v>0</v>
      </c>
      <c r="K145" t="n">
        <v>0</v>
      </c>
      <c r="L145" t="n">
        <v>0</v>
      </c>
      <c r="M145" t="n">
        <v>0</v>
      </c>
      <c r="N145" t="n">
        <v>0</v>
      </c>
      <c r="O145" t="n">
        <v>0</v>
      </c>
      <c r="P145" t="n">
        <v>0</v>
      </c>
      <c r="Q145" t="n">
        <v>0</v>
      </c>
      <c r="R145" s="2" t="inlineStr"/>
    </row>
    <row r="146" ht="15" customHeight="1">
      <c r="A146" t="inlineStr">
        <is>
          <t>A 13402-2025</t>
        </is>
      </c>
      <c r="B146" s="1" t="n">
        <v>45735</v>
      </c>
      <c r="C146" s="1" t="n">
        <v>45910</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48283-2022</t>
        </is>
      </c>
      <c r="B147" s="1" t="n">
        <v>44858</v>
      </c>
      <c r="C147" s="1" t="n">
        <v>45910</v>
      </c>
      <c r="D147" t="inlineStr">
        <is>
          <t>VÄSTERBOTTENS LÄN</t>
        </is>
      </c>
      <c r="E147" t="inlineStr">
        <is>
          <t>ÅSELE</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2891-2025</t>
        </is>
      </c>
      <c r="B148" s="1" t="n">
        <v>45677</v>
      </c>
      <c r="C148" s="1" t="n">
        <v>45910</v>
      </c>
      <c r="D148" t="inlineStr">
        <is>
          <t>VÄSTERBOTTENS LÄN</t>
        </is>
      </c>
      <c r="E148" t="inlineStr">
        <is>
          <t>ÅSELE</t>
        </is>
      </c>
      <c r="G148" t="n">
        <v>4.2</v>
      </c>
      <c r="H148" t="n">
        <v>0</v>
      </c>
      <c r="I148" t="n">
        <v>0</v>
      </c>
      <c r="J148" t="n">
        <v>0</v>
      </c>
      <c r="K148" t="n">
        <v>0</v>
      </c>
      <c r="L148" t="n">
        <v>0</v>
      </c>
      <c r="M148" t="n">
        <v>0</v>
      </c>
      <c r="N148" t="n">
        <v>0</v>
      </c>
      <c r="O148" t="n">
        <v>0</v>
      </c>
      <c r="P148" t="n">
        <v>0</v>
      </c>
      <c r="Q148" t="n">
        <v>0</v>
      </c>
      <c r="R148" s="2" t="inlineStr"/>
    </row>
    <row r="149" ht="15" customHeight="1">
      <c r="A149" t="inlineStr">
        <is>
          <t>A 50861-2023</t>
        </is>
      </c>
      <c r="B149" s="1" t="n">
        <v>45218.34753472222</v>
      </c>
      <c r="C149" s="1" t="n">
        <v>45910</v>
      </c>
      <c r="D149" t="inlineStr">
        <is>
          <t>VÄSTERBOTTENS LÄN</t>
        </is>
      </c>
      <c r="E149" t="inlineStr">
        <is>
          <t>ÅSELE</t>
        </is>
      </c>
      <c r="G149" t="n">
        <v>6.5</v>
      </c>
      <c r="H149" t="n">
        <v>0</v>
      </c>
      <c r="I149" t="n">
        <v>0</v>
      </c>
      <c r="J149" t="n">
        <v>0</v>
      </c>
      <c r="K149" t="n">
        <v>0</v>
      </c>
      <c r="L149" t="n">
        <v>0</v>
      </c>
      <c r="M149" t="n">
        <v>0</v>
      </c>
      <c r="N149" t="n">
        <v>0</v>
      </c>
      <c r="O149" t="n">
        <v>0</v>
      </c>
      <c r="P149" t="n">
        <v>0</v>
      </c>
      <c r="Q149" t="n">
        <v>0</v>
      </c>
      <c r="R149" s="2" t="inlineStr"/>
    </row>
    <row r="150" ht="15" customHeight="1">
      <c r="A150" t="inlineStr">
        <is>
          <t>A 28381-2022</t>
        </is>
      </c>
      <c r="B150" s="1" t="n">
        <v>44747</v>
      </c>
      <c r="C150" s="1" t="n">
        <v>45910</v>
      </c>
      <c r="D150" t="inlineStr">
        <is>
          <t>VÄSTERBOTTENS LÄN</t>
        </is>
      </c>
      <c r="E150" t="inlineStr">
        <is>
          <t>ÅSELE</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3088-2024</t>
        </is>
      </c>
      <c r="B151" s="1" t="n">
        <v>45316</v>
      </c>
      <c r="C151" s="1" t="n">
        <v>45910</v>
      </c>
      <c r="D151" t="inlineStr">
        <is>
          <t>VÄSTERBOTTENS LÄN</t>
        </is>
      </c>
      <c r="E151" t="inlineStr">
        <is>
          <t>ÅSELE</t>
        </is>
      </c>
      <c r="G151" t="n">
        <v>2.2</v>
      </c>
      <c r="H151" t="n">
        <v>0</v>
      </c>
      <c r="I151" t="n">
        <v>0</v>
      </c>
      <c r="J151" t="n">
        <v>0</v>
      </c>
      <c r="K151" t="n">
        <v>0</v>
      </c>
      <c r="L151" t="n">
        <v>0</v>
      </c>
      <c r="M151" t="n">
        <v>0</v>
      </c>
      <c r="N151" t="n">
        <v>0</v>
      </c>
      <c r="O151" t="n">
        <v>0</v>
      </c>
      <c r="P151" t="n">
        <v>0</v>
      </c>
      <c r="Q151" t="n">
        <v>0</v>
      </c>
      <c r="R151" s="2" t="inlineStr"/>
    </row>
    <row r="152" ht="15" customHeight="1">
      <c r="A152" t="inlineStr">
        <is>
          <t>A 22112-2024</t>
        </is>
      </c>
      <c r="B152" s="1" t="n">
        <v>45443</v>
      </c>
      <c r="C152" s="1" t="n">
        <v>45910</v>
      </c>
      <c r="D152" t="inlineStr">
        <is>
          <t>VÄSTERBOTTENS LÄN</t>
        </is>
      </c>
      <c r="E152" t="inlineStr">
        <is>
          <t>ÅSELE</t>
        </is>
      </c>
      <c r="F152" t="inlineStr">
        <is>
          <t>SCA</t>
        </is>
      </c>
      <c r="G152" t="n">
        <v>25.9</v>
      </c>
      <c r="H152" t="n">
        <v>0</v>
      </c>
      <c r="I152" t="n">
        <v>0</v>
      </c>
      <c r="J152" t="n">
        <v>0</v>
      </c>
      <c r="K152" t="n">
        <v>0</v>
      </c>
      <c r="L152" t="n">
        <v>0</v>
      </c>
      <c r="M152" t="n">
        <v>0</v>
      </c>
      <c r="N152" t="n">
        <v>0</v>
      </c>
      <c r="O152" t="n">
        <v>0</v>
      </c>
      <c r="P152" t="n">
        <v>0</v>
      </c>
      <c r="Q152" t="n">
        <v>0</v>
      </c>
      <c r="R152" s="2" t="inlineStr"/>
    </row>
    <row r="153" ht="15" customHeight="1">
      <c r="A153" t="inlineStr">
        <is>
          <t>A 49527-2022</t>
        </is>
      </c>
      <c r="B153" s="1" t="n">
        <v>44861.95710648148</v>
      </c>
      <c r="C153" s="1" t="n">
        <v>45910</v>
      </c>
      <c r="D153" t="inlineStr">
        <is>
          <t>VÄSTERBOTTENS LÄN</t>
        </is>
      </c>
      <c r="E153" t="inlineStr">
        <is>
          <t>ÅSELE</t>
        </is>
      </c>
      <c r="F153" t="inlineStr">
        <is>
          <t>SCA</t>
        </is>
      </c>
      <c r="G153" t="n">
        <v>3</v>
      </c>
      <c r="H153" t="n">
        <v>0</v>
      </c>
      <c r="I153" t="n">
        <v>0</v>
      </c>
      <c r="J153" t="n">
        <v>0</v>
      </c>
      <c r="K153" t="n">
        <v>0</v>
      </c>
      <c r="L153" t="n">
        <v>0</v>
      </c>
      <c r="M153" t="n">
        <v>0</v>
      </c>
      <c r="N153" t="n">
        <v>0</v>
      </c>
      <c r="O153" t="n">
        <v>0</v>
      </c>
      <c r="P153" t="n">
        <v>0</v>
      </c>
      <c r="Q153" t="n">
        <v>0</v>
      </c>
      <c r="R153" s="2" t="inlineStr"/>
    </row>
    <row r="154" ht="15" customHeight="1">
      <c r="A154" t="inlineStr">
        <is>
          <t>A 61289-2021</t>
        </is>
      </c>
      <c r="B154" s="1" t="n">
        <v>44498.61892361111</v>
      </c>
      <c r="C154" s="1" t="n">
        <v>45910</v>
      </c>
      <c r="D154" t="inlineStr">
        <is>
          <t>VÄSTERBOTTENS LÄN</t>
        </is>
      </c>
      <c r="E154" t="inlineStr">
        <is>
          <t>ÅSELE</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61876-2023</t>
        </is>
      </c>
      <c r="B155" s="1" t="n">
        <v>45266</v>
      </c>
      <c r="C155" s="1" t="n">
        <v>45910</v>
      </c>
      <c r="D155" t="inlineStr">
        <is>
          <t>VÄSTERBOTTENS LÄN</t>
        </is>
      </c>
      <c r="E155" t="inlineStr">
        <is>
          <t>ÅSELE</t>
        </is>
      </c>
      <c r="F155" t="inlineStr">
        <is>
          <t>Sveaskog</t>
        </is>
      </c>
      <c r="G155" t="n">
        <v>6.3</v>
      </c>
      <c r="H155" t="n">
        <v>0</v>
      </c>
      <c r="I155" t="n">
        <v>0</v>
      </c>
      <c r="J155" t="n">
        <v>0</v>
      </c>
      <c r="K155" t="n">
        <v>0</v>
      </c>
      <c r="L155" t="n">
        <v>0</v>
      </c>
      <c r="M155" t="n">
        <v>0</v>
      </c>
      <c r="N155" t="n">
        <v>0</v>
      </c>
      <c r="O155" t="n">
        <v>0</v>
      </c>
      <c r="P155" t="n">
        <v>0</v>
      </c>
      <c r="Q155" t="n">
        <v>0</v>
      </c>
      <c r="R155" s="2" t="inlineStr"/>
    </row>
    <row r="156" ht="15" customHeight="1">
      <c r="A156" t="inlineStr">
        <is>
          <t>A 29617-2023</t>
        </is>
      </c>
      <c r="B156" s="1" t="n">
        <v>45106.94461805555</v>
      </c>
      <c r="C156" s="1" t="n">
        <v>45910</v>
      </c>
      <c r="D156" t="inlineStr">
        <is>
          <t>VÄSTERBOTTENS LÄN</t>
        </is>
      </c>
      <c r="E156" t="inlineStr">
        <is>
          <t>ÅSELE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20455-2025</t>
        </is>
      </c>
      <c r="B157" s="1" t="n">
        <v>45775</v>
      </c>
      <c r="C157" s="1" t="n">
        <v>45910</v>
      </c>
      <c r="D157" t="inlineStr">
        <is>
          <t>VÄSTERBOTTENS LÄN</t>
        </is>
      </c>
      <c r="E157" t="inlineStr">
        <is>
          <t>ÅSELE</t>
        </is>
      </c>
      <c r="F157" t="inlineStr">
        <is>
          <t>SCA</t>
        </is>
      </c>
      <c r="G157" t="n">
        <v>18.4</v>
      </c>
      <c r="H157" t="n">
        <v>0</v>
      </c>
      <c r="I157" t="n">
        <v>0</v>
      </c>
      <c r="J157" t="n">
        <v>0</v>
      </c>
      <c r="K157" t="n">
        <v>0</v>
      </c>
      <c r="L157" t="n">
        <v>0</v>
      </c>
      <c r="M157" t="n">
        <v>0</v>
      </c>
      <c r="N157" t="n">
        <v>0</v>
      </c>
      <c r="O157" t="n">
        <v>0</v>
      </c>
      <c r="P157" t="n">
        <v>0</v>
      </c>
      <c r="Q157" t="n">
        <v>0</v>
      </c>
      <c r="R157" s="2" t="inlineStr"/>
    </row>
    <row r="158" ht="15" customHeight="1">
      <c r="A158" t="inlineStr">
        <is>
          <t>A 37483-2021</t>
        </is>
      </c>
      <c r="B158" s="1" t="n">
        <v>44398.93342592593</v>
      </c>
      <c r="C158" s="1" t="n">
        <v>45910</v>
      </c>
      <c r="D158" t="inlineStr">
        <is>
          <t>VÄSTERBOTTENS LÄN</t>
        </is>
      </c>
      <c r="E158" t="inlineStr">
        <is>
          <t>ÅSELE</t>
        </is>
      </c>
      <c r="F158" t="inlineStr">
        <is>
          <t>SCA</t>
        </is>
      </c>
      <c r="G158" t="n">
        <v>0.5</v>
      </c>
      <c r="H158" t="n">
        <v>0</v>
      </c>
      <c r="I158" t="n">
        <v>0</v>
      </c>
      <c r="J158" t="n">
        <v>0</v>
      </c>
      <c r="K158" t="n">
        <v>0</v>
      </c>
      <c r="L158" t="n">
        <v>0</v>
      </c>
      <c r="M158" t="n">
        <v>0</v>
      </c>
      <c r="N158" t="n">
        <v>0</v>
      </c>
      <c r="O158" t="n">
        <v>0</v>
      </c>
      <c r="P158" t="n">
        <v>0</v>
      </c>
      <c r="Q158" t="n">
        <v>0</v>
      </c>
      <c r="R158" s="2" t="inlineStr"/>
    </row>
    <row r="159" ht="15" customHeight="1">
      <c r="A159" t="inlineStr">
        <is>
          <t>A 13011-2025</t>
        </is>
      </c>
      <c r="B159" s="1" t="n">
        <v>45734.53167824074</v>
      </c>
      <c r="C159" s="1" t="n">
        <v>45910</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33241-2023</t>
        </is>
      </c>
      <c r="B160" s="1" t="n">
        <v>45114</v>
      </c>
      <c r="C160" s="1" t="n">
        <v>45910</v>
      </c>
      <c r="D160" t="inlineStr">
        <is>
          <t>VÄSTERBOTTENS LÄN</t>
        </is>
      </c>
      <c r="E160" t="inlineStr">
        <is>
          <t>ÅSELE</t>
        </is>
      </c>
      <c r="G160" t="n">
        <v>22.8</v>
      </c>
      <c r="H160" t="n">
        <v>0</v>
      </c>
      <c r="I160" t="n">
        <v>0</v>
      </c>
      <c r="J160" t="n">
        <v>0</v>
      </c>
      <c r="K160" t="n">
        <v>0</v>
      </c>
      <c r="L160" t="n">
        <v>0</v>
      </c>
      <c r="M160" t="n">
        <v>0</v>
      </c>
      <c r="N160" t="n">
        <v>0</v>
      </c>
      <c r="O160" t="n">
        <v>0</v>
      </c>
      <c r="P160" t="n">
        <v>0</v>
      </c>
      <c r="Q160" t="n">
        <v>0</v>
      </c>
      <c r="R160" s="2" t="inlineStr"/>
    </row>
    <row r="161" ht="15" customHeight="1">
      <c r="A161" t="inlineStr">
        <is>
          <t>A 18693-2025</t>
        </is>
      </c>
      <c r="B161" s="1" t="n">
        <v>45763</v>
      </c>
      <c r="C161" s="1" t="n">
        <v>45910</v>
      </c>
      <c r="D161" t="inlineStr">
        <is>
          <t>VÄSTERBOTTENS LÄN</t>
        </is>
      </c>
      <c r="E161" t="inlineStr">
        <is>
          <t>ÅSELE</t>
        </is>
      </c>
      <c r="F161" t="inlineStr">
        <is>
          <t>SCA</t>
        </is>
      </c>
      <c r="G161" t="n">
        <v>10.3</v>
      </c>
      <c r="H161" t="n">
        <v>0</v>
      </c>
      <c r="I161" t="n">
        <v>0</v>
      </c>
      <c r="J161" t="n">
        <v>0</v>
      </c>
      <c r="K161" t="n">
        <v>0</v>
      </c>
      <c r="L161" t="n">
        <v>0</v>
      </c>
      <c r="M161" t="n">
        <v>0</v>
      </c>
      <c r="N161" t="n">
        <v>0</v>
      </c>
      <c r="O161" t="n">
        <v>0</v>
      </c>
      <c r="P161" t="n">
        <v>0</v>
      </c>
      <c r="Q161" t="n">
        <v>0</v>
      </c>
      <c r="R161" s="2" t="inlineStr"/>
    </row>
    <row r="162" ht="15" customHeight="1">
      <c r="A162" t="inlineStr">
        <is>
          <t>A 61397-2022</t>
        </is>
      </c>
      <c r="B162" s="1" t="n">
        <v>44915.94381944444</v>
      </c>
      <c r="C162" s="1" t="n">
        <v>45910</v>
      </c>
      <c r="D162" t="inlineStr">
        <is>
          <t>VÄSTERBOTTENS LÄN</t>
        </is>
      </c>
      <c r="E162" t="inlineStr">
        <is>
          <t>ÅSELE</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61398-2022</t>
        </is>
      </c>
      <c r="B163" s="1" t="n">
        <v>44915.94388888889</v>
      </c>
      <c r="C163" s="1" t="n">
        <v>45910</v>
      </c>
      <c r="D163" t="inlineStr">
        <is>
          <t>VÄSTERBOTTENS LÄN</t>
        </is>
      </c>
      <c r="E163" t="inlineStr">
        <is>
          <t>ÅSELE</t>
        </is>
      </c>
      <c r="F163" t="inlineStr">
        <is>
          <t>SCA</t>
        </is>
      </c>
      <c r="G163" t="n">
        <v>7.2</v>
      </c>
      <c r="H163" t="n">
        <v>0</v>
      </c>
      <c r="I163" t="n">
        <v>0</v>
      </c>
      <c r="J163" t="n">
        <v>0</v>
      </c>
      <c r="K163" t="n">
        <v>0</v>
      </c>
      <c r="L163" t="n">
        <v>0</v>
      </c>
      <c r="M163" t="n">
        <v>0</v>
      </c>
      <c r="N163" t="n">
        <v>0</v>
      </c>
      <c r="O163" t="n">
        <v>0</v>
      </c>
      <c r="P163" t="n">
        <v>0</v>
      </c>
      <c r="Q163" t="n">
        <v>0</v>
      </c>
      <c r="R163" s="2" t="inlineStr"/>
    </row>
    <row r="164" ht="15" customHeight="1">
      <c r="A164" t="inlineStr">
        <is>
          <t>A 29967-2024</t>
        </is>
      </c>
      <c r="B164" s="1" t="n">
        <v>45488.4725925926</v>
      </c>
      <c r="C164" s="1" t="n">
        <v>45910</v>
      </c>
      <c r="D164" t="inlineStr">
        <is>
          <t>VÄSTERBOTTENS LÄN</t>
        </is>
      </c>
      <c r="E164" t="inlineStr">
        <is>
          <t>ÅSELE</t>
        </is>
      </c>
      <c r="G164" t="n">
        <v>5.8</v>
      </c>
      <c r="H164" t="n">
        <v>0</v>
      </c>
      <c r="I164" t="n">
        <v>0</v>
      </c>
      <c r="J164" t="n">
        <v>0</v>
      </c>
      <c r="K164" t="n">
        <v>0</v>
      </c>
      <c r="L164" t="n">
        <v>0</v>
      </c>
      <c r="M164" t="n">
        <v>0</v>
      </c>
      <c r="N164" t="n">
        <v>0</v>
      </c>
      <c r="O164" t="n">
        <v>0</v>
      </c>
      <c r="P164" t="n">
        <v>0</v>
      </c>
      <c r="Q164" t="n">
        <v>0</v>
      </c>
      <c r="R164" s="2" t="inlineStr"/>
    </row>
    <row r="165" ht="15" customHeight="1">
      <c r="A165" t="inlineStr">
        <is>
          <t>A 19462-2025</t>
        </is>
      </c>
      <c r="B165" s="1" t="n">
        <v>45770.36570601852</v>
      </c>
      <c r="C165" s="1" t="n">
        <v>45910</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9355-2023</t>
        </is>
      </c>
      <c r="B166" s="1" t="n">
        <v>44980.93821759259</v>
      </c>
      <c r="C166" s="1" t="n">
        <v>45910</v>
      </c>
      <c r="D166" t="inlineStr">
        <is>
          <t>VÄSTERBOTTENS LÄN</t>
        </is>
      </c>
      <c r="E166" t="inlineStr">
        <is>
          <t>ÅSELE</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34684-2023</t>
        </is>
      </c>
      <c r="B167" s="1" t="n">
        <v>45140</v>
      </c>
      <c r="C167" s="1" t="n">
        <v>45910</v>
      </c>
      <c r="D167" t="inlineStr">
        <is>
          <t>VÄSTERBOTTENS LÄN</t>
        </is>
      </c>
      <c r="E167" t="inlineStr">
        <is>
          <t>ÅSELE</t>
        </is>
      </c>
      <c r="G167" t="n">
        <v>5.9</v>
      </c>
      <c r="H167" t="n">
        <v>0</v>
      </c>
      <c r="I167" t="n">
        <v>0</v>
      </c>
      <c r="J167" t="n">
        <v>0</v>
      </c>
      <c r="K167" t="n">
        <v>0</v>
      </c>
      <c r="L167" t="n">
        <v>0</v>
      </c>
      <c r="M167" t="n">
        <v>0</v>
      </c>
      <c r="N167" t="n">
        <v>0</v>
      </c>
      <c r="O167" t="n">
        <v>0</v>
      </c>
      <c r="P167" t="n">
        <v>0</v>
      </c>
      <c r="Q167" t="n">
        <v>0</v>
      </c>
      <c r="R167" s="2" t="inlineStr"/>
    </row>
    <row r="168" ht="15" customHeight="1">
      <c r="A168" t="inlineStr">
        <is>
          <t>A 21044-2025</t>
        </is>
      </c>
      <c r="B168" s="1" t="n">
        <v>45777.55259259259</v>
      </c>
      <c r="C168" s="1" t="n">
        <v>45910</v>
      </c>
      <c r="D168" t="inlineStr">
        <is>
          <t>VÄSTERBOTTENS LÄN</t>
        </is>
      </c>
      <c r="E168" t="inlineStr">
        <is>
          <t>ÅSELE</t>
        </is>
      </c>
      <c r="F168" t="inlineStr">
        <is>
          <t>SCA</t>
        </is>
      </c>
      <c r="G168" t="n">
        <v>3.7</v>
      </c>
      <c r="H168" t="n">
        <v>0</v>
      </c>
      <c r="I168" t="n">
        <v>0</v>
      </c>
      <c r="J168" t="n">
        <v>0</v>
      </c>
      <c r="K168" t="n">
        <v>0</v>
      </c>
      <c r="L168" t="n">
        <v>0</v>
      </c>
      <c r="M168" t="n">
        <v>0</v>
      </c>
      <c r="N168" t="n">
        <v>0</v>
      </c>
      <c r="O168" t="n">
        <v>0</v>
      </c>
      <c r="P168" t="n">
        <v>0</v>
      </c>
      <c r="Q168" t="n">
        <v>0</v>
      </c>
      <c r="R168" s="2" t="inlineStr"/>
    </row>
    <row r="169" ht="15" customHeight="1">
      <c r="A169" t="inlineStr">
        <is>
          <t>A 6326-2025</t>
        </is>
      </c>
      <c r="B169" s="1" t="n">
        <v>45698.85268518519</v>
      </c>
      <c r="C169" s="1" t="n">
        <v>45910</v>
      </c>
      <c r="D169" t="inlineStr">
        <is>
          <t>VÄSTERBOTTENS LÄN</t>
        </is>
      </c>
      <c r="E169" t="inlineStr">
        <is>
          <t>ÅSELE</t>
        </is>
      </c>
      <c r="G169" t="n">
        <v>4.4</v>
      </c>
      <c r="H169" t="n">
        <v>0</v>
      </c>
      <c r="I169" t="n">
        <v>0</v>
      </c>
      <c r="J169" t="n">
        <v>0</v>
      </c>
      <c r="K169" t="n">
        <v>0</v>
      </c>
      <c r="L169" t="n">
        <v>0</v>
      </c>
      <c r="M169" t="n">
        <v>0</v>
      </c>
      <c r="N169" t="n">
        <v>0</v>
      </c>
      <c r="O169" t="n">
        <v>0</v>
      </c>
      <c r="P169" t="n">
        <v>0</v>
      </c>
      <c r="Q169" t="n">
        <v>0</v>
      </c>
      <c r="R169" s="2" t="inlineStr"/>
    </row>
    <row r="170" ht="15" customHeight="1">
      <c r="A170" t="inlineStr">
        <is>
          <t>A 7498-2025</t>
        </is>
      </c>
      <c r="B170" s="1" t="n">
        <v>45705</v>
      </c>
      <c r="C170" s="1" t="n">
        <v>45910</v>
      </c>
      <c r="D170" t="inlineStr">
        <is>
          <t>VÄSTERBOTTENS LÄN</t>
        </is>
      </c>
      <c r="E170" t="inlineStr">
        <is>
          <t>ÅSELE</t>
        </is>
      </c>
      <c r="F170" t="inlineStr">
        <is>
          <t>Holmen skog AB</t>
        </is>
      </c>
      <c r="G170" t="n">
        <v>10.1</v>
      </c>
      <c r="H170" t="n">
        <v>0</v>
      </c>
      <c r="I170" t="n">
        <v>0</v>
      </c>
      <c r="J170" t="n">
        <v>0</v>
      </c>
      <c r="K170" t="n">
        <v>0</v>
      </c>
      <c r="L170" t="n">
        <v>0</v>
      </c>
      <c r="M170" t="n">
        <v>0</v>
      </c>
      <c r="N170" t="n">
        <v>0</v>
      </c>
      <c r="O170" t="n">
        <v>0</v>
      </c>
      <c r="P170" t="n">
        <v>0</v>
      </c>
      <c r="Q170" t="n">
        <v>0</v>
      </c>
      <c r="R170" s="2" t="inlineStr"/>
    </row>
    <row r="171" ht="15" customHeight="1">
      <c r="A171" t="inlineStr">
        <is>
          <t>A 21095-2025</t>
        </is>
      </c>
      <c r="B171" s="1" t="n">
        <v>45777.63572916666</v>
      </c>
      <c r="C171" s="1" t="n">
        <v>45910</v>
      </c>
      <c r="D171" t="inlineStr">
        <is>
          <t>VÄSTERBOTTENS LÄN</t>
        </is>
      </c>
      <c r="E171" t="inlineStr">
        <is>
          <t>ÅSELE</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10080-2023</t>
        </is>
      </c>
      <c r="B172" s="1" t="n">
        <v>44985.94431712963</v>
      </c>
      <c r="C172" s="1" t="n">
        <v>45910</v>
      </c>
      <c r="D172" t="inlineStr">
        <is>
          <t>VÄSTERBOTTENS LÄN</t>
        </is>
      </c>
      <c r="E172" t="inlineStr">
        <is>
          <t>ÅSELE</t>
        </is>
      </c>
      <c r="F172" t="inlineStr">
        <is>
          <t>SCA</t>
        </is>
      </c>
      <c r="G172" t="n">
        <v>6.6</v>
      </c>
      <c r="H172" t="n">
        <v>0</v>
      </c>
      <c r="I172" t="n">
        <v>0</v>
      </c>
      <c r="J172" t="n">
        <v>0</v>
      </c>
      <c r="K172" t="n">
        <v>0</v>
      </c>
      <c r="L172" t="n">
        <v>0</v>
      </c>
      <c r="M172" t="n">
        <v>0</v>
      </c>
      <c r="N172" t="n">
        <v>0</v>
      </c>
      <c r="O172" t="n">
        <v>0</v>
      </c>
      <c r="P172" t="n">
        <v>0</v>
      </c>
      <c r="Q172" t="n">
        <v>0</v>
      </c>
      <c r="R172" s="2" t="inlineStr"/>
    </row>
    <row r="173" ht="15" customHeight="1">
      <c r="A173" t="inlineStr">
        <is>
          <t>A 10082-2023</t>
        </is>
      </c>
      <c r="B173" s="1" t="n">
        <v>44985</v>
      </c>
      <c r="C173" s="1" t="n">
        <v>45910</v>
      </c>
      <c r="D173" t="inlineStr">
        <is>
          <t>VÄSTERBOTTENS LÄN</t>
        </is>
      </c>
      <c r="E173" t="inlineStr">
        <is>
          <t>ÅSELE</t>
        </is>
      </c>
      <c r="F173" t="inlineStr">
        <is>
          <t>SCA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16785-2025</t>
        </is>
      </c>
      <c r="B174" s="1" t="n">
        <v>45754</v>
      </c>
      <c r="C174" s="1" t="n">
        <v>45910</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23648-2023</t>
        </is>
      </c>
      <c r="B175" s="1" t="n">
        <v>45077.54615740741</v>
      </c>
      <c r="C175" s="1" t="n">
        <v>45910</v>
      </c>
      <c r="D175" t="inlineStr">
        <is>
          <t>VÄSTERBOTTENS LÄN</t>
        </is>
      </c>
      <c r="E175" t="inlineStr">
        <is>
          <t>ÅSELE</t>
        </is>
      </c>
      <c r="F175" t="inlineStr">
        <is>
          <t>Naturvårdsverket</t>
        </is>
      </c>
      <c r="G175" t="n">
        <v>1.4</v>
      </c>
      <c r="H175" t="n">
        <v>0</v>
      </c>
      <c r="I175" t="n">
        <v>0</v>
      </c>
      <c r="J175" t="n">
        <v>0</v>
      </c>
      <c r="K175" t="n">
        <v>0</v>
      </c>
      <c r="L175" t="n">
        <v>0</v>
      </c>
      <c r="M175" t="n">
        <v>0</v>
      </c>
      <c r="N175" t="n">
        <v>0</v>
      </c>
      <c r="O175" t="n">
        <v>0</v>
      </c>
      <c r="P175" t="n">
        <v>0</v>
      </c>
      <c r="Q175" t="n">
        <v>0</v>
      </c>
      <c r="R175" s="2" t="inlineStr"/>
    </row>
    <row r="176" ht="15" customHeight="1">
      <c r="A176" t="inlineStr">
        <is>
          <t>A 60493-2024</t>
        </is>
      </c>
      <c r="B176" s="1" t="n">
        <v>45643.65672453704</v>
      </c>
      <c r="C176" s="1" t="n">
        <v>45910</v>
      </c>
      <c r="D176" t="inlineStr">
        <is>
          <t>VÄSTERBOTTENS LÄN</t>
        </is>
      </c>
      <c r="E176" t="inlineStr">
        <is>
          <t>ÅSELE</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62975-2021</t>
        </is>
      </c>
      <c r="B177" s="1" t="n">
        <v>44505</v>
      </c>
      <c r="C177" s="1" t="n">
        <v>45910</v>
      </c>
      <c r="D177" t="inlineStr">
        <is>
          <t>VÄSTERBOTTENS LÄN</t>
        </is>
      </c>
      <c r="E177" t="inlineStr">
        <is>
          <t>ÅSELE</t>
        </is>
      </c>
      <c r="F177" t="inlineStr">
        <is>
          <t>Holmen skog AB</t>
        </is>
      </c>
      <c r="G177" t="n">
        <v>2.1</v>
      </c>
      <c r="H177" t="n">
        <v>0</v>
      </c>
      <c r="I177" t="n">
        <v>0</v>
      </c>
      <c r="J177" t="n">
        <v>0</v>
      </c>
      <c r="K177" t="n">
        <v>0</v>
      </c>
      <c r="L177" t="n">
        <v>0</v>
      </c>
      <c r="M177" t="n">
        <v>0</v>
      </c>
      <c r="N177" t="n">
        <v>0</v>
      </c>
      <c r="O177" t="n">
        <v>0</v>
      </c>
      <c r="P177" t="n">
        <v>0</v>
      </c>
      <c r="Q177" t="n">
        <v>0</v>
      </c>
      <c r="R177" s="2" t="inlineStr"/>
    </row>
    <row r="178" ht="15" customHeight="1">
      <c r="A178" t="inlineStr">
        <is>
          <t>A 33523-2021</t>
        </is>
      </c>
      <c r="B178" s="1" t="n">
        <v>44377.76381944444</v>
      </c>
      <c r="C178" s="1" t="n">
        <v>45910</v>
      </c>
      <c r="D178" t="inlineStr">
        <is>
          <t>VÄSTERBOTTENS LÄN</t>
        </is>
      </c>
      <c r="E178" t="inlineStr">
        <is>
          <t>ÅSELE</t>
        </is>
      </c>
      <c r="G178" t="n">
        <v>1.1</v>
      </c>
      <c r="H178" t="n">
        <v>0</v>
      </c>
      <c r="I178" t="n">
        <v>0</v>
      </c>
      <c r="J178" t="n">
        <v>0</v>
      </c>
      <c r="K178" t="n">
        <v>0</v>
      </c>
      <c r="L178" t="n">
        <v>0</v>
      </c>
      <c r="M178" t="n">
        <v>0</v>
      </c>
      <c r="N178" t="n">
        <v>0</v>
      </c>
      <c r="O178" t="n">
        <v>0</v>
      </c>
      <c r="P178" t="n">
        <v>0</v>
      </c>
      <c r="Q178" t="n">
        <v>0</v>
      </c>
      <c r="R178" s="2" t="inlineStr"/>
    </row>
    <row r="179" ht="15" customHeight="1">
      <c r="A179" t="inlineStr">
        <is>
          <t>A 10772-2023</t>
        </is>
      </c>
      <c r="B179" s="1" t="n">
        <v>44988.93965277778</v>
      </c>
      <c r="C179" s="1" t="n">
        <v>45910</v>
      </c>
      <c r="D179" t="inlineStr">
        <is>
          <t>VÄSTERBOTTENS LÄN</t>
        </is>
      </c>
      <c r="E179" t="inlineStr">
        <is>
          <t>ÅSELE</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50030-2024</t>
        </is>
      </c>
      <c r="B180" s="1" t="n">
        <v>45599.74957175926</v>
      </c>
      <c r="C180" s="1" t="n">
        <v>45910</v>
      </c>
      <c r="D180" t="inlineStr">
        <is>
          <t>VÄSTERBOTTENS LÄN</t>
        </is>
      </c>
      <c r="E180" t="inlineStr">
        <is>
          <t>ÅSELE</t>
        </is>
      </c>
      <c r="G180" t="n">
        <v>4.4</v>
      </c>
      <c r="H180" t="n">
        <v>0</v>
      </c>
      <c r="I180" t="n">
        <v>0</v>
      </c>
      <c r="J180" t="n">
        <v>0</v>
      </c>
      <c r="K180" t="n">
        <v>0</v>
      </c>
      <c r="L180" t="n">
        <v>0</v>
      </c>
      <c r="M180" t="n">
        <v>0</v>
      </c>
      <c r="N180" t="n">
        <v>0</v>
      </c>
      <c r="O180" t="n">
        <v>0</v>
      </c>
      <c r="P180" t="n">
        <v>0</v>
      </c>
      <c r="Q180" t="n">
        <v>0</v>
      </c>
      <c r="R180" s="2" t="inlineStr"/>
    </row>
    <row r="181" ht="15" customHeight="1">
      <c r="A181" t="inlineStr">
        <is>
          <t>A 21219-2025</t>
        </is>
      </c>
      <c r="B181" s="1" t="n">
        <v>45779.4949537037</v>
      </c>
      <c r="C181" s="1" t="n">
        <v>45910</v>
      </c>
      <c r="D181" t="inlineStr">
        <is>
          <t>VÄSTERBOTTENS LÄN</t>
        </is>
      </c>
      <c r="E181" t="inlineStr">
        <is>
          <t>ÅSELE</t>
        </is>
      </c>
      <c r="F181" t="inlineStr">
        <is>
          <t>Holmen skog AB</t>
        </is>
      </c>
      <c r="G181" t="n">
        <v>4.6</v>
      </c>
      <c r="H181" t="n">
        <v>0</v>
      </c>
      <c r="I181" t="n">
        <v>0</v>
      </c>
      <c r="J181" t="n">
        <v>0</v>
      </c>
      <c r="K181" t="n">
        <v>0</v>
      </c>
      <c r="L181" t="n">
        <v>0</v>
      </c>
      <c r="M181" t="n">
        <v>0</v>
      </c>
      <c r="N181" t="n">
        <v>0</v>
      </c>
      <c r="O181" t="n">
        <v>0</v>
      </c>
      <c r="P181" t="n">
        <v>0</v>
      </c>
      <c r="Q181" t="n">
        <v>0</v>
      </c>
      <c r="R181" s="2" t="inlineStr"/>
    </row>
    <row r="182" ht="15" customHeight="1">
      <c r="A182" t="inlineStr">
        <is>
          <t>A 17858-2023</t>
        </is>
      </c>
      <c r="B182" s="1" t="n">
        <v>45037.94150462963</v>
      </c>
      <c r="C182" s="1" t="n">
        <v>45910</v>
      </c>
      <c r="D182" t="inlineStr">
        <is>
          <t>VÄSTERBOTTENS LÄN</t>
        </is>
      </c>
      <c r="E182" t="inlineStr">
        <is>
          <t>ÅSELE</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21198-2025</t>
        </is>
      </c>
      <c r="B183" s="1" t="n">
        <v>45779</v>
      </c>
      <c r="C183" s="1" t="n">
        <v>45910</v>
      </c>
      <c r="D183" t="inlineStr">
        <is>
          <t>VÄSTERBOTTENS LÄN</t>
        </is>
      </c>
      <c r="E183" t="inlineStr">
        <is>
          <t>ÅSELE</t>
        </is>
      </c>
      <c r="F183" t="inlineStr">
        <is>
          <t>Allmännings- och besparingsskogar</t>
        </is>
      </c>
      <c r="G183" t="n">
        <v>5.9</v>
      </c>
      <c r="H183" t="n">
        <v>0</v>
      </c>
      <c r="I183" t="n">
        <v>0</v>
      </c>
      <c r="J183" t="n">
        <v>0</v>
      </c>
      <c r="K183" t="n">
        <v>0</v>
      </c>
      <c r="L183" t="n">
        <v>0</v>
      </c>
      <c r="M183" t="n">
        <v>0</v>
      </c>
      <c r="N183" t="n">
        <v>0</v>
      </c>
      <c r="O183" t="n">
        <v>0</v>
      </c>
      <c r="P183" t="n">
        <v>0</v>
      </c>
      <c r="Q183" t="n">
        <v>0</v>
      </c>
      <c r="R183" s="2" t="inlineStr"/>
    </row>
    <row r="184" ht="15" customHeight="1">
      <c r="A184" t="inlineStr">
        <is>
          <t>A 49428-2022</t>
        </is>
      </c>
      <c r="B184" s="1" t="n">
        <v>44859</v>
      </c>
      <c r="C184" s="1" t="n">
        <v>45910</v>
      </c>
      <c r="D184" t="inlineStr">
        <is>
          <t>VÄSTERBOTTENS LÄN</t>
        </is>
      </c>
      <c r="E184" t="inlineStr">
        <is>
          <t>ÅSELE</t>
        </is>
      </c>
      <c r="G184" t="n">
        <v>4.6</v>
      </c>
      <c r="H184" t="n">
        <v>0</v>
      </c>
      <c r="I184" t="n">
        <v>0</v>
      </c>
      <c r="J184" t="n">
        <v>0</v>
      </c>
      <c r="K184" t="n">
        <v>0</v>
      </c>
      <c r="L184" t="n">
        <v>0</v>
      </c>
      <c r="M184" t="n">
        <v>0</v>
      </c>
      <c r="N184" t="n">
        <v>0</v>
      </c>
      <c r="O184" t="n">
        <v>0</v>
      </c>
      <c r="P184" t="n">
        <v>0</v>
      </c>
      <c r="Q184" t="n">
        <v>0</v>
      </c>
      <c r="R184" s="2" t="inlineStr"/>
    </row>
    <row r="185" ht="15" customHeight="1">
      <c r="A185" t="inlineStr">
        <is>
          <t>A 10381-2025</t>
        </is>
      </c>
      <c r="B185" s="1" t="n">
        <v>45720.57324074074</v>
      </c>
      <c r="C185" s="1" t="n">
        <v>45910</v>
      </c>
      <c r="D185" t="inlineStr">
        <is>
          <t>VÄSTERBOTTENS LÄN</t>
        </is>
      </c>
      <c r="E185" t="inlineStr">
        <is>
          <t>ÅSELE</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21935-2021</t>
        </is>
      </c>
      <c r="B186" s="1" t="n">
        <v>44322.93407407407</v>
      </c>
      <c r="C186" s="1" t="n">
        <v>45910</v>
      </c>
      <c r="D186" t="inlineStr">
        <is>
          <t>VÄSTERBOTTENS LÄN</t>
        </is>
      </c>
      <c r="E186" t="inlineStr">
        <is>
          <t>ÅSELE</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41960-2024</t>
        </is>
      </c>
      <c r="B187" s="1" t="n">
        <v>45561</v>
      </c>
      <c r="C187" s="1" t="n">
        <v>45910</v>
      </c>
      <c r="D187" t="inlineStr">
        <is>
          <t>VÄSTERBOTTENS LÄN</t>
        </is>
      </c>
      <c r="E187" t="inlineStr">
        <is>
          <t>ÅSELE</t>
        </is>
      </c>
      <c r="F187" t="inlineStr">
        <is>
          <t>Holmen skog AB</t>
        </is>
      </c>
      <c r="G187" t="n">
        <v>1.6</v>
      </c>
      <c r="H187" t="n">
        <v>0</v>
      </c>
      <c r="I187" t="n">
        <v>0</v>
      </c>
      <c r="J187" t="n">
        <v>0</v>
      </c>
      <c r="K187" t="n">
        <v>0</v>
      </c>
      <c r="L187" t="n">
        <v>0</v>
      </c>
      <c r="M187" t="n">
        <v>0</v>
      </c>
      <c r="N187" t="n">
        <v>0</v>
      </c>
      <c r="O187" t="n">
        <v>0</v>
      </c>
      <c r="P187" t="n">
        <v>0</v>
      </c>
      <c r="Q187" t="n">
        <v>0</v>
      </c>
      <c r="R187" s="2" t="inlineStr"/>
    </row>
    <row r="188" ht="15" customHeight="1">
      <c r="A188" t="inlineStr">
        <is>
          <t>A 48248-2024</t>
        </is>
      </c>
      <c r="B188" s="1" t="n">
        <v>45590.40659722222</v>
      </c>
      <c r="C188" s="1" t="n">
        <v>45910</v>
      </c>
      <c r="D188" t="inlineStr">
        <is>
          <t>VÄSTERBOTTENS LÄN</t>
        </is>
      </c>
      <c r="E188" t="inlineStr">
        <is>
          <t>ÅSELE</t>
        </is>
      </c>
      <c r="F188" t="inlineStr">
        <is>
          <t>SCA</t>
        </is>
      </c>
      <c r="G188" t="n">
        <v>4</v>
      </c>
      <c r="H188" t="n">
        <v>0</v>
      </c>
      <c r="I188" t="n">
        <v>0</v>
      </c>
      <c r="J188" t="n">
        <v>0</v>
      </c>
      <c r="K188" t="n">
        <v>0</v>
      </c>
      <c r="L188" t="n">
        <v>0</v>
      </c>
      <c r="M188" t="n">
        <v>0</v>
      </c>
      <c r="N188" t="n">
        <v>0</v>
      </c>
      <c r="O188" t="n">
        <v>0</v>
      </c>
      <c r="P188" t="n">
        <v>0</v>
      </c>
      <c r="Q188" t="n">
        <v>0</v>
      </c>
      <c r="R188" s="2" t="inlineStr"/>
    </row>
    <row r="189" ht="15" customHeight="1">
      <c r="A189" t="inlineStr">
        <is>
          <t>A 31184-2023</t>
        </is>
      </c>
      <c r="B189" s="1" t="n">
        <v>45113</v>
      </c>
      <c r="C189" s="1" t="n">
        <v>45910</v>
      </c>
      <c r="D189" t="inlineStr">
        <is>
          <t>VÄSTERBOTTENS LÄN</t>
        </is>
      </c>
      <c r="E189" t="inlineStr">
        <is>
          <t>ÅSELE</t>
        </is>
      </c>
      <c r="F189" t="inlineStr">
        <is>
          <t>SCA</t>
        </is>
      </c>
      <c r="G189" t="n">
        <v>7.2</v>
      </c>
      <c r="H189" t="n">
        <v>0</v>
      </c>
      <c r="I189" t="n">
        <v>0</v>
      </c>
      <c r="J189" t="n">
        <v>0</v>
      </c>
      <c r="K189" t="n">
        <v>0</v>
      </c>
      <c r="L189" t="n">
        <v>0</v>
      </c>
      <c r="M189" t="n">
        <v>0</v>
      </c>
      <c r="N189" t="n">
        <v>0</v>
      </c>
      <c r="O189" t="n">
        <v>0</v>
      </c>
      <c r="P189" t="n">
        <v>0</v>
      </c>
      <c r="Q189" t="n">
        <v>0</v>
      </c>
      <c r="R189" s="2" t="inlineStr"/>
    </row>
    <row r="190" ht="15" customHeight="1">
      <c r="A190" t="inlineStr">
        <is>
          <t>A 73419-2021</t>
        </is>
      </c>
      <c r="B190" s="1" t="n">
        <v>44551</v>
      </c>
      <c r="C190" s="1" t="n">
        <v>45910</v>
      </c>
      <c r="D190" t="inlineStr">
        <is>
          <t>VÄSTERBOTTENS LÄN</t>
        </is>
      </c>
      <c r="E190" t="inlineStr">
        <is>
          <t>ÅSELE</t>
        </is>
      </c>
      <c r="G190" t="n">
        <v>14</v>
      </c>
      <c r="H190" t="n">
        <v>0</v>
      </c>
      <c r="I190" t="n">
        <v>0</v>
      </c>
      <c r="J190" t="n">
        <v>0</v>
      </c>
      <c r="K190" t="n">
        <v>0</v>
      </c>
      <c r="L190" t="n">
        <v>0</v>
      </c>
      <c r="M190" t="n">
        <v>0</v>
      </c>
      <c r="N190" t="n">
        <v>0</v>
      </c>
      <c r="O190" t="n">
        <v>0</v>
      </c>
      <c r="P190" t="n">
        <v>0</v>
      </c>
      <c r="Q190" t="n">
        <v>0</v>
      </c>
      <c r="R190" s="2" t="inlineStr"/>
    </row>
    <row r="191" ht="15" customHeight="1">
      <c r="A191" t="inlineStr">
        <is>
          <t>A 22144-2025</t>
        </is>
      </c>
      <c r="B191" s="1" t="n">
        <v>45785.55258101852</v>
      </c>
      <c r="C191" s="1" t="n">
        <v>45910</v>
      </c>
      <c r="D191" t="inlineStr">
        <is>
          <t>VÄSTERBOTTENS LÄN</t>
        </is>
      </c>
      <c r="E191" t="inlineStr">
        <is>
          <t>ÅSELE</t>
        </is>
      </c>
      <c r="G191" t="n">
        <v>8.4</v>
      </c>
      <c r="H191" t="n">
        <v>0</v>
      </c>
      <c r="I191" t="n">
        <v>0</v>
      </c>
      <c r="J191" t="n">
        <v>0</v>
      </c>
      <c r="K191" t="n">
        <v>0</v>
      </c>
      <c r="L191" t="n">
        <v>0</v>
      </c>
      <c r="M191" t="n">
        <v>0</v>
      </c>
      <c r="N191" t="n">
        <v>0</v>
      </c>
      <c r="O191" t="n">
        <v>0</v>
      </c>
      <c r="P191" t="n">
        <v>0</v>
      </c>
      <c r="Q191" t="n">
        <v>0</v>
      </c>
      <c r="R191" s="2" t="inlineStr"/>
    </row>
    <row r="192" ht="15" customHeight="1">
      <c r="A192" t="inlineStr">
        <is>
          <t>A 30491-2022</t>
        </is>
      </c>
      <c r="B192" s="1" t="n">
        <v>44761</v>
      </c>
      <c r="C192" s="1" t="n">
        <v>45910</v>
      </c>
      <c r="D192" t="inlineStr">
        <is>
          <t>VÄSTERBOTTENS LÄN</t>
        </is>
      </c>
      <c r="E192" t="inlineStr">
        <is>
          <t>ÅSELE</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17672-2023</t>
        </is>
      </c>
      <c r="B193" s="1" t="n">
        <v>45036</v>
      </c>
      <c r="C193" s="1" t="n">
        <v>45910</v>
      </c>
      <c r="D193" t="inlineStr">
        <is>
          <t>VÄSTERBOTTENS LÄN</t>
        </is>
      </c>
      <c r="E193" t="inlineStr">
        <is>
          <t>ÅSELE</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17698-2023</t>
        </is>
      </c>
      <c r="B194" s="1" t="n">
        <v>45035</v>
      </c>
      <c r="C194" s="1" t="n">
        <v>45910</v>
      </c>
      <c r="D194" t="inlineStr">
        <is>
          <t>VÄSTERBOTTENS LÄN</t>
        </is>
      </c>
      <c r="E194" t="inlineStr">
        <is>
          <t>ÅSELE</t>
        </is>
      </c>
      <c r="G194" t="n">
        <v>7</v>
      </c>
      <c r="H194" t="n">
        <v>0</v>
      </c>
      <c r="I194" t="n">
        <v>0</v>
      </c>
      <c r="J194" t="n">
        <v>0</v>
      </c>
      <c r="K194" t="n">
        <v>0</v>
      </c>
      <c r="L194" t="n">
        <v>0</v>
      </c>
      <c r="M194" t="n">
        <v>0</v>
      </c>
      <c r="N194" t="n">
        <v>0</v>
      </c>
      <c r="O194" t="n">
        <v>0</v>
      </c>
      <c r="P194" t="n">
        <v>0</v>
      </c>
      <c r="Q194" t="n">
        <v>0</v>
      </c>
      <c r="R194" s="2" t="inlineStr"/>
    </row>
    <row r="195" ht="15" customHeight="1">
      <c r="A195" t="inlineStr">
        <is>
          <t>A 28889-2024</t>
        </is>
      </c>
      <c r="B195" s="1" t="n">
        <v>45479.9489699074</v>
      </c>
      <c r="C195" s="1" t="n">
        <v>45910</v>
      </c>
      <c r="D195" t="inlineStr">
        <is>
          <t>VÄSTERBOTTENS LÄN</t>
        </is>
      </c>
      <c r="E195" t="inlineStr">
        <is>
          <t>ÅSELE</t>
        </is>
      </c>
      <c r="F195" t="inlineStr">
        <is>
          <t>SCA</t>
        </is>
      </c>
      <c r="G195" t="n">
        <v>10.9</v>
      </c>
      <c r="H195" t="n">
        <v>0</v>
      </c>
      <c r="I195" t="n">
        <v>0</v>
      </c>
      <c r="J195" t="n">
        <v>0</v>
      </c>
      <c r="K195" t="n">
        <v>0</v>
      </c>
      <c r="L195" t="n">
        <v>0</v>
      </c>
      <c r="M195" t="n">
        <v>0</v>
      </c>
      <c r="N195" t="n">
        <v>0</v>
      </c>
      <c r="O195" t="n">
        <v>0</v>
      </c>
      <c r="P195" t="n">
        <v>0</v>
      </c>
      <c r="Q195" t="n">
        <v>0</v>
      </c>
      <c r="R195" s="2" t="inlineStr"/>
    </row>
    <row r="196" ht="15" customHeight="1">
      <c r="A196" t="inlineStr">
        <is>
          <t>A 22486-2025</t>
        </is>
      </c>
      <c r="B196" s="1" t="n">
        <v>45786.64646990741</v>
      </c>
      <c r="C196" s="1" t="n">
        <v>45910</v>
      </c>
      <c r="D196" t="inlineStr">
        <is>
          <t>VÄSTERBOTTENS LÄN</t>
        </is>
      </c>
      <c r="E196" t="inlineStr">
        <is>
          <t>ÅSELE</t>
        </is>
      </c>
      <c r="F196" t="inlineStr">
        <is>
          <t>Holmen skog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1872-2023</t>
        </is>
      </c>
      <c r="B197" s="1" t="n">
        <v>44938.93849537037</v>
      </c>
      <c r="C197" s="1" t="n">
        <v>45910</v>
      </c>
      <c r="D197" t="inlineStr">
        <is>
          <t>VÄSTERBOTTENS LÄN</t>
        </is>
      </c>
      <c r="E197" t="inlineStr">
        <is>
          <t>ÅSELE</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48082-2021</t>
        </is>
      </c>
      <c r="B198" s="1" t="n">
        <v>44449.42745370371</v>
      </c>
      <c r="C198" s="1" t="n">
        <v>45910</v>
      </c>
      <c r="D198" t="inlineStr">
        <is>
          <t>VÄSTERBOTTENS LÄN</t>
        </is>
      </c>
      <c r="E198" t="inlineStr">
        <is>
          <t>ÅSELE</t>
        </is>
      </c>
      <c r="F198" t="inlineStr">
        <is>
          <t>Holmen skog AB</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20397-2025</t>
        </is>
      </c>
      <c r="B199" s="1" t="n">
        <v>45775.45503472222</v>
      </c>
      <c r="C199" s="1" t="n">
        <v>45910</v>
      </c>
      <c r="D199" t="inlineStr">
        <is>
          <t>VÄSTERBOTTENS LÄN</t>
        </is>
      </c>
      <c r="E199" t="inlineStr">
        <is>
          <t>ÅSELE</t>
        </is>
      </c>
      <c r="G199" t="n">
        <v>11.9</v>
      </c>
      <c r="H199" t="n">
        <v>0</v>
      </c>
      <c r="I199" t="n">
        <v>0</v>
      </c>
      <c r="J199" t="n">
        <v>0</v>
      </c>
      <c r="K199" t="n">
        <v>0</v>
      </c>
      <c r="L199" t="n">
        <v>0</v>
      </c>
      <c r="M199" t="n">
        <v>0</v>
      </c>
      <c r="N199" t="n">
        <v>0</v>
      </c>
      <c r="O199" t="n">
        <v>0</v>
      </c>
      <c r="P199" t="n">
        <v>0</v>
      </c>
      <c r="Q199" t="n">
        <v>0</v>
      </c>
      <c r="R199" s="2" t="inlineStr"/>
    </row>
    <row r="200" ht="15" customHeight="1">
      <c r="A200" t="inlineStr">
        <is>
          <t>A 55657-2024</t>
        </is>
      </c>
      <c r="B200" s="1" t="n">
        <v>45622.63604166666</v>
      </c>
      <c r="C200" s="1" t="n">
        <v>45910</v>
      </c>
      <c r="D200" t="inlineStr">
        <is>
          <t>VÄSTERBOTTENS LÄN</t>
        </is>
      </c>
      <c r="E200" t="inlineStr">
        <is>
          <t>ÅSELE</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24067-2023</t>
        </is>
      </c>
      <c r="B201" s="1" t="n">
        <v>45078.94167824074</v>
      </c>
      <c r="C201" s="1" t="n">
        <v>45910</v>
      </c>
      <c r="D201" t="inlineStr">
        <is>
          <t>VÄSTERBOTTENS LÄN</t>
        </is>
      </c>
      <c r="E201" t="inlineStr">
        <is>
          <t>ÅSELE</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57800-2023</t>
        </is>
      </c>
      <c r="B202" s="1" t="n">
        <v>45246.96921296296</v>
      </c>
      <c r="C202" s="1" t="n">
        <v>45910</v>
      </c>
      <c r="D202" t="inlineStr">
        <is>
          <t>VÄSTERBOTTENS LÄN</t>
        </is>
      </c>
      <c r="E202" t="inlineStr">
        <is>
          <t>ÅSELE</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3559-2024</t>
        </is>
      </c>
      <c r="B203" s="1" t="n">
        <v>45320</v>
      </c>
      <c r="C203" s="1" t="n">
        <v>45910</v>
      </c>
      <c r="D203" t="inlineStr">
        <is>
          <t>VÄSTERBOTTENS LÄN</t>
        </is>
      </c>
      <c r="E203" t="inlineStr">
        <is>
          <t>ÅSELE</t>
        </is>
      </c>
      <c r="G203" t="n">
        <v>2.3</v>
      </c>
      <c r="H203" t="n">
        <v>0</v>
      </c>
      <c r="I203" t="n">
        <v>0</v>
      </c>
      <c r="J203" t="n">
        <v>0</v>
      </c>
      <c r="K203" t="n">
        <v>0</v>
      </c>
      <c r="L203" t="n">
        <v>0</v>
      </c>
      <c r="M203" t="n">
        <v>0</v>
      </c>
      <c r="N203" t="n">
        <v>0</v>
      </c>
      <c r="O203" t="n">
        <v>0</v>
      </c>
      <c r="P203" t="n">
        <v>0</v>
      </c>
      <c r="Q203" t="n">
        <v>0</v>
      </c>
      <c r="R203" s="2" t="inlineStr"/>
    </row>
    <row r="204" ht="15" customHeight="1">
      <c r="A204" t="inlineStr">
        <is>
          <t>A 49879-2024</t>
        </is>
      </c>
      <c r="B204" s="1" t="n">
        <v>45597.49931712963</v>
      </c>
      <c r="C204" s="1" t="n">
        <v>45910</v>
      </c>
      <c r="D204" t="inlineStr">
        <is>
          <t>VÄSTERBOTTENS LÄN</t>
        </is>
      </c>
      <c r="E204" t="inlineStr">
        <is>
          <t>ÅSELE</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45800-2023</t>
        </is>
      </c>
      <c r="B205" s="1" t="n">
        <v>45189</v>
      </c>
      <c r="C205" s="1" t="n">
        <v>45910</v>
      </c>
      <c r="D205" t="inlineStr">
        <is>
          <t>VÄSTERBOTTENS LÄN</t>
        </is>
      </c>
      <c r="E205" t="inlineStr">
        <is>
          <t>ÅSELE</t>
        </is>
      </c>
      <c r="G205" t="n">
        <v>42.1</v>
      </c>
      <c r="H205" t="n">
        <v>0</v>
      </c>
      <c r="I205" t="n">
        <v>0</v>
      </c>
      <c r="J205" t="n">
        <v>0</v>
      </c>
      <c r="K205" t="n">
        <v>0</v>
      </c>
      <c r="L205" t="n">
        <v>0</v>
      </c>
      <c r="M205" t="n">
        <v>0</v>
      </c>
      <c r="N205" t="n">
        <v>0</v>
      </c>
      <c r="O205" t="n">
        <v>0</v>
      </c>
      <c r="P205" t="n">
        <v>0</v>
      </c>
      <c r="Q205" t="n">
        <v>0</v>
      </c>
      <c r="R205" s="2" t="inlineStr"/>
    </row>
    <row r="206" ht="15" customHeight="1">
      <c r="A206" t="inlineStr">
        <is>
          <t>A 44742-2024</t>
        </is>
      </c>
      <c r="B206" s="1" t="n">
        <v>45574.59653935185</v>
      </c>
      <c r="C206" s="1" t="n">
        <v>45910</v>
      </c>
      <c r="D206" t="inlineStr">
        <is>
          <t>VÄSTERBOTTENS LÄN</t>
        </is>
      </c>
      <c r="E206" t="inlineStr">
        <is>
          <t>ÅSELE</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64881-2020</t>
        </is>
      </c>
      <c r="B207" s="1" t="n">
        <v>44171</v>
      </c>
      <c r="C207" s="1" t="n">
        <v>45910</v>
      </c>
      <c r="D207" t="inlineStr">
        <is>
          <t>VÄSTERBOTTENS LÄN</t>
        </is>
      </c>
      <c r="E207" t="inlineStr">
        <is>
          <t>ÅSELE</t>
        </is>
      </c>
      <c r="G207" t="n">
        <v>1.2</v>
      </c>
      <c r="H207" t="n">
        <v>0</v>
      </c>
      <c r="I207" t="n">
        <v>0</v>
      </c>
      <c r="J207" t="n">
        <v>0</v>
      </c>
      <c r="K207" t="n">
        <v>0</v>
      </c>
      <c r="L207" t="n">
        <v>0</v>
      </c>
      <c r="M207" t="n">
        <v>0</v>
      </c>
      <c r="N207" t="n">
        <v>0</v>
      </c>
      <c r="O207" t="n">
        <v>0</v>
      </c>
      <c r="P207" t="n">
        <v>0</v>
      </c>
      <c r="Q207" t="n">
        <v>0</v>
      </c>
      <c r="R207" s="2" t="inlineStr"/>
    </row>
    <row r="208" ht="15" customHeight="1">
      <c r="A208" t="inlineStr">
        <is>
          <t>A 12589-2024</t>
        </is>
      </c>
      <c r="B208" s="1" t="n">
        <v>45379.93677083333</v>
      </c>
      <c r="C208" s="1" t="n">
        <v>45910</v>
      </c>
      <c r="D208" t="inlineStr">
        <is>
          <t>VÄSTERBOTTENS LÄN</t>
        </is>
      </c>
      <c r="E208" t="inlineStr">
        <is>
          <t>ÅSELE</t>
        </is>
      </c>
      <c r="F208" t="inlineStr">
        <is>
          <t>SCA</t>
        </is>
      </c>
      <c r="G208" t="n">
        <v>6.2</v>
      </c>
      <c r="H208" t="n">
        <v>0</v>
      </c>
      <c r="I208" t="n">
        <v>0</v>
      </c>
      <c r="J208" t="n">
        <v>0</v>
      </c>
      <c r="K208" t="n">
        <v>0</v>
      </c>
      <c r="L208" t="n">
        <v>0</v>
      </c>
      <c r="M208" t="n">
        <v>0</v>
      </c>
      <c r="N208" t="n">
        <v>0</v>
      </c>
      <c r="O208" t="n">
        <v>0</v>
      </c>
      <c r="P208" t="n">
        <v>0</v>
      </c>
      <c r="Q208" t="n">
        <v>0</v>
      </c>
      <c r="R208" s="2" t="inlineStr"/>
    </row>
    <row r="209" ht="15" customHeight="1">
      <c r="A209" t="inlineStr">
        <is>
          <t>A 18009-2025</t>
        </is>
      </c>
      <c r="B209" s="1" t="n">
        <v>45761</v>
      </c>
      <c r="C209" s="1" t="n">
        <v>45910</v>
      </c>
      <c r="D209" t="inlineStr">
        <is>
          <t>VÄSTERBOTTENS LÄN</t>
        </is>
      </c>
      <c r="E209" t="inlineStr">
        <is>
          <t>ÅSELE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39266-2024</t>
        </is>
      </c>
      <c r="B210" s="1" t="n">
        <v>45551.34447916667</v>
      </c>
      <c r="C210" s="1" t="n">
        <v>45910</v>
      </c>
      <c r="D210" t="inlineStr">
        <is>
          <t>VÄSTERBOTTENS LÄN</t>
        </is>
      </c>
      <c r="E210" t="inlineStr">
        <is>
          <t>ÅSELE</t>
        </is>
      </c>
      <c r="F210" t="inlineStr">
        <is>
          <t>SCA</t>
        </is>
      </c>
      <c r="G210" t="n">
        <v>11.7</v>
      </c>
      <c r="H210" t="n">
        <v>0</v>
      </c>
      <c r="I210" t="n">
        <v>0</v>
      </c>
      <c r="J210" t="n">
        <v>0</v>
      </c>
      <c r="K210" t="n">
        <v>0</v>
      </c>
      <c r="L210" t="n">
        <v>0</v>
      </c>
      <c r="M210" t="n">
        <v>0</v>
      </c>
      <c r="N210" t="n">
        <v>0</v>
      </c>
      <c r="O210" t="n">
        <v>0</v>
      </c>
      <c r="P210" t="n">
        <v>0</v>
      </c>
      <c r="Q210" t="n">
        <v>0</v>
      </c>
      <c r="R210" s="2" t="inlineStr"/>
    </row>
    <row r="211" ht="15" customHeight="1">
      <c r="A211" t="inlineStr">
        <is>
          <t>A 64898-2023</t>
        </is>
      </c>
      <c r="B211" s="1" t="n">
        <v>45282.61475694444</v>
      </c>
      <c r="C211" s="1" t="n">
        <v>45910</v>
      </c>
      <c r="D211" t="inlineStr">
        <is>
          <t>VÄSTERBOTTENS LÄN</t>
        </is>
      </c>
      <c r="E211" t="inlineStr">
        <is>
          <t>ÅSELE</t>
        </is>
      </c>
      <c r="G211" t="n">
        <v>4.1</v>
      </c>
      <c r="H211" t="n">
        <v>0</v>
      </c>
      <c r="I211" t="n">
        <v>0</v>
      </c>
      <c r="J211" t="n">
        <v>0</v>
      </c>
      <c r="K211" t="n">
        <v>0</v>
      </c>
      <c r="L211" t="n">
        <v>0</v>
      </c>
      <c r="M211" t="n">
        <v>0</v>
      </c>
      <c r="N211" t="n">
        <v>0</v>
      </c>
      <c r="O211" t="n">
        <v>0</v>
      </c>
      <c r="P211" t="n">
        <v>0</v>
      </c>
      <c r="Q211" t="n">
        <v>0</v>
      </c>
      <c r="R211" s="2" t="inlineStr"/>
    </row>
    <row r="212" ht="15" customHeight="1">
      <c r="A212" t="inlineStr">
        <is>
          <t>A 23022-2021</t>
        </is>
      </c>
      <c r="B212" s="1" t="n">
        <v>44328</v>
      </c>
      <c r="C212" s="1" t="n">
        <v>45910</v>
      </c>
      <c r="D212" t="inlineStr">
        <is>
          <t>VÄSTERBOTTENS LÄN</t>
        </is>
      </c>
      <c r="E212" t="inlineStr">
        <is>
          <t>ÅSELE</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32942-2024</t>
        </is>
      </c>
      <c r="B213" s="1" t="n">
        <v>45517</v>
      </c>
      <c r="C213" s="1" t="n">
        <v>45910</v>
      </c>
      <c r="D213" t="inlineStr">
        <is>
          <t>VÄSTERBOTTENS LÄN</t>
        </is>
      </c>
      <c r="E213" t="inlineStr">
        <is>
          <t>ÅSELE</t>
        </is>
      </c>
      <c r="G213" t="n">
        <v>1.1</v>
      </c>
      <c r="H213" t="n">
        <v>0</v>
      </c>
      <c r="I213" t="n">
        <v>0</v>
      </c>
      <c r="J213" t="n">
        <v>0</v>
      </c>
      <c r="K213" t="n">
        <v>0</v>
      </c>
      <c r="L213" t="n">
        <v>0</v>
      </c>
      <c r="M213" t="n">
        <v>0</v>
      </c>
      <c r="N213" t="n">
        <v>0</v>
      </c>
      <c r="O213" t="n">
        <v>0</v>
      </c>
      <c r="P213" t="n">
        <v>0</v>
      </c>
      <c r="Q213" t="n">
        <v>0</v>
      </c>
      <c r="R213" s="2" t="inlineStr"/>
    </row>
    <row r="214" ht="15" customHeight="1">
      <c r="A214" t="inlineStr">
        <is>
          <t>A 2091-2024</t>
        </is>
      </c>
      <c r="B214" s="1" t="n">
        <v>45309</v>
      </c>
      <c r="C214" s="1" t="n">
        <v>45910</v>
      </c>
      <c r="D214" t="inlineStr">
        <is>
          <t>VÄSTERBOTTENS LÄN</t>
        </is>
      </c>
      <c r="E214" t="inlineStr">
        <is>
          <t>ÅSELE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34578-2024</t>
        </is>
      </c>
      <c r="B215" s="1" t="n">
        <v>45526.36461805556</v>
      </c>
      <c r="C215" s="1" t="n">
        <v>45910</v>
      </c>
      <c r="D215" t="inlineStr">
        <is>
          <t>VÄSTERBOTTENS LÄN</t>
        </is>
      </c>
      <c r="E215" t="inlineStr">
        <is>
          <t>ÅSELE</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45475-2024</t>
        </is>
      </c>
      <c r="B216" s="1" t="n">
        <v>45576.82554398148</v>
      </c>
      <c r="C216" s="1" t="n">
        <v>45910</v>
      </c>
      <c r="D216" t="inlineStr">
        <is>
          <t>VÄSTERBOTTENS LÄN</t>
        </is>
      </c>
      <c r="E216" t="inlineStr">
        <is>
          <t>ÅSELE</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5247-2024</t>
        </is>
      </c>
      <c r="B217" s="1" t="n">
        <v>45330.93173611111</v>
      </c>
      <c r="C217" s="1" t="n">
        <v>45910</v>
      </c>
      <c r="D217" t="inlineStr">
        <is>
          <t>VÄSTERBOTTENS LÄN</t>
        </is>
      </c>
      <c r="E217" t="inlineStr">
        <is>
          <t>ÅSELE</t>
        </is>
      </c>
      <c r="G217" t="n">
        <v>2.6</v>
      </c>
      <c r="H217" t="n">
        <v>0</v>
      </c>
      <c r="I217" t="n">
        <v>0</v>
      </c>
      <c r="J217" t="n">
        <v>0</v>
      </c>
      <c r="K217" t="n">
        <v>0</v>
      </c>
      <c r="L217" t="n">
        <v>0</v>
      </c>
      <c r="M217" t="n">
        <v>0</v>
      </c>
      <c r="N217" t="n">
        <v>0</v>
      </c>
      <c r="O217" t="n">
        <v>0</v>
      </c>
      <c r="P217" t="n">
        <v>0</v>
      </c>
      <c r="Q217" t="n">
        <v>0</v>
      </c>
      <c r="R217" s="2" t="inlineStr"/>
    </row>
    <row r="218" ht="15" customHeight="1">
      <c r="A218" t="inlineStr">
        <is>
          <t>A 23170-2025</t>
        </is>
      </c>
      <c r="B218" s="1" t="n">
        <v>45791.42770833334</v>
      </c>
      <c r="C218" s="1" t="n">
        <v>45910</v>
      </c>
      <c r="D218" t="inlineStr">
        <is>
          <t>VÄSTERBOTTENS LÄN</t>
        </is>
      </c>
      <c r="E218" t="inlineStr">
        <is>
          <t>ÅSELE</t>
        </is>
      </c>
      <c r="F218" t="inlineStr">
        <is>
          <t>SCA</t>
        </is>
      </c>
      <c r="G218" t="n">
        <v>6.4</v>
      </c>
      <c r="H218" t="n">
        <v>0</v>
      </c>
      <c r="I218" t="n">
        <v>0</v>
      </c>
      <c r="J218" t="n">
        <v>0</v>
      </c>
      <c r="K218" t="n">
        <v>0</v>
      </c>
      <c r="L218" t="n">
        <v>0</v>
      </c>
      <c r="M218" t="n">
        <v>0</v>
      </c>
      <c r="N218" t="n">
        <v>0</v>
      </c>
      <c r="O218" t="n">
        <v>0</v>
      </c>
      <c r="P218" t="n">
        <v>0</v>
      </c>
      <c r="Q218" t="n">
        <v>0</v>
      </c>
      <c r="R218" s="2" t="inlineStr"/>
    </row>
    <row r="219" ht="15" customHeight="1">
      <c r="A219" t="inlineStr">
        <is>
          <t>A 22935-2024</t>
        </is>
      </c>
      <c r="B219" s="1" t="n">
        <v>45448.94409722222</v>
      </c>
      <c r="C219" s="1" t="n">
        <v>45910</v>
      </c>
      <c r="D219" t="inlineStr">
        <is>
          <t>VÄSTERBOTTENS LÄN</t>
        </is>
      </c>
      <c r="E219" t="inlineStr">
        <is>
          <t>ÅSELE</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20304-2025</t>
        </is>
      </c>
      <c r="B220" s="1" t="n">
        <v>45774</v>
      </c>
      <c r="C220" s="1" t="n">
        <v>45910</v>
      </c>
      <c r="D220" t="inlineStr">
        <is>
          <t>VÄSTERBOTTENS LÄN</t>
        </is>
      </c>
      <c r="E220" t="inlineStr">
        <is>
          <t>ÅSELE</t>
        </is>
      </c>
      <c r="G220" t="n">
        <v>2.2</v>
      </c>
      <c r="H220" t="n">
        <v>0</v>
      </c>
      <c r="I220" t="n">
        <v>0</v>
      </c>
      <c r="J220" t="n">
        <v>0</v>
      </c>
      <c r="K220" t="n">
        <v>0</v>
      </c>
      <c r="L220" t="n">
        <v>0</v>
      </c>
      <c r="M220" t="n">
        <v>0</v>
      </c>
      <c r="N220" t="n">
        <v>0</v>
      </c>
      <c r="O220" t="n">
        <v>0</v>
      </c>
      <c r="P220" t="n">
        <v>0</v>
      </c>
      <c r="Q220" t="n">
        <v>0</v>
      </c>
      <c r="R220" s="2" t="inlineStr"/>
    </row>
    <row r="221" ht="15" customHeight="1">
      <c r="A221" t="inlineStr">
        <is>
          <t>A 28279-2023</t>
        </is>
      </c>
      <c r="B221" s="1" t="n">
        <v>45099.62826388889</v>
      </c>
      <c r="C221" s="1" t="n">
        <v>45910</v>
      </c>
      <c r="D221" t="inlineStr">
        <is>
          <t>VÄSTERBOTTENS LÄN</t>
        </is>
      </c>
      <c r="E221" t="inlineStr">
        <is>
          <t>ÅSELE</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22908-2025</t>
        </is>
      </c>
      <c r="B222" s="1" t="n">
        <v>45790</v>
      </c>
      <c r="C222" s="1" t="n">
        <v>45910</v>
      </c>
      <c r="D222" t="inlineStr">
        <is>
          <t>VÄSTERBOTTENS LÄN</t>
        </is>
      </c>
      <c r="E222" t="inlineStr">
        <is>
          <t>ÅSELE</t>
        </is>
      </c>
      <c r="G222" t="n">
        <v>7.3</v>
      </c>
      <c r="H222" t="n">
        <v>0</v>
      </c>
      <c r="I222" t="n">
        <v>0</v>
      </c>
      <c r="J222" t="n">
        <v>0</v>
      </c>
      <c r="K222" t="n">
        <v>0</v>
      </c>
      <c r="L222" t="n">
        <v>0</v>
      </c>
      <c r="M222" t="n">
        <v>0</v>
      </c>
      <c r="N222" t="n">
        <v>0</v>
      </c>
      <c r="O222" t="n">
        <v>0</v>
      </c>
      <c r="P222" t="n">
        <v>0</v>
      </c>
      <c r="Q222" t="n">
        <v>0</v>
      </c>
      <c r="R222" s="2" t="inlineStr"/>
    </row>
    <row r="223" ht="15" customHeight="1">
      <c r="A223" t="inlineStr">
        <is>
          <t>A 35861-2023</t>
        </is>
      </c>
      <c r="B223" s="1" t="n">
        <v>45147</v>
      </c>
      <c r="C223" s="1" t="n">
        <v>45910</v>
      </c>
      <c r="D223" t="inlineStr">
        <is>
          <t>VÄSTERBOTTENS LÄN</t>
        </is>
      </c>
      <c r="E223" t="inlineStr">
        <is>
          <t>ÅSELE</t>
        </is>
      </c>
      <c r="G223" t="n">
        <v>0.6</v>
      </c>
      <c r="H223" t="n">
        <v>0</v>
      </c>
      <c r="I223" t="n">
        <v>0</v>
      </c>
      <c r="J223" t="n">
        <v>0</v>
      </c>
      <c r="K223" t="n">
        <v>0</v>
      </c>
      <c r="L223" t="n">
        <v>0</v>
      </c>
      <c r="M223" t="n">
        <v>0</v>
      </c>
      <c r="N223" t="n">
        <v>0</v>
      </c>
      <c r="O223" t="n">
        <v>0</v>
      </c>
      <c r="P223" t="n">
        <v>0</v>
      </c>
      <c r="Q223" t="n">
        <v>0</v>
      </c>
      <c r="R223" s="2" t="inlineStr"/>
    </row>
    <row r="224" ht="15" customHeight="1">
      <c r="A224" t="inlineStr">
        <is>
          <t>A 41300-2024</t>
        </is>
      </c>
      <c r="B224" s="1" t="n">
        <v>45559.61655092592</v>
      </c>
      <c r="C224" s="1" t="n">
        <v>45910</v>
      </c>
      <c r="D224" t="inlineStr">
        <is>
          <t>VÄSTERBOTTENS LÄN</t>
        </is>
      </c>
      <c r="E224" t="inlineStr">
        <is>
          <t>ÅSELE</t>
        </is>
      </c>
      <c r="F224" t="inlineStr">
        <is>
          <t>Naturvårdsverket</t>
        </is>
      </c>
      <c r="G224" t="n">
        <v>3.1</v>
      </c>
      <c r="H224" t="n">
        <v>0</v>
      </c>
      <c r="I224" t="n">
        <v>0</v>
      </c>
      <c r="J224" t="n">
        <v>0</v>
      </c>
      <c r="K224" t="n">
        <v>0</v>
      </c>
      <c r="L224" t="n">
        <v>0</v>
      </c>
      <c r="M224" t="n">
        <v>0</v>
      </c>
      <c r="N224" t="n">
        <v>0</v>
      </c>
      <c r="O224" t="n">
        <v>0</v>
      </c>
      <c r="P224" t="n">
        <v>0</v>
      </c>
      <c r="Q224" t="n">
        <v>0</v>
      </c>
      <c r="R224" s="2" t="inlineStr"/>
    </row>
    <row r="225" ht="15" customHeight="1">
      <c r="A225" t="inlineStr">
        <is>
          <t>A 23803-2025</t>
        </is>
      </c>
      <c r="B225" s="1" t="n">
        <v>45793.55854166667</v>
      </c>
      <c r="C225" s="1" t="n">
        <v>45910</v>
      </c>
      <c r="D225" t="inlineStr">
        <is>
          <t>VÄSTERBOTTENS LÄN</t>
        </is>
      </c>
      <c r="E225" t="inlineStr">
        <is>
          <t>ÅSELE</t>
        </is>
      </c>
      <c r="G225" t="n">
        <v>4.1</v>
      </c>
      <c r="H225" t="n">
        <v>0</v>
      </c>
      <c r="I225" t="n">
        <v>0</v>
      </c>
      <c r="J225" t="n">
        <v>0</v>
      </c>
      <c r="K225" t="n">
        <v>0</v>
      </c>
      <c r="L225" t="n">
        <v>0</v>
      </c>
      <c r="M225" t="n">
        <v>0</v>
      </c>
      <c r="N225" t="n">
        <v>0</v>
      </c>
      <c r="O225" t="n">
        <v>0</v>
      </c>
      <c r="P225" t="n">
        <v>0</v>
      </c>
      <c r="Q225" t="n">
        <v>0</v>
      </c>
      <c r="R225" s="2" t="inlineStr"/>
    </row>
    <row r="226" ht="15" customHeight="1">
      <c r="A226" t="inlineStr">
        <is>
          <t>A 27436-2023</t>
        </is>
      </c>
      <c r="B226" s="1" t="n">
        <v>45092</v>
      </c>
      <c r="C226" s="1" t="n">
        <v>45910</v>
      </c>
      <c r="D226" t="inlineStr">
        <is>
          <t>VÄSTERBOTTENS LÄN</t>
        </is>
      </c>
      <c r="E226" t="inlineStr">
        <is>
          <t>ÅSELE</t>
        </is>
      </c>
      <c r="F226" t="inlineStr">
        <is>
          <t>Övriga Aktiebolag</t>
        </is>
      </c>
      <c r="G226" t="n">
        <v>1.2</v>
      </c>
      <c r="H226" t="n">
        <v>0</v>
      </c>
      <c r="I226" t="n">
        <v>0</v>
      </c>
      <c r="J226" t="n">
        <v>0</v>
      </c>
      <c r="K226" t="n">
        <v>0</v>
      </c>
      <c r="L226" t="n">
        <v>0</v>
      </c>
      <c r="M226" t="n">
        <v>0</v>
      </c>
      <c r="N226" t="n">
        <v>0</v>
      </c>
      <c r="O226" t="n">
        <v>0</v>
      </c>
      <c r="P226" t="n">
        <v>0</v>
      </c>
      <c r="Q226" t="n">
        <v>0</v>
      </c>
      <c r="R226" s="2" t="inlineStr"/>
    </row>
    <row r="227" ht="15" customHeight="1">
      <c r="A227" t="inlineStr">
        <is>
          <t>A 41402-2024</t>
        </is>
      </c>
      <c r="B227" s="1" t="n">
        <v>45560.33498842592</v>
      </c>
      <c r="C227" s="1" t="n">
        <v>45910</v>
      </c>
      <c r="D227" t="inlineStr">
        <is>
          <t>VÄSTERBOTTENS LÄN</t>
        </is>
      </c>
      <c r="E227" t="inlineStr">
        <is>
          <t>ÅSELE</t>
        </is>
      </c>
      <c r="F227" t="inlineStr">
        <is>
          <t>Holmen skog AB</t>
        </is>
      </c>
      <c r="G227" t="n">
        <v>4.5</v>
      </c>
      <c r="H227" t="n">
        <v>0</v>
      </c>
      <c r="I227" t="n">
        <v>0</v>
      </c>
      <c r="J227" t="n">
        <v>0</v>
      </c>
      <c r="K227" t="n">
        <v>0</v>
      </c>
      <c r="L227" t="n">
        <v>0</v>
      </c>
      <c r="M227" t="n">
        <v>0</v>
      </c>
      <c r="N227" t="n">
        <v>0</v>
      </c>
      <c r="O227" t="n">
        <v>0</v>
      </c>
      <c r="P227" t="n">
        <v>0</v>
      </c>
      <c r="Q227" t="n">
        <v>0</v>
      </c>
      <c r="R227" s="2" t="inlineStr"/>
    </row>
    <row r="228" ht="15" customHeight="1">
      <c r="A228" t="inlineStr">
        <is>
          <t>A 23824-2025</t>
        </is>
      </c>
      <c r="B228" s="1" t="n">
        <v>45793.59431712963</v>
      </c>
      <c r="C228" s="1" t="n">
        <v>45910</v>
      </c>
      <c r="D228" t="inlineStr">
        <is>
          <t>VÄSTERBOTTENS LÄN</t>
        </is>
      </c>
      <c r="E228" t="inlineStr">
        <is>
          <t>ÅSELE</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23737-2025</t>
        </is>
      </c>
      <c r="B229" s="1" t="n">
        <v>45793.42809027778</v>
      </c>
      <c r="C229" s="1" t="n">
        <v>45910</v>
      </c>
      <c r="D229" t="inlineStr">
        <is>
          <t>VÄSTERBOTTENS LÄN</t>
        </is>
      </c>
      <c r="E229" t="inlineStr">
        <is>
          <t>ÅSELE</t>
        </is>
      </c>
      <c r="F229" t="inlineStr">
        <is>
          <t>SCA</t>
        </is>
      </c>
      <c r="G229" t="n">
        <v>6.5</v>
      </c>
      <c r="H229" t="n">
        <v>0</v>
      </c>
      <c r="I229" t="n">
        <v>0</v>
      </c>
      <c r="J229" t="n">
        <v>0</v>
      </c>
      <c r="K229" t="n">
        <v>0</v>
      </c>
      <c r="L229" t="n">
        <v>0</v>
      </c>
      <c r="M229" t="n">
        <v>0</v>
      </c>
      <c r="N229" t="n">
        <v>0</v>
      </c>
      <c r="O229" t="n">
        <v>0</v>
      </c>
      <c r="P229" t="n">
        <v>0</v>
      </c>
      <c r="Q229" t="n">
        <v>0</v>
      </c>
      <c r="R229" s="2" t="inlineStr"/>
    </row>
    <row r="230" ht="15" customHeight="1">
      <c r="A230" t="inlineStr">
        <is>
          <t>A 53018-2024</t>
        </is>
      </c>
      <c r="B230" s="1" t="n">
        <v>45611</v>
      </c>
      <c r="C230" s="1" t="n">
        <v>45910</v>
      </c>
      <c r="D230" t="inlineStr">
        <is>
          <t>VÄSTERBOTTENS LÄN</t>
        </is>
      </c>
      <c r="E230" t="inlineStr">
        <is>
          <t>ÅSELE</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36070-2023</t>
        </is>
      </c>
      <c r="B231" s="1" t="n">
        <v>45149</v>
      </c>
      <c r="C231" s="1" t="n">
        <v>45910</v>
      </c>
      <c r="D231" t="inlineStr">
        <is>
          <t>VÄSTERBOTTENS LÄN</t>
        </is>
      </c>
      <c r="E231" t="inlineStr">
        <is>
          <t>ÅSELE</t>
        </is>
      </c>
      <c r="F231" t="inlineStr">
        <is>
          <t>Holmen skog AB</t>
        </is>
      </c>
      <c r="G231" t="n">
        <v>1</v>
      </c>
      <c r="H231" t="n">
        <v>0</v>
      </c>
      <c r="I231" t="n">
        <v>0</v>
      </c>
      <c r="J231" t="n">
        <v>0</v>
      </c>
      <c r="K231" t="n">
        <v>0</v>
      </c>
      <c r="L231" t="n">
        <v>0</v>
      </c>
      <c r="M231" t="n">
        <v>0</v>
      </c>
      <c r="N231" t="n">
        <v>0</v>
      </c>
      <c r="O231" t="n">
        <v>0</v>
      </c>
      <c r="P231" t="n">
        <v>0</v>
      </c>
      <c r="Q231" t="n">
        <v>0</v>
      </c>
      <c r="R231" s="2" t="inlineStr"/>
    </row>
    <row r="232" ht="15" customHeight="1">
      <c r="A232" t="inlineStr">
        <is>
          <t>A 2894-2025</t>
        </is>
      </c>
      <c r="B232" s="1" t="n">
        <v>45677</v>
      </c>
      <c r="C232" s="1" t="n">
        <v>45910</v>
      </c>
      <c r="D232" t="inlineStr">
        <is>
          <t>VÄSTERBOTTENS LÄN</t>
        </is>
      </c>
      <c r="E232" t="inlineStr">
        <is>
          <t>ÅSELE</t>
        </is>
      </c>
      <c r="G232" t="n">
        <v>1.5</v>
      </c>
      <c r="H232" t="n">
        <v>0</v>
      </c>
      <c r="I232" t="n">
        <v>0</v>
      </c>
      <c r="J232" t="n">
        <v>0</v>
      </c>
      <c r="K232" t="n">
        <v>0</v>
      </c>
      <c r="L232" t="n">
        <v>0</v>
      </c>
      <c r="M232" t="n">
        <v>0</v>
      </c>
      <c r="N232" t="n">
        <v>0</v>
      </c>
      <c r="O232" t="n">
        <v>0</v>
      </c>
      <c r="P232" t="n">
        <v>0</v>
      </c>
      <c r="Q232" t="n">
        <v>0</v>
      </c>
      <c r="R232" s="2" t="inlineStr"/>
    </row>
    <row r="233" ht="15" customHeight="1">
      <c r="A233" t="inlineStr">
        <is>
          <t>A 65478-2021</t>
        </is>
      </c>
      <c r="B233" s="1" t="n">
        <v>44516.34648148148</v>
      </c>
      <c r="C233" s="1" t="n">
        <v>45910</v>
      </c>
      <c r="D233" t="inlineStr">
        <is>
          <t>VÄSTERBOTTENS LÄN</t>
        </is>
      </c>
      <c r="E233" t="inlineStr">
        <is>
          <t>ÅSELE</t>
        </is>
      </c>
      <c r="F233" t="inlineStr">
        <is>
          <t>Holmen skog AB</t>
        </is>
      </c>
      <c r="G233" t="n">
        <v>1.7</v>
      </c>
      <c r="H233" t="n">
        <v>0</v>
      </c>
      <c r="I233" t="n">
        <v>0</v>
      </c>
      <c r="J233" t="n">
        <v>0</v>
      </c>
      <c r="K233" t="n">
        <v>0</v>
      </c>
      <c r="L233" t="n">
        <v>0</v>
      </c>
      <c r="M233" t="n">
        <v>0</v>
      </c>
      <c r="N233" t="n">
        <v>0</v>
      </c>
      <c r="O233" t="n">
        <v>0</v>
      </c>
      <c r="P233" t="n">
        <v>0</v>
      </c>
      <c r="Q233" t="n">
        <v>0</v>
      </c>
      <c r="R233" s="2" t="inlineStr"/>
    </row>
    <row r="234" ht="15" customHeight="1">
      <c r="A234" t="inlineStr">
        <is>
          <t>A 60344-2024</t>
        </is>
      </c>
      <c r="B234" s="1" t="n">
        <v>45643.42747685185</v>
      </c>
      <c r="C234" s="1" t="n">
        <v>45910</v>
      </c>
      <c r="D234" t="inlineStr">
        <is>
          <t>VÄSTERBOTTENS LÄN</t>
        </is>
      </c>
      <c r="E234" t="inlineStr">
        <is>
          <t>ÅSELE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29726-2023</t>
        </is>
      </c>
      <c r="B235" s="1" t="n">
        <v>45107.44431712963</v>
      </c>
      <c r="C235" s="1" t="n">
        <v>45910</v>
      </c>
      <c r="D235" t="inlineStr">
        <is>
          <t>VÄSTERBOTTENS LÄN</t>
        </is>
      </c>
      <c r="E235" t="inlineStr">
        <is>
          <t>ÅSELE</t>
        </is>
      </c>
      <c r="F235" t="inlineStr">
        <is>
          <t>Holmen skog AB</t>
        </is>
      </c>
      <c r="G235" t="n">
        <v>3.3</v>
      </c>
      <c r="H235" t="n">
        <v>0</v>
      </c>
      <c r="I235" t="n">
        <v>0</v>
      </c>
      <c r="J235" t="n">
        <v>0</v>
      </c>
      <c r="K235" t="n">
        <v>0</v>
      </c>
      <c r="L235" t="n">
        <v>0</v>
      </c>
      <c r="M235" t="n">
        <v>0</v>
      </c>
      <c r="N235" t="n">
        <v>0</v>
      </c>
      <c r="O235" t="n">
        <v>0</v>
      </c>
      <c r="P235" t="n">
        <v>0</v>
      </c>
      <c r="Q235" t="n">
        <v>0</v>
      </c>
      <c r="R235" s="2" t="inlineStr"/>
    </row>
    <row r="236" ht="15" customHeight="1">
      <c r="A236" t="inlineStr">
        <is>
          <t>A 20140-2022</t>
        </is>
      </c>
      <c r="B236" s="1" t="n">
        <v>44698</v>
      </c>
      <c r="C236" s="1" t="n">
        <v>45910</v>
      </c>
      <c r="D236" t="inlineStr">
        <is>
          <t>VÄSTERBOTTENS LÄN</t>
        </is>
      </c>
      <c r="E236" t="inlineStr">
        <is>
          <t>ÅSELE</t>
        </is>
      </c>
      <c r="F236" t="inlineStr">
        <is>
          <t>Holmen skog AB</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1228-2023</t>
        </is>
      </c>
      <c r="B237" s="1" t="n">
        <v>44935.97217592593</v>
      </c>
      <c r="C237" s="1" t="n">
        <v>45910</v>
      </c>
      <c r="D237" t="inlineStr">
        <is>
          <t>VÄSTERBOTTENS LÄN</t>
        </is>
      </c>
      <c r="E237" t="inlineStr">
        <is>
          <t>ÅSELE</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33204-2021</t>
        </is>
      </c>
      <c r="B238" s="1" t="n">
        <v>44376.93355324074</v>
      </c>
      <c r="C238" s="1" t="n">
        <v>45910</v>
      </c>
      <c r="D238" t="inlineStr">
        <is>
          <t>VÄSTERBOTTENS LÄN</t>
        </is>
      </c>
      <c r="E238" t="inlineStr">
        <is>
          <t>ÅSELE</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39450-2024</t>
        </is>
      </c>
      <c r="B239" s="1" t="n">
        <v>45551.61681712963</v>
      </c>
      <c r="C239" s="1" t="n">
        <v>45910</v>
      </c>
      <c r="D239" t="inlineStr">
        <is>
          <t>VÄSTERBOTTENS LÄN</t>
        </is>
      </c>
      <c r="E239" t="inlineStr">
        <is>
          <t>ÅSELE</t>
        </is>
      </c>
      <c r="G239" t="n">
        <v>1.8</v>
      </c>
      <c r="H239" t="n">
        <v>0</v>
      </c>
      <c r="I239" t="n">
        <v>0</v>
      </c>
      <c r="J239" t="n">
        <v>0</v>
      </c>
      <c r="K239" t="n">
        <v>0</v>
      </c>
      <c r="L239" t="n">
        <v>0</v>
      </c>
      <c r="M239" t="n">
        <v>0</v>
      </c>
      <c r="N239" t="n">
        <v>0</v>
      </c>
      <c r="O239" t="n">
        <v>0</v>
      </c>
      <c r="P239" t="n">
        <v>0</v>
      </c>
      <c r="Q239" t="n">
        <v>0</v>
      </c>
      <c r="R239" s="2" t="inlineStr"/>
    </row>
    <row r="240" ht="15" customHeight="1">
      <c r="A240" t="inlineStr">
        <is>
          <t>A 22739-2023</t>
        </is>
      </c>
      <c r="B240" s="1" t="n">
        <v>45071.92619212963</v>
      </c>
      <c r="C240" s="1" t="n">
        <v>45910</v>
      </c>
      <c r="D240" t="inlineStr">
        <is>
          <t>VÄSTERBOTTENS LÄN</t>
        </is>
      </c>
      <c r="E240" t="inlineStr">
        <is>
          <t>ÅSELE</t>
        </is>
      </c>
      <c r="G240" t="n">
        <v>4.1</v>
      </c>
      <c r="H240" t="n">
        <v>0</v>
      </c>
      <c r="I240" t="n">
        <v>0</v>
      </c>
      <c r="J240" t="n">
        <v>0</v>
      </c>
      <c r="K240" t="n">
        <v>0</v>
      </c>
      <c r="L240" t="n">
        <v>0</v>
      </c>
      <c r="M240" t="n">
        <v>0</v>
      </c>
      <c r="N240" t="n">
        <v>0</v>
      </c>
      <c r="O240" t="n">
        <v>0</v>
      </c>
      <c r="P240" t="n">
        <v>0</v>
      </c>
      <c r="Q240" t="n">
        <v>0</v>
      </c>
      <c r="R240" s="2" t="inlineStr"/>
    </row>
    <row r="241" ht="15" customHeight="1">
      <c r="A241" t="inlineStr">
        <is>
          <t>A 5249-2024</t>
        </is>
      </c>
      <c r="B241" s="1" t="n">
        <v>45330.93196759259</v>
      </c>
      <c r="C241" s="1" t="n">
        <v>45910</v>
      </c>
      <c r="D241" t="inlineStr">
        <is>
          <t>VÄSTERBOTTENS LÄN</t>
        </is>
      </c>
      <c r="E241" t="inlineStr">
        <is>
          <t>ÅSELE</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22831-2023</t>
        </is>
      </c>
      <c r="B242" s="1" t="n">
        <v>45072.42990740741</v>
      </c>
      <c r="C242" s="1" t="n">
        <v>45910</v>
      </c>
      <c r="D242" t="inlineStr">
        <is>
          <t>VÄSTERBOTTENS LÄN</t>
        </is>
      </c>
      <c r="E242" t="inlineStr">
        <is>
          <t>ÅSELE</t>
        </is>
      </c>
      <c r="F242" t="inlineStr">
        <is>
          <t>Holmen skog AB</t>
        </is>
      </c>
      <c r="G242" t="n">
        <v>1.7</v>
      </c>
      <c r="H242" t="n">
        <v>0</v>
      </c>
      <c r="I242" t="n">
        <v>0</v>
      </c>
      <c r="J242" t="n">
        <v>0</v>
      </c>
      <c r="K242" t="n">
        <v>0</v>
      </c>
      <c r="L242" t="n">
        <v>0</v>
      </c>
      <c r="M242" t="n">
        <v>0</v>
      </c>
      <c r="N242" t="n">
        <v>0</v>
      </c>
      <c r="O242" t="n">
        <v>0</v>
      </c>
      <c r="P242" t="n">
        <v>0</v>
      </c>
      <c r="Q242" t="n">
        <v>0</v>
      </c>
      <c r="R242" s="2" t="inlineStr"/>
    </row>
    <row r="243" ht="15" customHeight="1">
      <c r="A243" t="inlineStr">
        <is>
          <t>A 18031-2025</t>
        </is>
      </c>
      <c r="B243" s="1" t="n">
        <v>45761</v>
      </c>
      <c r="C243" s="1" t="n">
        <v>45910</v>
      </c>
      <c r="D243" t="inlineStr">
        <is>
          <t>VÄSTERBOTTENS LÄN</t>
        </is>
      </c>
      <c r="E243" t="inlineStr">
        <is>
          <t>ÅSELE</t>
        </is>
      </c>
      <c r="G243" t="n">
        <v>7.6</v>
      </c>
      <c r="H243" t="n">
        <v>0</v>
      </c>
      <c r="I243" t="n">
        <v>0</v>
      </c>
      <c r="J243" t="n">
        <v>0</v>
      </c>
      <c r="K243" t="n">
        <v>0</v>
      </c>
      <c r="L243" t="n">
        <v>0</v>
      </c>
      <c r="M243" t="n">
        <v>0</v>
      </c>
      <c r="N243" t="n">
        <v>0</v>
      </c>
      <c r="O243" t="n">
        <v>0</v>
      </c>
      <c r="P243" t="n">
        <v>0</v>
      </c>
      <c r="Q243" t="n">
        <v>0</v>
      </c>
      <c r="R243" s="2" t="inlineStr"/>
    </row>
    <row r="244" ht="15" customHeight="1">
      <c r="A244" t="inlineStr">
        <is>
          <t>A 58472-2024</t>
        </is>
      </c>
      <c r="B244" s="1" t="n">
        <v>45635</v>
      </c>
      <c r="C244" s="1" t="n">
        <v>45910</v>
      </c>
      <c r="D244" t="inlineStr">
        <is>
          <t>VÄSTERBOTTENS LÄN</t>
        </is>
      </c>
      <c r="E244" t="inlineStr">
        <is>
          <t>ÅSELE</t>
        </is>
      </c>
      <c r="G244" t="n">
        <v>6.3</v>
      </c>
      <c r="H244" t="n">
        <v>0</v>
      </c>
      <c r="I244" t="n">
        <v>0</v>
      </c>
      <c r="J244" t="n">
        <v>0</v>
      </c>
      <c r="K244" t="n">
        <v>0</v>
      </c>
      <c r="L244" t="n">
        <v>0</v>
      </c>
      <c r="M244" t="n">
        <v>0</v>
      </c>
      <c r="N244" t="n">
        <v>0</v>
      </c>
      <c r="O244" t="n">
        <v>0</v>
      </c>
      <c r="P244" t="n">
        <v>0</v>
      </c>
      <c r="Q244" t="n">
        <v>0</v>
      </c>
      <c r="R244" s="2" t="inlineStr"/>
    </row>
    <row r="245" ht="15" customHeight="1">
      <c r="A245" t="inlineStr">
        <is>
          <t>A 28854-2023</t>
        </is>
      </c>
      <c r="B245" s="1" t="n">
        <v>45104</v>
      </c>
      <c r="C245" s="1" t="n">
        <v>45910</v>
      </c>
      <c r="D245" t="inlineStr">
        <is>
          <t>VÄSTERBOTTENS LÄN</t>
        </is>
      </c>
      <c r="E245" t="inlineStr">
        <is>
          <t>ÅSELE</t>
        </is>
      </c>
      <c r="F245" t="inlineStr">
        <is>
          <t>Naturvårdsverket</t>
        </is>
      </c>
      <c r="G245" t="n">
        <v>15.8</v>
      </c>
      <c r="H245" t="n">
        <v>0</v>
      </c>
      <c r="I245" t="n">
        <v>0</v>
      </c>
      <c r="J245" t="n">
        <v>0</v>
      </c>
      <c r="K245" t="n">
        <v>0</v>
      </c>
      <c r="L245" t="n">
        <v>0</v>
      </c>
      <c r="M245" t="n">
        <v>0</v>
      </c>
      <c r="N245" t="n">
        <v>0</v>
      </c>
      <c r="O245" t="n">
        <v>0</v>
      </c>
      <c r="P245" t="n">
        <v>0</v>
      </c>
      <c r="Q245" t="n">
        <v>0</v>
      </c>
      <c r="R245" s="2" t="inlineStr"/>
    </row>
    <row r="246" ht="15" customHeight="1">
      <c r="A246" t="inlineStr">
        <is>
          <t>A 24208-2025</t>
        </is>
      </c>
      <c r="B246" s="1" t="n">
        <v>45797.34456018519</v>
      </c>
      <c r="C246" s="1" t="n">
        <v>45910</v>
      </c>
      <c r="D246" t="inlineStr">
        <is>
          <t>VÄSTERBOTTENS LÄN</t>
        </is>
      </c>
      <c r="E246" t="inlineStr">
        <is>
          <t>ÅSELE</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16175-2025</t>
        </is>
      </c>
      <c r="B247" s="1" t="n">
        <v>45750.5587962963</v>
      </c>
      <c r="C247" s="1" t="n">
        <v>45910</v>
      </c>
      <c r="D247" t="inlineStr">
        <is>
          <t>VÄSTERBOTTENS LÄN</t>
        </is>
      </c>
      <c r="E247" t="inlineStr">
        <is>
          <t>ÅSELE</t>
        </is>
      </c>
      <c r="G247" t="n">
        <v>15.4</v>
      </c>
      <c r="H247" t="n">
        <v>0</v>
      </c>
      <c r="I247" t="n">
        <v>0</v>
      </c>
      <c r="J247" t="n">
        <v>0</v>
      </c>
      <c r="K247" t="n">
        <v>0</v>
      </c>
      <c r="L247" t="n">
        <v>0</v>
      </c>
      <c r="M247" t="n">
        <v>0</v>
      </c>
      <c r="N247" t="n">
        <v>0</v>
      </c>
      <c r="O247" t="n">
        <v>0</v>
      </c>
      <c r="P247" t="n">
        <v>0</v>
      </c>
      <c r="Q247" t="n">
        <v>0</v>
      </c>
      <c r="R247" s="2" t="inlineStr"/>
    </row>
    <row r="248" ht="15" customHeight="1">
      <c r="A248" t="inlineStr">
        <is>
          <t>A 7706-2025</t>
        </is>
      </c>
      <c r="B248" s="1" t="n">
        <v>45706</v>
      </c>
      <c r="C248" s="1" t="n">
        <v>45910</v>
      </c>
      <c r="D248" t="inlineStr">
        <is>
          <t>VÄSTERBOTTENS LÄN</t>
        </is>
      </c>
      <c r="E248" t="inlineStr">
        <is>
          <t>ÅSELE</t>
        </is>
      </c>
      <c r="F248" t="inlineStr">
        <is>
          <t>Sveaskog</t>
        </is>
      </c>
      <c r="G248" t="n">
        <v>24.8</v>
      </c>
      <c r="H248" t="n">
        <v>0</v>
      </c>
      <c r="I248" t="n">
        <v>0</v>
      </c>
      <c r="J248" t="n">
        <v>0</v>
      </c>
      <c r="K248" t="n">
        <v>0</v>
      </c>
      <c r="L248" t="n">
        <v>0</v>
      </c>
      <c r="M248" t="n">
        <v>0</v>
      </c>
      <c r="N248" t="n">
        <v>0</v>
      </c>
      <c r="O248" t="n">
        <v>0</v>
      </c>
      <c r="P248" t="n">
        <v>0</v>
      </c>
      <c r="Q248" t="n">
        <v>0</v>
      </c>
      <c r="R248" s="2" t="inlineStr"/>
    </row>
    <row r="249" ht="15" customHeight="1">
      <c r="A249" t="inlineStr">
        <is>
          <t>A 27943-2024</t>
        </is>
      </c>
      <c r="B249" s="1" t="n">
        <v>45476.31515046296</v>
      </c>
      <c r="C249" s="1" t="n">
        <v>45910</v>
      </c>
      <c r="D249" t="inlineStr">
        <is>
          <t>VÄSTERBOTTENS LÄN</t>
        </is>
      </c>
      <c r="E249" t="inlineStr">
        <is>
          <t>ÅSELE</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35971-2023</t>
        </is>
      </c>
      <c r="B250" s="1" t="n">
        <v>45148</v>
      </c>
      <c r="C250" s="1" t="n">
        <v>45910</v>
      </c>
      <c r="D250" t="inlineStr">
        <is>
          <t>VÄSTERBOTTENS LÄN</t>
        </is>
      </c>
      <c r="E250" t="inlineStr">
        <is>
          <t>ÅSELE</t>
        </is>
      </c>
      <c r="G250" t="n">
        <v>0.6</v>
      </c>
      <c r="H250" t="n">
        <v>0</v>
      </c>
      <c r="I250" t="n">
        <v>0</v>
      </c>
      <c r="J250" t="n">
        <v>0</v>
      </c>
      <c r="K250" t="n">
        <v>0</v>
      </c>
      <c r="L250" t="n">
        <v>0</v>
      </c>
      <c r="M250" t="n">
        <v>0</v>
      </c>
      <c r="N250" t="n">
        <v>0</v>
      </c>
      <c r="O250" t="n">
        <v>0</v>
      </c>
      <c r="P250" t="n">
        <v>0</v>
      </c>
      <c r="Q250" t="n">
        <v>0</v>
      </c>
      <c r="R250" s="2" t="inlineStr"/>
    </row>
    <row r="251" ht="15" customHeight="1">
      <c r="A251" t="inlineStr">
        <is>
          <t>A 32308-2023</t>
        </is>
      </c>
      <c r="B251" s="1" t="n">
        <v>45120.43883101852</v>
      </c>
      <c r="C251" s="1" t="n">
        <v>45910</v>
      </c>
      <c r="D251" t="inlineStr">
        <is>
          <t>VÄSTERBOTTENS LÄN</t>
        </is>
      </c>
      <c r="E251" t="inlineStr">
        <is>
          <t>ÅSELE</t>
        </is>
      </c>
      <c r="F251" t="inlineStr">
        <is>
          <t>Sveaskog</t>
        </is>
      </c>
      <c r="G251" t="n">
        <v>22.9</v>
      </c>
      <c r="H251" t="n">
        <v>0</v>
      </c>
      <c r="I251" t="n">
        <v>0</v>
      </c>
      <c r="J251" t="n">
        <v>0</v>
      </c>
      <c r="K251" t="n">
        <v>0</v>
      </c>
      <c r="L251" t="n">
        <v>0</v>
      </c>
      <c r="M251" t="n">
        <v>0</v>
      </c>
      <c r="N251" t="n">
        <v>0</v>
      </c>
      <c r="O251" t="n">
        <v>0</v>
      </c>
      <c r="P251" t="n">
        <v>0</v>
      </c>
      <c r="Q251" t="n">
        <v>0</v>
      </c>
      <c r="R251" s="2" t="inlineStr"/>
    </row>
    <row r="252" ht="15" customHeight="1">
      <c r="A252" t="inlineStr">
        <is>
          <t>A 4612-2022</t>
        </is>
      </c>
      <c r="B252" s="1" t="n">
        <v>44592.37475694445</v>
      </c>
      <c r="C252" s="1" t="n">
        <v>45910</v>
      </c>
      <c r="D252" t="inlineStr">
        <is>
          <t>VÄSTERBOTTENS LÄN</t>
        </is>
      </c>
      <c r="E252" t="inlineStr">
        <is>
          <t>ÅSELE</t>
        </is>
      </c>
      <c r="G252" t="n">
        <v>3.7</v>
      </c>
      <c r="H252" t="n">
        <v>0</v>
      </c>
      <c r="I252" t="n">
        <v>0</v>
      </c>
      <c r="J252" t="n">
        <v>0</v>
      </c>
      <c r="K252" t="n">
        <v>0</v>
      </c>
      <c r="L252" t="n">
        <v>0</v>
      </c>
      <c r="M252" t="n">
        <v>0</v>
      </c>
      <c r="N252" t="n">
        <v>0</v>
      </c>
      <c r="O252" t="n">
        <v>0</v>
      </c>
      <c r="P252" t="n">
        <v>0</v>
      </c>
      <c r="Q252" t="n">
        <v>0</v>
      </c>
      <c r="R252" s="2" t="inlineStr"/>
    </row>
    <row r="253" ht="15" customHeight="1">
      <c r="A253" t="inlineStr">
        <is>
          <t>A 15082-2023</t>
        </is>
      </c>
      <c r="B253" s="1" t="n">
        <v>45016</v>
      </c>
      <c r="C253" s="1" t="n">
        <v>45910</v>
      </c>
      <c r="D253" t="inlineStr">
        <is>
          <t>VÄSTERBOTTENS LÄN</t>
        </is>
      </c>
      <c r="E253" t="inlineStr">
        <is>
          <t>ÅSELE</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20617-2024</t>
        </is>
      </c>
      <c r="B254" s="1" t="n">
        <v>45436</v>
      </c>
      <c r="C254" s="1" t="n">
        <v>45910</v>
      </c>
      <c r="D254" t="inlineStr">
        <is>
          <t>VÄSTERBOTTENS LÄN</t>
        </is>
      </c>
      <c r="E254" t="inlineStr">
        <is>
          <t>ÅSELE</t>
        </is>
      </c>
      <c r="F254" t="inlineStr">
        <is>
          <t>Holmen skog AB</t>
        </is>
      </c>
      <c r="G254" t="n">
        <v>2.6</v>
      </c>
      <c r="H254" t="n">
        <v>0</v>
      </c>
      <c r="I254" t="n">
        <v>0</v>
      </c>
      <c r="J254" t="n">
        <v>0</v>
      </c>
      <c r="K254" t="n">
        <v>0</v>
      </c>
      <c r="L254" t="n">
        <v>0</v>
      </c>
      <c r="M254" t="n">
        <v>0</v>
      </c>
      <c r="N254" t="n">
        <v>0</v>
      </c>
      <c r="O254" t="n">
        <v>0</v>
      </c>
      <c r="P254" t="n">
        <v>0</v>
      </c>
      <c r="Q254" t="n">
        <v>0</v>
      </c>
      <c r="R254" s="2" t="inlineStr"/>
    </row>
    <row r="255" ht="15" customHeight="1">
      <c r="A255" t="inlineStr">
        <is>
          <t>A 33524-2021</t>
        </is>
      </c>
      <c r="B255" s="1" t="n">
        <v>44377</v>
      </c>
      <c r="C255" s="1" t="n">
        <v>45910</v>
      </c>
      <c r="D255" t="inlineStr">
        <is>
          <t>VÄSTERBOTTENS LÄN</t>
        </is>
      </c>
      <c r="E255" t="inlineStr">
        <is>
          <t>ÅSELE</t>
        </is>
      </c>
      <c r="G255" t="n">
        <v>6.8</v>
      </c>
      <c r="H255" t="n">
        <v>0</v>
      </c>
      <c r="I255" t="n">
        <v>0</v>
      </c>
      <c r="J255" t="n">
        <v>0</v>
      </c>
      <c r="K255" t="n">
        <v>0</v>
      </c>
      <c r="L255" t="n">
        <v>0</v>
      </c>
      <c r="M255" t="n">
        <v>0</v>
      </c>
      <c r="N255" t="n">
        <v>0</v>
      </c>
      <c r="O255" t="n">
        <v>0</v>
      </c>
      <c r="P255" t="n">
        <v>0</v>
      </c>
      <c r="Q255" t="n">
        <v>0</v>
      </c>
      <c r="R255" s="2" t="inlineStr"/>
    </row>
    <row r="256" ht="15" customHeight="1">
      <c r="A256" t="inlineStr">
        <is>
          <t>A 62109-2023</t>
        </is>
      </c>
      <c r="B256" s="1" t="n">
        <v>45266.95105324074</v>
      </c>
      <c r="C256" s="1" t="n">
        <v>45910</v>
      </c>
      <c r="D256" t="inlineStr">
        <is>
          <t>VÄSTERBOTTENS LÄN</t>
        </is>
      </c>
      <c r="E256" t="inlineStr">
        <is>
          <t>ÅSELE</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30587-2024</t>
        </is>
      </c>
      <c r="B257" s="1" t="n">
        <v>45492.96230324074</v>
      </c>
      <c r="C257" s="1" t="n">
        <v>45910</v>
      </c>
      <c r="D257" t="inlineStr">
        <is>
          <t>VÄSTERBOTTENS LÄN</t>
        </is>
      </c>
      <c r="E257" t="inlineStr">
        <is>
          <t>ÅSELE</t>
        </is>
      </c>
      <c r="F257" t="inlineStr">
        <is>
          <t>SCA</t>
        </is>
      </c>
      <c r="G257" t="n">
        <v>4.4</v>
      </c>
      <c r="H257" t="n">
        <v>0</v>
      </c>
      <c r="I257" t="n">
        <v>0</v>
      </c>
      <c r="J257" t="n">
        <v>0</v>
      </c>
      <c r="K257" t="n">
        <v>0</v>
      </c>
      <c r="L257" t="n">
        <v>0</v>
      </c>
      <c r="M257" t="n">
        <v>0</v>
      </c>
      <c r="N257" t="n">
        <v>0</v>
      </c>
      <c r="O257" t="n">
        <v>0</v>
      </c>
      <c r="P257" t="n">
        <v>0</v>
      </c>
      <c r="Q257" t="n">
        <v>0</v>
      </c>
      <c r="R257" s="2" t="inlineStr"/>
    </row>
    <row r="258" ht="15" customHeight="1">
      <c r="A258" t="inlineStr">
        <is>
          <t>A 24762-2025</t>
        </is>
      </c>
      <c r="B258" s="1" t="n">
        <v>45799.38585648148</v>
      </c>
      <c r="C258" s="1" t="n">
        <v>45910</v>
      </c>
      <c r="D258" t="inlineStr">
        <is>
          <t>VÄSTERBOTTENS LÄN</t>
        </is>
      </c>
      <c r="E258" t="inlineStr">
        <is>
          <t>ÅSELE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18792-2024</t>
        </is>
      </c>
      <c r="B259" s="1" t="n">
        <v>45426</v>
      </c>
      <c r="C259" s="1" t="n">
        <v>45910</v>
      </c>
      <c r="D259" t="inlineStr">
        <is>
          <t>VÄSTERBOTTENS LÄN</t>
        </is>
      </c>
      <c r="E259" t="inlineStr">
        <is>
          <t>ÅSELE</t>
        </is>
      </c>
      <c r="G259" t="n">
        <v>7.2</v>
      </c>
      <c r="H259" t="n">
        <v>0</v>
      </c>
      <c r="I259" t="n">
        <v>0</v>
      </c>
      <c r="J259" t="n">
        <v>0</v>
      </c>
      <c r="K259" t="n">
        <v>0</v>
      </c>
      <c r="L259" t="n">
        <v>0</v>
      </c>
      <c r="M259" t="n">
        <v>0</v>
      </c>
      <c r="N259" t="n">
        <v>0</v>
      </c>
      <c r="O259" t="n">
        <v>0</v>
      </c>
      <c r="P259" t="n">
        <v>0</v>
      </c>
      <c r="Q259" t="n">
        <v>0</v>
      </c>
      <c r="R259" s="2" t="inlineStr"/>
    </row>
    <row r="260" ht="15" customHeight="1">
      <c r="A260" t="inlineStr">
        <is>
          <t>A 3566-2021</t>
        </is>
      </c>
      <c r="B260" s="1" t="n">
        <v>44218.92077546296</v>
      </c>
      <c r="C260" s="1" t="n">
        <v>45910</v>
      </c>
      <c r="D260" t="inlineStr">
        <is>
          <t>VÄSTERBOTTENS LÄN</t>
        </is>
      </c>
      <c r="E260" t="inlineStr">
        <is>
          <t>ÅSELE</t>
        </is>
      </c>
      <c r="G260" t="n">
        <v>13.3</v>
      </c>
      <c r="H260" t="n">
        <v>0</v>
      </c>
      <c r="I260" t="n">
        <v>0</v>
      </c>
      <c r="J260" t="n">
        <v>0</v>
      </c>
      <c r="K260" t="n">
        <v>0</v>
      </c>
      <c r="L260" t="n">
        <v>0</v>
      </c>
      <c r="M260" t="n">
        <v>0</v>
      </c>
      <c r="N260" t="n">
        <v>0</v>
      </c>
      <c r="O260" t="n">
        <v>0</v>
      </c>
      <c r="P260" t="n">
        <v>0</v>
      </c>
      <c r="Q260" t="n">
        <v>0</v>
      </c>
      <c r="R260" s="2" t="inlineStr"/>
    </row>
    <row r="261" ht="15" customHeight="1">
      <c r="A261" t="inlineStr">
        <is>
          <t>A 64497-2023</t>
        </is>
      </c>
      <c r="B261" s="1" t="n">
        <v>45280</v>
      </c>
      <c r="C261" s="1" t="n">
        <v>45910</v>
      </c>
      <c r="D261" t="inlineStr">
        <is>
          <t>VÄSTERBOTTENS LÄN</t>
        </is>
      </c>
      <c r="E261" t="inlineStr">
        <is>
          <t>ÅSELE</t>
        </is>
      </c>
      <c r="F261" t="inlineStr">
        <is>
          <t>SCA</t>
        </is>
      </c>
      <c r="G261" t="n">
        <v>7.3</v>
      </c>
      <c r="H261" t="n">
        <v>0</v>
      </c>
      <c r="I261" t="n">
        <v>0</v>
      </c>
      <c r="J261" t="n">
        <v>0</v>
      </c>
      <c r="K261" t="n">
        <v>0</v>
      </c>
      <c r="L261" t="n">
        <v>0</v>
      </c>
      <c r="M261" t="n">
        <v>0</v>
      </c>
      <c r="N261" t="n">
        <v>0</v>
      </c>
      <c r="O261" t="n">
        <v>0</v>
      </c>
      <c r="P261" t="n">
        <v>0</v>
      </c>
      <c r="Q261" t="n">
        <v>0</v>
      </c>
      <c r="R261" s="2" t="inlineStr"/>
    </row>
    <row r="262" ht="15" customHeight="1">
      <c r="A262" t="inlineStr">
        <is>
          <t>A 4462-2023</t>
        </is>
      </c>
      <c r="B262" s="1" t="n">
        <v>44952</v>
      </c>
      <c r="C262" s="1" t="n">
        <v>45910</v>
      </c>
      <c r="D262" t="inlineStr">
        <is>
          <t>VÄSTERBOTTENS LÄN</t>
        </is>
      </c>
      <c r="E262" t="inlineStr">
        <is>
          <t>ÅSELE</t>
        </is>
      </c>
      <c r="G262" t="n">
        <v>0.9</v>
      </c>
      <c r="H262" t="n">
        <v>0</v>
      </c>
      <c r="I262" t="n">
        <v>0</v>
      </c>
      <c r="J262" t="n">
        <v>0</v>
      </c>
      <c r="K262" t="n">
        <v>0</v>
      </c>
      <c r="L262" t="n">
        <v>0</v>
      </c>
      <c r="M262" t="n">
        <v>0</v>
      </c>
      <c r="N262" t="n">
        <v>0</v>
      </c>
      <c r="O262" t="n">
        <v>0</v>
      </c>
      <c r="P262" t="n">
        <v>0</v>
      </c>
      <c r="Q262" t="n">
        <v>0</v>
      </c>
      <c r="R262" s="2" t="inlineStr"/>
    </row>
    <row r="263" ht="15" customHeight="1">
      <c r="A263" t="inlineStr">
        <is>
          <t>A 34054-2023</t>
        </is>
      </c>
      <c r="B263" s="1" t="n">
        <v>45135.45417824074</v>
      </c>
      <c r="C263" s="1" t="n">
        <v>45910</v>
      </c>
      <c r="D263" t="inlineStr">
        <is>
          <t>VÄSTERBOTTENS LÄN</t>
        </is>
      </c>
      <c r="E263" t="inlineStr">
        <is>
          <t>ÅSELE</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16527-2022</t>
        </is>
      </c>
      <c r="B264" s="1" t="n">
        <v>44671.94822916666</v>
      </c>
      <c r="C264" s="1" t="n">
        <v>45910</v>
      </c>
      <c r="D264" t="inlineStr">
        <is>
          <t>VÄSTERBOTTENS LÄN</t>
        </is>
      </c>
      <c r="E264" t="inlineStr">
        <is>
          <t>ÅSELE</t>
        </is>
      </c>
      <c r="G264" t="n">
        <v>6.6</v>
      </c>
      <c r="H264" t="n">
        <v>0</v>
      </c>
      <c r="I264" t="n">
        <v>0</v>
      </c>
      <c r="J264" t="n">
        <v>0</v>
      </c>
      <c r="K264" t="n">
        <v>0</v>
      </c>
      <c r="L264" t="n">
        <v>0</v>
      </c>
      <c r="M264" t="n">
        <v>0</v>
      </c>
      <c r="N264" t="n">
        <v>0</v>
      </c>
      <c r="O264" t="n">
        <v>0</v>
      </c>
      <c r="P264" t="n">
        <v>0</v>
      </c>
      <c r="Q264" t="n">
        <v>0</v>
      </c>
      <c r="R264" s="2" t="inlineStr"/>
    </row>
    <row r="265" ht="15" customHeight="1">
      <c r="A265" t="inlineStr">
        <is>
          <t>A 48033-2024</t>
        </is>
      </c>
      <c r="B265" s="1" t="n">
        <v>45589.49001157407</v>
      </c>
      <c r="C265" s="1" t="n">
        <v>45910</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24744-2025</t>
        </is>
      </c>
      <c r="B266" s="1" t="n">
        <v>45799</v>
      </c>
      <c r="C266" s="1" t="n">
        <v>45910</v>
      </c>
      <c r="D266" t="inlineStr">
        <is>
          <t>VÄSTERBOTTENS LÄN</t>
        </is>
      </c>
      <c r="E266" t="inlineStr">
        <is>
          <t>ÅSELE</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24654-2025</t>
        </is>
      </c>
      <c r="B267" s="1" t="n">
        <v>45798</v>
      </c>
      <c r="C267" s="1" t="n">
        <v>45910</v>
      </c>
      <c r="D267" t="inlineStr">
        <is>
          <t>VÄSTERBOTTENS LÄN</t>
        </is>
      </c>
      <c r="E267" t="inlineStr">
        <is>
          <t>ÅSELE</t>
        </is>
      </c>
      <c r="G267" t="n">
        <v>2.4</v>
      </c>
      <c r="H267" t="n">
        <v>0</v>
      </c>
      <c r="I267" t="n">
        <v>0</v>
      </c>
      <c r="J267" t="n">
        <v>0</v>
      </c>
      <c r="K267" t="n">
        <v>0</v>
      </c>
      <c r="L267" t="n">
        <v>0</v>
      </c>
      <c r="M267" t="n">
        <v>0</v>
      </c>
      <c r="N267" t="n">
        <v>0</v>
      </c>
      <c r="O267" t="n">
        <v>0</v>
      </c>
      <c r="P267" t="n">
        <v>0</v>
      </c>
      <c r="Q267" t="n">
        <v>0</v>
      </c>
      <c r="R267" s="2" t="inlineStr"/>
    </row>
    <row r="268" ht="15" customHeight="1">
      <c r="A268" t="inlineStr">
        <is>
          <t>A 5597-2021</t>
        </is>
      </c>
      <c r="B268" s="1" t="n">
        <v>44230</v>
      </c>
      <c r="C268" s="1" t="n">
        <v>45910</v>
      </c>
      <c r="D268" t="inlineStr">
        <is>
          <t>VÄSTERBOTTENS LÄN</t>
        </is>
      </c>
      <c r="E268" t="inlineStr">
        <is>
          <t>ÅSELE</t>
        </is>
      </c>
      <c r="G268" t="n">
        <v>1.5</v>
      </c>
      <c r="H268" t="n">
        <v>0</v>
      </c>
      <c r="I268" t="n">
        <v>0</v>
      </c>
      <c r="J268" t="n">
        <v>0</v>
      </c>
      <c r="K268" t="n">
        <v>0</v>
      </c>
      <c r="L268" t="n">
        <v>0</v>
      </c>
      <c r="M268" t="n">
        <v>0</v>
      </c>
      <c r="N268" t="n">
        <v>0</v>
      </c>
      <c r="O268" t="n">
        <v>0</v>
      </c>
      <c r="P268" t="n">
        <v>0</v>
      </c>
      <c r="Q268" t="n">
        <v>0</v>
      </c>
      <c r="R268" s="2" t="inlineStr"/>
    </row>
    <row r="269" ht="15" customHeight="1">
      <c r="A269" t="inlineStr">
        <is>
          <t>A 25394-2025</t>
        </is>
      </c>
      <c r="B269" s="1" t="n">
        <v>45800.64912037037</v>
      </c>
      <c r="C269" s="1" t="n">
        <v>45910</v>
      </c>
      <c r="D269" t="inlineStr">
        <is>
          <t>VÄSTERBOTTENS LÄN</t>
        </is>
      </c>
      <c r="E269" t="inlineStr">
        <is>
          <t>ÅSELE</t>
        </is>
      </c>
      <c r="F269" t="inlineStr">
        <is>
          <t>Sveaskog</t>
        </is>
      </c>
      <c r="G269" t="n">
        <v>10.9</v>
      </c>
      <c r="H269" t="n">
        <v>0</v>
      </c>
      <c r="I269" t="n">
        <v>0</v>
      </c>
      <c r="J269" t="n">
        <v>0</v>
      </c>
      <c r="K269" t="n">
        <v>0</v>
      </c>
      <c r="L269" t="n">
        <v>0</v>
      </c>
      <c r="M269" t="n">
        <v>0</v>
      </c>
      <c r="N269" t="n">
        <v>0</v>
      </c>
      <c r="O269" t="n">
        <v>0</v>
      </c>
      <c r="P269" t="n">
        <v>0</v>
      </c>
      <c r="Q269" t="n">
        <v>0</v>
      </c>
      <c r="R269" s="2" t="inlineStr"/>
    </row>
    <row r="270" ht="15" customHeight="1">
      <c r="A270" t="inlineStr">
        <is>
          <t>A 2893-2025</t>
        </is>
      </c>
      <c r="B270" s="1" t="n">
        <v>45677</v>
      </c>
      <c r="C270" s="1" t="n">
        <v>45910</v>
      </c>
      <c r="D270" t="inlineStr">
        <is>
          <t>VÄSTERBOTTENS LÄN</t>
        </is>
      </c>
      <c r="E270" t="inlineStr">
        <is>
          <t>ÅSELE</t>
        </is>
      </c>
      <c r="G270" t="n">
        <v>2.9</v>
      </c>
      <c r="H270" t="n">
        <v>0</v>
      </c>
      <c r="I270" t="n">
        <v>0</v>
      </c>
      <c r="J270" t="n">
        <v>0</v>
      </c>
      <c r="K270" t="n">
        <v>0</v>
      </c>
      <c r="L270" t="n">
        <v>0</v>
      </c>
      <c r="M270" t="n">
        <v>0</v>
      </c>
      <c r="N270" t="n">
        <v>0</v>
      </c>
      <c r="O270" t="n">
        <v>0</v>
      </c>
      <c r="P270" t="n">
        <v>0</v>
      </c>
      <c r="Q270" t="n">
        <v>0</v>
      </c>
      <c r="R270" s="2" t="inlineStr"/>
    </row>
    <row r="271" ht="15" customHeight="1">
      <c r="A271" t="inlineStr">
        <is>
          <t>A 56258-2023</t>
        </is>
      </c>
      <c r="B271" s="1" t="n">
        <v>45240.94754629629</v>
      </c>
      <c r="C271" s="1" t="n">
        <v>45910</v>
      </c>
      <c r="D271" t="inlineStr">
        <is>
          <t>VÄSTERBOTTENS LÄN</t>
        </is>
      </c>
      <c r="E271" t="inlineStr">
        <is>
          <t>ÅSELE</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25411-2025</t>
        </is>
      </c>
      <c r="B272" s="1" t="n">
        <v>45800.66145833334</v>
      </c>
      <c r="C272" s="1" t="n">
        <v>45910</v>
      </c>
      <c r="D272" t="inlineStr">
        <is>
          <t>VÄSTERBOTTENS LÄN</t>
        </is>
      </c>
      <c r="E272" t="inlineStr">
        <is>
          <t>ÅSELE</t>
        </is>
      </c>
      <c r="F272" t="inlineStr">
        <is>
          <t>Sveaskog</t>
        </is>
      </c>
      <c r="G272" t="n">
        <v>7</v>
      </c>
      <c r="H272" t="n">
        <v>0</v>
      </c>
      <c r="I272" t="n">
        <v>0</v>
      </c>
      <c r="J272" t="n">
        <v>0</v>
      </c>
      <c r="K272" t="n">
        <v>0</v>
      </c>
      <c r="L272" t="n">
        <v>0</v>
      </c>
      <c r="M272" t="n">
        <v>0</v>
      </c>
      <c r="N272" t="n">
        <v>0</v>
      </c>
      <c r="O272" t="n">
        <v>0</v>
      </c>
      <c r="P272" t="n">
        <v>0</v>
      </c>
      <c r="Q272" t="n">
        <v>0</v>
      </c>
      <c r="R272" s="2" t="inlineStr"/>
    </row>
    <row r="273" ht="15" customHeight="1">
      <c r="A273" t="inlineStr">
        <is>
          <t>A 25377-2025</t>
        </is>
      </c>
      <c r="B273" s="1" t="n">
        <v>45800.63631944444</v>
      </c>
      <c r="C273" s="1" t="n">
        <v>45910</v>
      </c>
      <c r="D273" t="inlineStr">
        <is>
          <t>VÄSTERBOTTENS LÄN</t>
        </is>
      </c>
      <c r="E273" t="inlineStr">
        <is>
          <t>ÅSELE</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25417-2025</t>
        </is>
      </c>
      <c r="B274" s="1" t="n">
        <v>45800.67762731481</v>
      </c>
      <c r="C274" s="1" t="n">
        <v>45910</v>
      </c>
      <c r="D274" t="inlineStr">
        <is>
          <t>VÄSTERBOTTENS LÄN</t>
        </is>
      </c>
      <c r="E274" t="inlineStr">
        <is>
          <t>ÅSELE</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25549-2024</t>
        </is>
      </c>
      <c r="B275" s="1" t="n">
        <v>45463</v>
      </c>
      <c r="C275" s="1" t="n">
        <v>45910</v>
      </c>
      <c r="D275" t="inlineStr">
        <is>
          <t>VÄSTERBOTTENS LÄN</t>
        </is>
      </c>
      <c r="E275" t="inlineStr">
        <is>
          <t>ÅSELE</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25574-2024</t>
        </is>
      </c>
      <c r="B276" s="1" t="n">
        <v>45463.58829861111</v>
      </c>
      <c r="C276" s="1" t="n">
        <v>45910</v>
      </c>
      <c r="D276" t="inlineStr">
        <is>
          <t>VÄSTERBOTTENS LÄN</t>
        </is>
      </c>
      <c r="E276" t="inlineStr">
        <is>
          <t>ÅSELE</t>
        </is>
      </c>
      <c r="F276" t="inlineStr">
        <is>
          <t>Sveaskog</t>
        </is>
      </c>
      <c r="G276" t="n">
        <v>4.6</v>
      </c>
      <c r="H276" t="n">
        <v>0</v>
      </c>
      <c r="I276" t="n">
        <v>0</v>
      </c>
      <c r="J276" t="n">
        <v>0</v>
      </c>
      <c r="K276" t="n">
        <v>0</v>
      </c>
      <c r="L276" t="n">
        <v>0</v>
      </c>
      <c r="M276" t="n">
        <v>0</v>
      </c>
      <c r="N276" t="n">
        <v>0</v>
      </c>
      <c r="O276" t="n">
        <v>0</v>
      </c>
      <c r="P276" t="n">
        <v>0</v>
      </c>
      <c r="Q276" t="n">
        <v>0</v>
      </c>
      <c r="R276" s="2" t="inlineStr"/>
    </row>
    <row r="277" ht="15" customHeight="1">
      <c r="A277" t="inlineStr">
        <is>
          <t>A 61534-2024</t>
        </is>
      </c>
      <c r="B277" s="1" t="n">
        <v>45645</v>
      </c>
      <c r="C277" s="1" t="n">
        <v>45910</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27946-2024</t>
        </is>
      </c>
      <c r="B278" s="1" t="n">
        <v>45476.31981481481</v>
      </c>
      <c r="C278" s="1" t="n">
        <v>45910</v>
      </c>
      <c r="D278" t="inlineStr">
        <is>
          <t>VÄSTERBOTTENS LÄN</t>
        </is>
      </c>
      <c r="E278" t="inlineStr">
        <is>
          <t>ÅSELE</t>
        </is>
      </c>
      <c r="F278" t="inlineStr">
        <is>
          <t>Sveaskog</t>
        </is>
      </c>
      <c r="G278" t="n">
        <v>7.5</v>
      </c>
      <c r="H278" t="n">
        <v>0</v>
      </c>
      <c r="I278" t="n">
        <v>0</v>
      </c>
      <c r="J278" t="n">
        <v>0</v>
      </c>
      <c r="K278" t="n">
        <v>0</v>
      </c>
      <c r="L278" t="n">
        <v>0</v>
      </c>
      <c r="M278" t="n">
        <v>0</v>
      </c>
      <c r="N278" t="n">
        <v>0</v>
      </c>
      <c r="O278" t="n">
        <v>0</v>
      </c>
      <c r="P278" t="n">
        <v>0</v>
      </c>
      <c r="Q278" t="n">
        <v>0</v>
      </c>
      <c r="R278" s="2" t="inlineStr"/>
    </row>
    <row r="279" ht="15" customHeight="1">
      <c r="A279" t="inlineStr">
        <is>
          <t>A 27951-2024</t>
        </is>
      </c>
      <c r="B279" s="1" t="n">
        <v>45476.32990740741</v>
      </c>
      <c r="C279" s="1" t="n">
        <v>45910</v>
      </c>
      <c r="D279" t="inlineStr">
        <is>
          <t>VÄSTERBOTTENS LÄN</t>
        </is>
      </c>
      <c r="E279" t="inlineStr">
        <is>
          <t>ÅSELE</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33571-2021</t>
        </is>
      </c>
      <c r="B280" s="1" t="n">
        <v>44377</v>
      </c>
      <c r="C280" s="1" t="n">
        <v>45910</v>
      </c>
      <c r="D280" t="inlineStr">
        <is>
          <t>VÄSTERBOTTENS LÄN</t>
        </is>
      </c>
      <c r="E280" t="inlineStr">
        <is>
          <t>ÅSELE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45910</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38076-2023</t>
        </is>
      </c>
      <c r="B282" s="1" t="n">
        <v>45160</v>
      </c>
      <c r="C282" s="1" t="n">
        <v>45910</v>
      </c>
      <c r="D282" t="inlineStr">
        <is>
          <t>VÄSTERBOTTENS LÄN</t>
        </is>
      </c>
      <c r="E282" t="inlineStr">
        <is>
          <t>ÅSELE</t>
        </is>
      </c>
      <c r="G282" t="n">
        <v>3.1</v>
      </c>
      <c r="H282" t="n">
        <v>0</v>
      </c>
      <c r="I282" t="n">
        <v>0</v>
      </c>
      <c r="J282" t="n">
        <v>0</v>
      </c>
      <c r="K282" t="n">
        <v>0</v>
      </c>
      <c r="L282" t="n">
        <v>0</v>
      </c>
      <c r="M282" t="n">
        <v>0</v>
      </c>
      <c r="N282" t="n">
        <v>0</v>
      </c>
      <c r="O282" t="n">
        <v>0</v>
      </c>
      <c r="P282" t="n">
        <v>0</v>
      </c>
      <c r="Q282" t="n">
        <v>0</v>
      </c>
      <c r="R282" s="2" t="inlineStr"/>
    </row>
    <row r="283" ht="15" customHeight="1">
      <c r="A283" t="inlineStr">
        <is>
          <t>A 26159-2025</t>
        </is>
      </c>
      <c r="B283" s="1" t="n">
        <v>45805.44869212963</v>
      </c>
      <c r="C283" s="1" t="n">
        <v>45910</v>
      </c>
      <c r="D283" t="inlineStr">
        <is>
          <t>VÄSTERBOTTENS LÄN</t>
        </is>
      </c>
      <c r="E283" t="inlineStr">
        <is>
          <t>ÅSELE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26115-2025</t>
        </is>
      </c>
      <c r="B284" s="1" t="n">
        <v>45805.37388888889</v>
      </c>
      <c r="C284" s="1" t="n">
        <v>45910</v>
      </c>
      <c r="D284" t="inlineStr">
        <is>
          <t>VÄSTERBOTTENS LÄN</t>
        </is>
      </c>
      <c r="E284" t="inlineStr">
        <is>
          <t>ÅSELE</t>
        </is>
      </c>
      <c r="F284" t="inlineStr">
        <is>
          <t>Sveaskog</t>
        </is>
      </c>
      <c r="G284" t="n">
        <v>4.6</v>
      </c>
      <c r="H284" t="n">
        <v>0</v>
      </c>
      <c r="I284" t="n">
        <v>0</v>
      </c>
      <c r="J284" t="n">
        <v>0</v>
      </c>
      <c r="K284" t="n">
        <v>0</v>
      </c>
      <c r="L284" t="n">
        <v>0</v>
      </c>
      <c r="M284" t="n">
        <v>0</v>
      </c>
      <c r="N284" t="n">
        <v>0</v>
      </c>
      <c r="O284" t="n">
        <v>0</v>
      </c>
      <c r="P284" t="n">
        <v>0</v>
      </c>
      <c r="Q284" t="n">
        <v>0</v>
      </c>
      <c r="R284" s="2" t="inlineStr"/>
    </row>
    <row r="285" ht="15" customHeight="1">
      <c r="A285" t="inlineStr">
        <is>
          <t>A 26245-2025</t>
        </is>
      </c>
      <c r="B285" s="1" t="n">
        <v>45805</v>
      </c>
      <c r="C285" s="1" t="n">
        <v>45910</v>
      </c>
      <c r="D285" t="inlineStr">
        <is>
          <t>VÄSTERBOTTENS LÄN</t>
        </is>
      </c>
      <c r="E285" t="inlineStr">
        <is>
          <t>ÅSELE</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18578-2022</t>
        </is>
      </c>
      <c r="B286" s="1" t="n">
        <v>44687.30193287037</v>
      </c>
      <c r="C286" s="1" t="n">
        <v>45910</v>
      </c>
      <c r="D286" t="inlineStr">
        <is>
          <t>VÄSTERBOTTENS LÄN</t>
        </is>
      </c>
      <c r="E286" t="inlineStr">
        <is>
          <t>ÅSELE</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22111-2024</t>
        </is>
      </c>
      <c r="B287" s="1" t="n">
        <v>45443</v>
      </c>
      <c r="C287" s="1" t="n">
        <v>45910</v>
      </c>
      <c r="D287" t="inlineStr">
        <is>
          <t>VÄSTERBOTTENS LÄN</t>
        </is>
      </c>
      <c r="E287" t="inlineStr">
        <is>
          <t>ÅSELE</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5641-2022</t>
        </is>
      </c>
      <c r="B288" s="1" t="n">
        <v>44595.92319444445</v>
      </c>
      <c r="C288" s="1" t="n">
        <v>45910</v>
      </c>
      <c r="D288" t="inlineStr">
        <is>
          <t>VÄSTERBOTTENS LÄN</t>
        </is>
      </c>
      <c r="E288" t="inlineStr">
        <is>
          <t>ÅSELE</t>
        </is>
      </c>
      <c r="G288" t="n">
        <v>0.9</v>
      </c>
      <c r="H288" t="n">
        <v>0</v>
      </c>
      <c r="I288" t="n">
        <v>0</v>
      </c>
      <c r="J288" t="n">
        <v>0</v>
      </c>
      <c r="K288" t="n">
        <v>0</v>
      </c>
      <c r="L288" t="n">
        <v>0</v>
      </c>
      <c r="M288" t="n">
        <v>0</v>
      </c>
      <c r="N288" t="n">
        <v>0</v>
      </c>
      <c r="O288" t="n">
        <v>0</v>
      </c>
      <c r="P288" t="n">
        <v>0</v>
      </c>
      <c r="Q288" t="n">
        <v>0</v>
      </c>
      <c r="R288" s="2" t="inlineStr"/>
    </row>
    <row r="289" ht="15" customHeight="1">
      <c r="A289" t="inlineStr">
        <is>
          <t>A 26078-2025</t>
        </is>
      </c>
      <c r="B289" s="1" t="n">
        <v>45805.3371412037</v>
      </c>
      <c r="C289" s="1" t="n">
        <v>45910</v>
      </c>
      <c r="D289" t="inlineStr">
        <is>
          <t>VÄSTERBOTTENS LÄN</t>
        </is>
      </c>
      <c r="E289" t="inlineStr">
        <is>
          <t>ÅSELE</t>
        </is>
      </c>
      <c r="F289" t="inlineStr">
        <is>
          <t>Sveaskog</t>
        </is>
      </c>
      <c r="G289" t="n">
        <v>15.4</v>
      </c>
      <c r="H289" t="n">
        <v>0</v>
      </c>
      <c r="I289" t="n">
        <v>0</v>
      </c>
      <c r="J289" t="n">
        <v>0</v>
      </c>
      <c r="K289" t="n">
        <v>0</v>
      </c>
      <c r="L289" t="n">
        <v>0</v>
      </c>
      <c r="M289" t="n">
        <v>0</v>
      </c>
      <c r="N289" t="n">
        <v>0</v>
      </c>
      <c r="O289" t="n">
        <v>0</v>
      </c>
      <c r="P289" t="n">
        <v>0</v>
      </c>
      <c r="Q289" t="n">
        <v>0</v>
      </c>
      <c r="R289" s="2" t="inlineStr"/>
    </row>
    <row r="290" ht="15" customHeight="1">
      <c r="A290" t="inlineStr">
        <is>
          <t>A 26104-2025</t>
        </is>
      </c>
      <c r="B290" s="1" t="n">
        <v>45805.36008101852</v>
      </c>
      <c r="C290" s="1" t="n">
        <v>45910</v>
      </c>
      <c r="D290" t="inlineStr">
        <is>
          <t>VÄSTERBOTTENS LÄN</t>
        </is>
      </c>
      <c r="E290" t="inlineStr">
        <is>
          <t>ÅSELE</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29616-2023</t>
        </is>
      </c>
      <c r="B291" s="1" t="n">
        <v>45106</v>
      </c>
      <c r="C291" s="1" t="n">
        <v>45910</v>
      </c>
      <c r="D291" t="inlineStr">
        <is>
          <t>VÄSTERBOTTENS LÄN</t>
        </is>
      </c>
      <c r="E291" t="inlineStr">
        <is>
          <t>ÅSELE</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26113-2025</t>
        </is>
      </c>
      <c r="B292" s="1" t="n">
        <v>45805.36946759259</v>
      </c>
      <c r="C292" s="1" t="n">
        <v>45910</v>
      </c>
      <c r="D292" t="inlineStr">
        <is>
          <t>VÄSTERBOTTENS LÄN</t>
        </is>
      </c>
      <c r="E292" t="inlineStr">
        <is>
          <t>ÅSELE</t>
        </is>
      </c>
      <c r="F292" t="inlineStr">
        <is>
          <t>Sveaskog</t>
        </is>
      </c>
      <c r="G292" t="n">
        <v>45.5</v>
      </c>
      <c r="H292" t="n">
        <v>0</v>
      </c>
      <c r="I292" t="n">
        <v>0</v>
      </c>
      <c r="J292" t="n">
        <v>0</v>
      </c>
      <c r="K292" t="n">
        <v>0</v>
      </c>
      <c r="L292" t="n">
        <v>0</v>
      </c>
      <c r="M292" t="n">
        <v>0</v>
      </c>
      <c r="N292" t="n">
        <v>0</v>
      </c>
      <c r="O292" t="n">
        <v>0</v>
      </c>
      <c r="P292" t="n">
        <v>0</v>
      </c>
      <c r="Q292" t="n">
        <v>0</v>
      </c>
      <c r="R292" s="2" t="inlineStr"/>
    </row>
    <row r="293" ht="15" customHeight="1">
      <c r="A293" t="inlineStr">
        <is>
          <t>A 26075-2025</t>
        </is>
      </c>
      <c r="B293" s="1" t="n">
        <v>45805.32921296296</v>
      </c>
      <c r="C293" s="1" t="n">
        <v>45910</v>
      </c>
      <c r="D293" t="inlineStr">
        <is>
          <t>VÄSTERBOTTENS LÄN</t>
        </is>
      </c>
      <c r="E293" t="inlineStr">
        <is>
          <t>ÅSELE</t>
        </is>
      </c>
      <c r="F293" t="inlineStr">
        <is>
          <t>Sveaskog</t>
        </is>
      </c>
      <c r="G293" t="n">
        <v>10</v>
      </c>
      <c r="H293" t="n">
        <v>0</v>
      </c>
      <c r="I293" t="n">
        <v>0</v>
      </c>
      <c r="J293" t="n">
        <v>0</v>
      </c>
      <c r="K293" t="n">
        <v>0</v>
      </c>
      <c r="L293" t="n">
        <v>0</v>
      </c>
      <c r="M293" t="n">
        <v>0</v>
      </c>
      <c r="N293" t="n">
        <v>0</v>
      </c>
      <c r="O293" t="n">
        <v>0</v>
      </c>
      <c r="P293" t="n">
        <v>0</v>
      </c>
      <c r="Q293" t="n">
        <v>0</v>
      </c>
      <c r="R293" s="2" t="inlineStr"/>
    </row>
    <row r="294" ht="15" customHeight="1">
      <c r="A294" t="inlineStr">
        <is>
          <t>A 31659-2024</t>
        </is>
      </c>
      <c r="B294" s="1" t="n">
        <v>45506</v>
      </c>
      <c r="C294" s="1" t="n">
        <v>45910</v>
      </c>
      <c r="D294" t="inlineStr">
        <is>
          <t>VÄSTERBOTTENS LÄN</t>
        </is>
      </c>
      <c r="E294" t="inlineStr">
        <is>
          <t>ÅSELE</t>
        </is>
      </c>
      <c r="G294" t="n">
        <v>41.1</v>
      </c>
      <c r="H294" t="n">
        <v>0</v>
      </c>
      <c r="I294" t="n">
        <v>0</v>
      </c>
      <c r="J294" t="n">
        <v>0</v>
      </c>
      <c r="K294" t="n">
        <v>0</v>
      </c>
      <c r="L294" t="n">
        <v>0</v>
      </c>
      <c r="M294" t="n">
        <v>0</v>
      </c>
      <c r="N294" t="n">
        <v>0</v>
      </c>
      <c r="O294" t="n">
        <v>0</v>
      </c>
      <c r="P294" t="n">
        <v>0</v>
      </c>
      <c r="Q294" t="n">
        <v>0</v>
      </c>
      <c r="R294" s="2" t="inlineStr"/>
    </row>
    <row r="295" ht="15" customHeight="1">
      <c r="A295" t="inlineStr">
        <is>
          <t>A 62259-2022</t>
        </is>
      </c>
      <c r="B295" s="1" t="n">
        <v>44922.94351851852</v>
      </c>
      <c r="C295" s="1" t="n">
        <v>45910</v>
      </c>
      <c r="D295" t="inlineStr">
        <is>
          <t>VÄSTERBOTTENS LÄN</t>
        </is>
      </c>
      <c r="E295" t="inlineStr">
        <is>
          <t>ÅSELE</t>
        </is>
      </c>
      <c r="F295" t="inlineStr">
        <is>
          <t>SCA</t>
        </is>
      </c>
      <c r="G295" t="n">
        <v>5.4</v>
      </c>
      <c r="H295" t="n">
        <v>0</v>
      </c>
      <c r="I295" t="n">
        <v>0</v>
      </c>
      <c r="J295" t="n">
        <v>0</v>
      </c>
      <c r="K295" t="n">
        <v>0</v>
      </c>
      <c r="L295" t="n">
        <v>0</v>
      </c>
      <c r="M295" t="n">
        <v>0</v>
      </c>
      <c r="N295" t="n">
        <v>0</v>
      </c>
      <c r="O295" t="n">
        <v>0</v>
      </c>
      <c r="P295" t="n">
        <v>0</v>
      </c>
      <c r="Q295" t="n">
        <v>0</v>
      </c>
      <c r="R295" s="2" t="inlineStr"/>
    </row>
    <row r="296" ht="15" customHeight="1">
      <c r="A296" t="inlineStr">
        <is>
          <t>A 55882-2020</t>
        </is>
      </c>
      <c r="B296" s="1" t="n">
        <v>44132</v>
      </c>
      <c r="C296" s="1" t="n">
        <v>45910</v>
      </c>
      <c r="D296" t="inlineStr">
        <is>
          <t>VÄSTERBOTTENS LÄN</t>
        </is>
      </c>
      <c r="E296" t="inlineStr">
        <is>
          <t>ÅSELE</t>
        </is>
      </c>
      <c r="G296" t="n">
        <v>3.9</v>
      </c>
      <c r="H296" t="n">
        <v>0</v>
      </c>
      <c r="I296" t="n">
        <v>0</v>
      </c>
      <c r="J296" t="n">
        <v>0</v>
      </c>
      <c r="K296" t="n">
        <v>0</v>
      </c>
      <c r="L296" t="n">
        <v>0</v>
      </c>
      <c r="M296" t="n">
        <v>0</v>
      </c>
      <c r="N296" t="n">
        <v>0</v>
      </c>
      <c r="O296" t="n">
        <v>0</v>
      </c>
      <c r="P296" t="n">
        <v>0</v>
      </c>
      <c r="Q296" t="n">
        <v>0</v>
      </c>
      <c r="R296" s="2" t="inlineStr"/>
    </row>
    <row r="297" ht="15" customHeight="1">
      <c r="A297" t="inlineStr">
        <is>
          <t>A 56446-2024</t>
        </is>
      </c>
      <c r="B297" s="1" t="n">
        <v>45625.42743055556</v>
      </c>
      <c r="C297" s="1" t="n">
        <v>45910</v>
      </c>
      <c r="D297" t="inlineStr">
        <is>
          <t>VÄSTERBOTTENS LÄN</t>
        </is>
      </c>
      <c r="E297" t="inlineStr">
        <is>
          <t>ÅSELE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41468-2022</t>
        </is>
      </c>
      <c r="B298" s="1" t="n">
        <v>44826</v>
      </c>
      <c r="C298" s="1" t="n">
        <v>45910</v>
      </c>
      <c r="D298" t="inlineStr">
        <is>
          <t>VÄSTERBOTTENS LÄN</t>
        </is>
      </c>
      <c r="E298" t="inlineStr">
        <is>
          <t>ÅSELE</t>
        </is>
      </c>
      <c r="F298" t="inlineStr">
        <is>
          <t>SCA</t>
        </is>
      </c>
      <c r="G298" t="n">
        <v>5.8</v>
      </c>
      <c r="H298" t="n">
        <v>0</v>
      </c>
      <c r="I298" t="n">
        <v>0</v>
      </c>
      <c r="J298" t="n">
        <v>0</v>
      </c>
      <c r="K298" t="n">
        <v>0</v>
      </c>
      <c r="L298" t="n">
        <v>0</v>
      </c>
      <c r="M298" t="n">
        <v>0</v>
      </c>
      <c r="N298" t="n">
        <v>0</v>
      </c>
      <c r="O298" t="n">
        <v>0</v>
      </c>
      <c r="P298" t="n">
        <v>0</v>
      </c>
      <c r="Q298" t="n">
        <v>0</v>
      </c>
      <c r="R298" s="2" t="inlineStr"/>
    </row>
    <row r="299" ht="15" customHeight="1">
      <c r="A299" t="inlineStr">
        <is>
          <t>A 28881-2024</t>
        </is>
      </c>
      <c r="B299" s="1" t="n">
        <v>45479</v>
      </c>
      <c r="C299" s="1" t="n">
        <v>45910</v>
      </c>
      <c r="D299" t="inlineStr">
        <is>
          <t>VÄSTERBOTTENS LÄN</t>
        </is>
      </c>
      <c r="E299" t="inlineStr">
        <is>
          <t>ÅSELE</t>
        </is>
      </c>
      <c r="G299" t="n">
        <v>3.6</v>
      </c>
      <c r="H299" t="n">
        <v>0</v>
      </c>
      <c r="I299" t="n">
        <v>0</v>
      </c>
      <c r="J299" t="n">
        <v>0</v>
      </c>
      <c r="K299" t="n">
        <v>0</v>
      </c>
      <c r="L299" t="n">
        <v>0</v>
      </c>
      <c r="M299" t="n">
        <v>0</v>
      </c>
      <c r="N299" t="n">
        <v>0</v>
      </c>
      <c r="O299" t="n">
        <v>0</v>
      </c>
      <c r="P299" t="n">
        <v>0</v>
      </c>
      <c r="Q299" t="n">
        <v>0</v>
      </c>
      <c r="R299" s="2" t="inlineStr"/>
    </row>
    <row r="300" ht="15" customHeight="1">
      <c r="A300" t="inlineStr">
        <is>
          <t>A 28936-2024</t>
        </is>
      </c>
      <c r="B300" s="1" t="n">
        <v>45481</v>
      </c>
      <c r="C300" s="1" t="n">
        <v>45910</v>
      </c>
      <c r="D300" t="inlineStr">
        <is>
          <t>VÄSTERBOTTENS LÄN</t>
        </is>
      </c>
      <c r="E300" t="inlineStr">
        <is>
          <t>ÅSELE</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32214-2022</t>
        </is>
      </c>
      <c r="B301" s="1" t="n">
        <v>44781</v>
      </c>
      <c r="C301" s="1" t="n">
        <v>45910</v>
      </c>
      <c r="D301" t="inlineStr">
        <is>
          <t>VÄSTERBOTTENS LÄN</t>
        </is>
      </c>
      <c r="E301" t="inlineStr">
        <is>
          <t>ÅSELE</t>
        </is>
      </c>
      <c r="G301" t="n">
        <v>1.3</v>
      </c>
      <c r="H301" t="n">
        <v>0</v>
      </c>
      <c r="I301" t="n">
        <v>0</v>
      </c>
      <c r="J301" t="n">
        <v>0</v>
      </c>
      <c r="K301" t="n">
        <v>0</v>
      </c>
      <c r="L301" t="n">
        <v>0</v>
      </c>
      <c r="M301" t="n">
        <v>0</v>
      </c>
      <c r="N301" t="n">
        <v>0</v>
      </c>
      <c r="O301" t="n">
        <v>0</v>
      </c>
      <c r="P301" t="n">
        <v>0</v>
      </c>
      <c r="Q301" t="n">
        <v>0</v>
      </c>
      <c r="R301" s="2" t="inlineStr"/>
    </row>
    <row r="302" ht="15" customHeight="1">
      <c r="A302" t="inlineStr">
        <is>
          <t>A 3059-2024</t>
        </is>
      </c>
      <c r="B302" s="1" t="n">
        <v>45316</v>
      </c>
      <c r="C302" s="1" t="n">
        <v>45910</v>
      </c>
      <c r="D302" t="inlineStr">
        <is>
          <t>VÄSTERBOTTENS LÄN</t>
        </is>
      </c>
      <c r="E302" t="inlineStr">
        <is>
          <t>ÅSELE</t>
        </is>
      </c>
      <c r="G302" t="n">
        <v>0.7</v>
      </c>
      <c r="H302" t="n">
        <v>0</v>
      </c>
      <c r="I302" t="n">
        <v>0</v>
      </c>
      <c r="J302" t="n">
        <v>0</v>
      </c>
      <c r="K302" t="n">
        <v>0</v>
      </c>
      <c r="L302" t="n">
        <v>0</v>
      </c>
      <c r="M302" t="n">
        <v>0</v>
      </c>
      <c r="N302" t="n">
        <v>0</v>
      </c>
      <c r="O302" t="n">
        <v>0</v>
      </c>
      <c r="P302" t="n">
        <v>0</v>
      </c>
      <c r="Q302" t="n">
        <v>0</v>
      </c>
      <c r="R302" s="2" t="inlineStr"/>
    </row>
    <row r="303" ht="15" customHeight="1">
      <c r="A303" t="inlineStr">
        <is>
          <t>A 35950-2023</t>
        </is>
      </c>
      <c r="B303" s="1" t="n">
        <v>45148</v>
      </c>
      <c r="C303" s="1" t="n">
        <v>45910</v>
      </c>
      <c r="D303" t="inlineStr">
        <is>
          <t>VÄSTERBOTTENS LÄN</t>
        </is>
      </c>
      <c r="E303" t="inlineStr">
        <is>
          <t>ÅSELE</t>
        </is>
      </c>
      <c r="G303" t="n">
        <v>1.9</v>
      </c>
      <c r="H303" t="n">
        <v>0</v>
      </c>
      <c r="I303" t="n">
        <v>0</v>
      </c>
      <c r="J303" t="n">
        <v>0</v>
      </c>
      <c r="K303" t="n">
        <v>0</v>
      </c>
      <c r="L303" t="n">
        <v>0</v>
      </c>
      <c r="M303" t="n">
        <v>0</v>
      </c>
      <c r="N303" t="n">
        <v>0</v>
      </c>
      <c r="O303" t="n">
        <v>0</v>
      </c>
      <c r="P303" t="n">
        <v>0</v>
      </c>
      <c r="Q303" t="n">
        <v>0</v>
      </c>
      <c r="R303" s="2" t="inlineStr"/>
    </row>
    <row r="304" ht="15" customHeight="1">
      <c r="A304" t="inlineStr">
        <is>
          <t>A 10360-2025</t>
        </is>
      </c>
      <c r="B304" s="1" t="n">
        <v>45720</v>
      </c>
      <c r="C304" s="1" t="n">
        <v>45910</v>
      </c>
      <c r="D304" t="inlineStr">
        <is>
          <t>VÄSTERBOTTENS LÄN</t>
        </is>
      </c>
      <c r="E304" t="inlineStr">
        <is>
          <t>ÅSELE</t>
        </is>
      </c>
      <c r="G304" t="n">
        <v>0.8</v>
      </c>
      <c r="H304" t="n">
        <v>0</v>
      </c>
      <c r="I304" t="n">
        <v>0</v>
      </c>
      <c r="J304" t="n">
        <v>0</v>
      </c>
      <c r="K304" t="n">
        <v>0</v>
      </c>
      <c r="L304" t="n">
        <v>0</v>
      </c>
      <c r="M304" t="n">
        <v>0</v>
      </c>
      <c r="N304" t="n">
        <v>0</v>
      </c>
      <c r="O304" t="n">
        <v>0</v>
      </c>
      <c r="P304" t="n">
        <v>0</v>
      </c>
      <c r="Q304" t="n">
        <v>0</v>
      </c>
      <c r="R304" s="2" t="inlineStr"/>
    </row>
    <row r="305" ht="15" customHeight="1">
      <c r="A305" t="inlineStr">
        <is>
          <t>A 29738-2024</t>
        </is>
      </c>
      <c r="B305" s="1" t="n">
        <v>45485.39127314815</v>
      </c>
      <c r="C305" s="1" t="n">
        <v>45910</v>
      </c>
      <c r="D305" t="inlineStr">
        <is>
          <t>VÄSTERBOTTENS LÄN</t>
        </is>
      </c>
      <c r="E305" t="inlineStr">
        <is>
          <t>ÅSELE</t>
        </is>
      </c>
      <c r="G305" t="n">
        <v>0.2</v>
      </c>
      <c r="H305" t="n">
        <v>0</v>
      </c>
      <c r="I305" t="n">
        <v>0</v>
      </c>
      <c r="J305" t="n">
        <v>0</v>
      </c>
      <c r="K305" t="n">
        <v>0</v>
      </c>
      <c r="L305" t="n">
        <v>0</v>
      </c>
      <c r="M305" t="n">
        <v>0</v>
      </c>
      <c r="N305" t="n">
        <v>0</v>
      </c>
      <c r="O305" t="n">
        <v>0</v>
      </c>
      <c r="P305" t="n">
        <v>0</v>
      </c>
      <c r="Q305" t="n">
        <v>0</v>
      </c>
      <c r="R305" s="2" t="inlineStr"/>
    </row>
    <row r="306" ht="15" customHeight="1">
      <c r="A306" t="inlineStr">
        <is>
          <t>A 25557-2024</t>
        </is>
      </c>
      <c r="B306" s="1" t="n">
        <v>45463.58333333334</v>
      </c>
      <c r="C306" s="1" t="n">
        <v>45910</v>
      </c>
      <c r="D306" t="inlineStr">
        <is>
          <t>VÄSTERBOTTENS LÄN</t>
        </is>
      </c>
      <c r="E306" t="inlineStr">
        <is>
          <t>ÅSELE</t>
        </is>
      </c>
      <c r="F306" t="inlineStr">
        <is>
          <t>Sveaskog</t>
        </is>
      </c>
      <c r="G306" t="n">
        <v>11.2</v>
      </c>
      <c r="H306" t="n">
        <v>0</v>
      </c>
      <c r="I306" t="n">
        <v>0</v>
      </c>
      <c r="J306" t="n">
        <v>0</v>
      </c>
      <c r="K306" t="n">
        <v>0</v>
      </c>
      <c r="L306" t="n">
        <v>0</v>
      </c>
      <c r="M306" t="n">
        <v>0</v>
      </c>
      <c r="N306" t="n">
        <v>0</v>
      </c>
      <c r="O306" t="n">
        <v>0</v>
      </c>
      <c r="P306" t="n">
        <v>0</v>
      </c>
      <c r="Q306" t="n">
        <v>0</v>
      </c>
      <c r="R306" s="2" t="inlineStr"/>
    </row>
    <row r="307" ht="15" customHeight="1">
      <c r="A307" t="inlineStr">
        <is>
          <t>A 44622-2024</t>
        </is>
      </c>
      <c r="B307" s="1" t="n">
        <v>45574.51344907407</v>
      </c>
      <c r="C307" s="1" t="n">
        <v>45910</v>
      </c>
      <c r="D307" t="inlineStr">
        <is>
          <t>VÄSTERBOTTENS LÄN</t>
        </is>
      </c>
      <c r="E307" t="inlineStr">
        <is>
          <t>ÅSELE</t>
        </is>
      </c>
      <c r="F307" t="inlineStr">
        <is>
          <t>SCA</t>
        </is>
      </c>
      <c r="G307" t="n">
        <v>14.9</v>
      </c>
      <c r="H307" t="n">
        <v>0</v>
      </c>
      <c r="I307" t="n">
        <v>0</v>
      </c>
      <c r="J307" t="n">
        <v>0</v>
      </c>
      <c r="K307" t="n">
        <v>0</v>
      </c>
      <c r="L307" t="n">
        <v>0</v>
      </c>
      <c r="M307" t="n">
        <v>0</v>
      </c>
      <c r="N307" t="n">
        <v>0</v>
      </c>
      <c r="O307" t="n">
        <v>0</v>
      </c>
      <c r="P307" t="n">
        <v>0</v>
      </c>
      <c r="Q307" t="n">
        <v>0</v>
      </c>
      <c r="R307" s="2" t="inlineStr"/>
    </row>
    <row r="308" ht="15" customHeight="1">
      <c r="A308" t="inlineStr">
        <is>
          <t>A 28728-2023</t>
        </is>
      </c>
      <c r="B308" s="1" t="n">
        <v>45103</v>
      </c>
      <c r="C308" s="1" t="n">
        <v>45910</v>
      </c>
      <c r="D308" t="inlineStr">
        <is>
          <t>VÄSTERBOTTENS LÄN</t>
        </is>
      </c>
      <c r="E308" t="inlineStr">
        <is>
          <t>ÅSELE</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58386-2022</t>
        </is>
      </c>
      <c r="B309" s="1" t="n">
        <v>44894</v>
      </c>
      <c r="C309" s="1" t="n">
        <v>45910</v>
      </c>
      <c r="D309" t="inlineStr">
        <is>
          <t>VÄSTERBOTTENS LÄN</t>
        </is>
      </c>
      <c r="E309" t="inlineStr">
        <is>
          <t>ÅSELE</t>
        </is>
      </c>
      <c r="F309" t="inlineStr">
        <is>
          <t>Kommuner</t>
        </is>
      </c>
      <c r="G309" t="n">
        <v>25</v>
      </c>
      <c r="H309" t="n">
        <v>0</v>
      </c>
      <c r="I309" t="n">
        <v>0</v>
      </c>
      <c r="J309" t="n">
        <v>0</v>
      </c>
      <c r="K309" t="n">
        <v>0</v>
      </c>
      <c r="L309" t="n">
        <v>0</v>
      </c>
      <c r="M309" t="n">
        <v>0</v>
      </c>
      <c r="N309" t="n">
        <v>0</v>
      </c>
      <c r="O309" t="n">
        <v>0</v>
      </c>
      <c r="P309" t="n">
        <v>0</v>
      </c>
      <c r="Q309" t="n">
        <v>0</v>
      </c>
      <c r="R309" s="2" t="inlineStr"/>
    </row>
    <row r="310" ht="15" customHeight="1">
      <c r="A310" t="inlineStr">
        <is>
          <t>A 25569-2024</t>
        </is>
      </c>
      <c r="B310" s="1" t="n">
        <v>45463.58702546296</v>
      </c>
      <c r="C310" s="1" t="n">
        <v>45910</v>
      </c>
      <c r="D310" t="inlineStr">
        <is>
          <t>VÄSTERBOTTENS LÄN</t>
        </is>
      </c>
      <c r="E310" t="inlineStr">
        <is>
          <t>ÅSELE</t>
        </is>
      </c>
      <c r="F310" t="inlineStr">
        <is>
          <t>Sveaskog</t>
        </is>
      </c>
      <c r="G310" t="n">
        <v>28.7</v>
      </c>
      <c r="H310" t="n">
        <v>0</v>
      </c>
      <c r="I310" t="n">
        <v>0</v>
      </c>
      <c r="J310" t="n">
        <v>0</v>
      </c>
      <c r="K310" t="n">
        <v>0</v>
      </c>
      <c r="L310" t="n">
        <v>0</v>
      </c>
      <c r="M310" t="n">
        <v>0</v>
      </c>
      <c r="N310" t="n">
        <v>0</v>
      </c>
      <c r="O310" t="n">
        <v>0</v>
      </c>
      <c r="P310" t="n">
        <v>0</v>
      </c>
      <c r="Q310" t="n">
        <v>0</v>
      </c>
      <c r="R310" s="2" t="inlineStr"/>
    </row>
    <row r="311" ht="15" customHeight="1">
      <c r="A311" t="inlineStr">
        <is>
          <t>A 26474-2025</t>
        </is>
      </c>
      <c r="B311" s="1" t="n">
        <v>45807</v>
      </c>
      <c r="C311" s="1" t="n">
        <v>45910</v>
      </c>
      <c r="D311" t="inlineStr">
        <is>
          <t>VÄSTERBOTTENS LÄN</t>
        </is>
      </c>
      <c r="E311" t="inlineStr">
        <is>
          <t>ÅSELE</t>
        </is>
      </c>
      <c r="F311" t="inlineStr">
        <is>
          <t>SCA</t>
        </is>
      </c>
      <c r="G311" t="n">
        <v>11.5</v>
      </c>
      <c r="H311" t="n">
        <v>0</v>
      </c>
      <c r="I311" t="n">
        <v>0</v>
      </c>
      <c r="J311" t="n">
        <v>0</v>
      </c>
      <c r="K311" t="n">
        <v>0</v>
      </c>
      <c r="L311" t="n">
        <v>0</v>
      </c>
      <c r="M311" t="n">
        <v>0</v>
      </c>
      <c r="N311" t="n">
        <v>0</v>
      </c>
      <c r="O311" t="n">
        <v>0</v>
      </c>
      <c r="P311" t="n">
        <v>0</v>
      </c>
      <c r="Q311" t="n">
        <v>0</v>
      </c>
      <c r="R311" s="2" t="inlineStr"/>
    </row>
    <row r="312" ht="15" customHeight="1">
      <c r="A312" t="inlineStr">
        <is>
          <t>A 42037-2023</t>
        </is>
      </c>
      <c r="B312" s="1" t="n">
        <v>45177.50853009259</v>
      </c>
      <c r="C312" s="1" t="n">
        <v>45910</v>
      </c>
      <c r="D312" t="inlineStr">
        <is>
          <t>VÄSTERBOTTENS LÄN</t>
        </is>
      </c>
      <c r="E312" t="inlineStr">
        <is>
          <t>ÅSELE</t>
        </is>
      </c>
      <c r="F312" t="inlineStr">
        <is>
          <t>Holmen skog AB</t>
        </is>
      </c>
      <c r="G312" t="n">
        <v>4.7</v>
      </c>
      <c r="H312" t="n">
        <v>0</v>
      </c>
      <c r="I312" t="n">
        <v>0</v>
      </c>
      <c r="J312" t="n">
        <v>0</v>
      </c>
      <c r="K312" t="n">
        <v>0</v>
      </c>
      <c r="L312" t="n">
        <v>0</v>
      </c>
      <c r="M312" t="n">
        <v>0</v>
      </c>
      <c r="N312" t="n">
        <v>0</v>
      </c>
      <c r="O312" t="n">
        <v>0</v>
      </c>
      <c r="P312" t="n">
        <v>0</v>
      </c>
      <c r="Q312" t="n">
        <v>0</v>
      </c>
      <c r="R312" s="2" t="inlineStr"/>
    </row>
    <row r="313" ht="15" customHeight="1">
      <c r="A313" t="inlineStr">
        <is>
          <t>A 5955-2024</t>
        </is>
      </c>
      <c r="B313" s="1" t="n">
        <v>45336.44858796296</v>
      </c>
      <c r="C313" s="1" t="n">
        <v>45910</v>
      </c>
      <c r="D313" t="inlineStr">
        <is>
          <t>VÄSTERBOTTENS LÄN</t>
        </is>
      </c>
      <c r="E313" t="inlineStr">
        <is>
          <t>ÅSELE</t>
        </is>
      </c>
      <c r="F313" t="inlineStr">
        <is>
          <t>Naturvårdsverket</t>
        </is>
      </c>
      <c r="G313" t="n">
        <v>22.6</v>
      </c>
      <c r="H313" t="n">
        <v>0</v>
      </c>
      <c r="I313" t="n">
        <v>0</v>
      </c>
      <c r="J313" t="n">
        <v>0</v>
      </c>
      <c r="K313" t="n">
        <v>0</v>
      </c>
      <c r="L313" t="n">
        <v>0</v>
      </c>
      <c r="M313" t="n">
        <v>0</v>
      </c>
      <c r="N313" t="n">
        <v>0</v>
      </c>
      <c r="O313" t="n">
        <v>0</v>
      </c>
      <c r="P313" t="n">
        <v>0</v>
      </c>
      <c r="Q313" t="n">
        <v>0</v>
      </c>
      <c r="R313" s="2" t="inlineStr"/>
    </row>
    <row r="314" ht="15" customHeight="1">
      <c r="A314" t="inlineStr">
        <is>
          <t>A 40969-2024</t>
        </is>
      </c>
      <c r="B314" s="1" t="n">
        <v>45558</v>
      </c>
      <c r="C314" s="1" t="n">
        <v>45910</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22114-2024</t>
        </is>
      </c>
      <c r="B315" s="1" t="n">
        <v>45443</v>
      </c>
      <c r="C315" s="1" t="n">
        <v>45910</v>
      </c>
      <c r="D315" t="inlineStr">
        <is>
          <t>VÄSTERBOTTENS LÄN</t>
        </is>
      </c>
      <c r="E315" t="inlineStr">
        <is>
          <t>ÅSELE</t>
        </is>
      </c>
      <c r="F315" t="inlineStr">
        <is>
          <t>SCA</t>
        </is>
      </c>
      <c r="G315" t="n">
        <v>30.2</v>
      </c>
      <c r="H315" t="n">
        <v>0</v>
      </c>
      <c r="I315" t="n">
        <v>0</v>
      </c>
      <c r="J315" t="n">
        <v>0</v>
      </c>
      <c r="K315" t="n">
        <v>0</v>
      </c>
      <c r="L315" t="n">
        <v>0</v>
      </c>
      <c r="M315" t="n">
        <v>0</v>
      </c>
      <c r="N315" t="n">
        <v>0</v>
      </c>
      <c r="O315" t="n">
        <v>0</v>
      </c>
      <c r="P315" t="n">
        <v>0</v>
      </c>
      <c r="Q315" t="n">
        <v>0</v>
      </c>
      <c r="R315" s="2" t="inlineStr"/>
    </row>
    <row r="316" ht="15" customHeight="1">
      <c r="A316" t="inlineStr">
        <is>
          <t>A 45622-2023</t>
        </is>
      </c>
      <c r="B316" s="1" t="n">
        <v>45194.66240740741</v>
      </c>
      <c r="C316" s="1" t="n">
        <v>45910</v>
      </c>
      <c r="D316" t="inlineStr">
        <is>
          <t>VÄSTERBOTTENS LÄN</t>
        </is>
      </c>
      <c r="E316" t="inlineStr">
        <is>
          <t>ÅSELE</t>
        </is>
      </c>
      <c r="G316" t="n">
        <v>1.7</v>
      </c>
      <c r="H316" t="n">
        <v>0</v>
      </c>
      <c r="I316" t="n">
        <v>0</v>
      </c>
      <c r="J316" t="n">
        <v>0</v>
      </c>
      <c r="K316" t="n">
        <v>0</v>
      </c>
      <c r="L316" t="n">
        <v>0</v>
      </c>
      <c r="M316" t="n">
        <v>0</v>
      </c>
      <c r="N316" t="n">
        <v>0</v>
      </c>
      <c r="O316" t="n">
        <v>0</v>
      </c>
      <c r="P316" t="n">
        <v>0</v>
      </c>
      <c r="Q316" t="n">
        <v>0</v>
      </c>
      <c r="R316" s="2" t="inlineStr"/>
    </row>
    <row r="317" ht="15" customHeight="1">
      <c r="A317" t="inlineStr">
        <is>
          <t>A 26774-2025</t>
        </is>
      </c>
      <c r="B317" s="1" t="n">
        <v>45810.57378472222</v>
      </c>
      <c r="C317" s="1" t="n">
        <v>45910</v>
      </c>
      <c r="D317" t="inlineStr">
        <is>
          <t>VÄSTERBOTTENS LÄN</t>
        </is>
      </c>
      <c r="E317" t="inlineStr">
        <is>
          <t>ÅSELE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4078-2025</t>
        </is>
      </c>
      <c r="B318" s="1" t="n">
        <v>45684.65501157408</v>
      </c>
      <c r="C318" s="1" t="n">
        <v>45910</v>
      </c>
      <c r="D318" t="inlineStr">
        <is>
          <t>VÄSTERBOTTENS LÄN</t>
        </is>
      </c>
      <c r="E318" t="inlineStr">
        <is>
          <t>ÅSELE</t>
        </is>
      </c>
      <c r="G318" t="n">
        <v>2.4</v>
      </c>
      <c r="H318" t="n">
        <v>0</v>
      </c>
      <c r="I318" t="n">
        <v>0</v>
      </c>
      <c r="J318" t="n">
        <v>0</v>
      </c>
      <c r="K318" t="n">
        <v>0</v>
      </c>
      <c r="L318" t="n">
        <v>0</v>
      </c>
      <c r="M318" t="n">
        <v>0</v>
      </c>
      <c r="N318" t="n">
        <v>0</v>
      </c>
      <c r="O318" t="n">
        <v>0</v>
      </c>
      <c r="P318" t="n">
        <v>0</v>
      </c>
      <c r="Q318" t="n">
        <v>0</v>
      </c>
      <c r="R318" s="2" t="inlineStr"/>
    </row>
    <row r="319" ht="15" customHeight="1">
      <c r="A319" t="inlineStr">
        <is>
          <t>A 26832-2025</t>
        </is>
      </c>
      <c r="B319" s="1" t="n">
        <v>45810.65690972222</v>
      </c>
      <c r="C319" s="1" t="n">
        <v>45910</v>
      </c>
      <c r="D319" t="inlineStr">
        <is>
          <t>VÄSTERBOTTENS LÄN</t>
        </is>
      </c>
      <c r="E319" t="inlineStr">
        <is>
          <t>ÅSELE</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4915-2024</t>
        </is>
      </c>
      <c r="B320" s="1" t="n">
        <v>45329</v>
      </c>
      <c r="C320" s="1" t="n">
        <v>45910</v>
      </c>
      <c r="D320" t="inlineStr">
        <is>
          <t>VÄSTERBOTTENS LÄN</t>
        </is>
      </c>
      <c r="E320" t="inlineStr">
        <is>
          <t>ÅSELE</t>
        </is>
      </c>
      <c r="F320" t="inlineStr">
        <is>
          <t>Övriga Aktiebolag</t>
        </is>
      </c>
      <c r="G320" t="n">
        <v>7.5</v>
      </c>
      <c r="H320" t="n">
        <v>0</v>
      </c>
      <c r="I320" t="n">
        <v>0</v>
      </c>
      <c r="J320" t="n">
        <v>0</v>
      </c>
      <c r="K320" t="n">
        <v>0</v>
      </c>
      <c r="L320" t="n">
        <v>0</v>
      </c>
      <c r="M320" t="n">
        <v>0</v>
      </c>
      <c r="N320" t="n">
        <v>0</v>
      </c>
      <c r="O320" t="n">
        <v>0</v>
      </c>
      <c r="P320" t="n">
        <v>0</v>
      </c>
      <c r="Q320" t="n">
        <v>0</v>
      </c>
      <c r="R320" s="2" t="inlineStr"/>
    </row>
    <row r="321" ht="15" customHeight="1">
      <c r="A321" t="inlineStr">
        <is>
          <t>A 5022-2024</t>
        </is>
      </c>
      <c r="B321" s="1" t="n">
        <v>45329</v>
      </c>
      <c r="C321" s="1" t="n">
        <v>45910</v>
      </c>
      <c r="D321" t="inlineStr">
        <is>
          <t>VÄSTERBOTTENS LÄN</t>
        </is>
      </c>
      <c r="E321" t="inlineStr">
        <is>
          <t>ÅSELE</t>
        </is>
      </c>
      <c r="F321" t="inlineStr">
        <is>
          <t>Övriga Aktiebolag</t>
        </is>
      </c>
      <c r="G321" t="n">
        <v>1.9</v>
      </c>
      <c r="H321" t="n">
        <v>0</v>
      </c>
      <c r="I321" t="n">
        <v>0</v>
      </c>
      <c r="J321" t="n">
        <v>0</v>
      </c>
      <c r="K321" t="n">
        <v>0</v>
      </c>
      <c r="L321" t="n">
        <v>0</v>
      </c>
      <c r="M321" t="n">
        <v>0</v>
      </c>
      <c r="N321" t="n">
        <v>0</v>
      </c>
      <c r="O321" t="n">
        <v>0</v>
      </c>
      <c r="P321" t="n">
        <v>0</v>
      </c>
      <c r="Q321" t="n">
        <v>0</v>
      </c>
      <c r="R321" s="2" t="inlineStr"/>
    </row>
    <row r="322" ht="15" customHeight="1">
      <c r="A322" t="inlineStr">
        <is>
          <t>A 10582-2023</t>
        </is>
      </c>
      <c r="B322" s="1" t="n">
        <v>44984</v>
      </c>
      <c r="C322" s="1" t="n">
        <v>45910</v>
      </c>
      <c r="D322" t="inlineStr">
        <is>
          <t>VÄSTERBOTTENS LÄN</t>
        </is>
      </c>
      <c r="E322" t="inlineStr">
        <is>
          <t>ÅSELE</t>
        </is>
      </c>
      <c r="G322" t="n">
        <v>1.9</v>
      </c>
      <c r="H322" t="n">
        <v>0</v>
      </c>
      <c r="I322" t="n">
        <v>0</v>
      </c>
      <c r="J322" t="n">
        <v>0</v>
      </c>
      <c r="K322" t="n">
        <v>0</v>
      </c>
      <c r="L322" t="n">
        <v>0</v>
      </c>
      <c r="M322" t="n">
        <v>0</v>
      </c>
      <c r="N322" t="n">
        <v>0</v>
      </c>
      <c r="O322" t="n">
        <v>0</v>
      </c>
      <c r="P322" t="n">
        <v>0</v>
      </c>
      <c r="Q322" t="n">
        <v>0</v>
      </c>
      <c r="R322" s="2" t="inlineStr"/>
    </row>
    <row r="323" ht="15" customHeight="1">
      <c r="A323" t="inlineStr">
        <is>
          <t>A 31183-2023</t>
        </is>
      </c>
      <c r="B323" s="1" t="n">
        <v>45113.94913194444</v>
      </c>
      <c r="C323" s="1" t="n">
        <v>45910</v>
      </c>
      <c r="D323" t="inlineStr">
        <is>
          <t>VÄSTERBOTTENS LÄN</t>
        </is>
      </c>
      <c r="E323" t="inlineStr">
        <is>
          <t>ÅSELE</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61874-2023</t>
        </is>
      </c>
      <c r="B324" s="1" t="n">
        <v>45266</v>
      </c>
      <c r="C324" s="1" t="n">
        <v>45910</v>
      </c>
      <c r="D324" t="inlineStr">
        <is>
          <t>VÄSTERBOTTENS LÄN</t>
        </is>
      </c>
      <c r="E324" t="inlineStr">
        <is>
          <t>ÅSELE</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3250-2025</t>
        </is>
      </c>
      <c r="B325" s="1" t="n">
        <v>45679</v>
      </c>
      <c r="C325" s="1" t="n">
        <v>45910</v>
      </c>
      <c r="D325" t="inlineStr">
        <is>
          <t>VÄSTERBOTTENS LÄN</t>
        </is>
      </c>
      <c r="E325" t="inlineStr">
        <is>
          <t>ÅSELE</t>
        </is>
      </c>
      <c r="G325" t="n">
        <v>2.3</v>
      </c>
      <c r="H325" t="n">
        <v>0</v>
      </c>
      <c r="I325" t="n">
        <v>0</v>
      </c>
      <c r="J325" t="n">
        <v>0</v>
      </c>
      <c r="K325" t="n">
        <v>0</v>
      </c>
      <c r="L325" t="n">
        <v>0</v>
      </c>
      <c r="M325" t="n">
        <v>0</v>
      </c>
      <c r="N325" t="n">
        <v>0</v>
      </c>
      <c r="O325" t="n">
        <v>0</v>
      </c>
      <c r="P325" t="n">
        <v>0</v>
      </c>
      <c r="Q325" t="n">
        <v>0</v>
      </c>
      <c r="R325" s="2" t="inlineStr"/>
    </row>
    <row r="326" ht="15" customHeight="1">
      <c r="A326" t="inlineStr">
        <is>
          <t>A 26782-2025</t>
        </is>
      </c>
      <c r="B326" s="1" t="n">
        <v>45810</v>
      </c>
      <c r="C326" s="1" t="n">
        <v>45910</v>
      </c>
      <c r="D326" t="inlineStr">
        <is>
          <t>VÄSTERBOTTENS LÄN</t>
        </is>
      </c>
      <c r="E326" t="inlineStr">
        <is>
          <t>ÅSELE</t>
        </is>
      </c>
      <c r="G326" t="n">
        <v>3.3</v>
      </c>
      <c r="H326" t="n">
        <v>0</v>
      </c>
      <c r="I326" t="n">
        <v>0</v>
      </c>
      <c r="J326" t="n">
        <v>0</v>
      </c>
      <c r="K326" t="n">
        <v>0</v>
      </c>
      <c r="L326" t="n">
        <v>0</v>
      </c>
      <c r="M326" t="n">
        <v>0</v>
      </c>
      <c r="N326" t="n">
        <v>0</v>
      </c>
      <c r="O326" t="n">
        <v>0</v>
      </c>
      <c r="P326" t="n">
        <v>0</v>
      </c>
      <c r="Q326" t="n">
        <v>0</v>
      </c>
      <c r="R326" s="2" t="inlineStr"/>
    </row>
    <row r="327" ht="15" customHeight="1">
      <c r="A327" t="inlineStr">
        <is>
          <t>A 19614-2025</t>
        </is>
      </c>
      <c r="B327" s="1" t="n">
        <v>45770.61505787037</v>
      </c>
      <c r="C327" s="1" t="n">
        <v>45910</v>
      </c>
      <c r="D327" t="inlineStr">
        <is>
          <t>VÄSTERBOTTENS LÄN</t>
        </is>
      </c>
      <c r="E327" t="inlineStr">
        <is>
          <t>ÅSELE</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17842-2025</t>
        </is>
      </c>
      <c r="B328" s="1" t="n">
        <v>45758.59420138889</v>
      </c>
      <c r="C328" s="1" t="n">
        <v>45910</v>
      </c>
      <c r="D328" t="inlineStr">
        <is>
          <t>VÄSTERBOTTENS LÄN</t>
        </is>
      </c>
      <c r="E328" t="inlineStr">
        <is>
          <t>ÅSELE</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8247-2023</t>
        </is>
      </c>
      <c r="B329" s="1" t="n">
        <v>44971</v>
      </c>
      <c r="C329" s="1" t="n">
        <v>45910</v>
      </c>
      <c r="D329" t="inlineStr">
        <is>
          <t>VÄSTERBOTTENS LÄN</t>
        </is>
      </c>
      <c r="E329" t="inlineStr">
        <is>
          <t>ÅSELE</t>
        </is>
      </c>
      <c r="G329" t="n">
        <v>4.9</v>
      </c>
      <c r="H329" t="n">
        <v>0</v>
      </c>
      <c r="I329" t="n">
        <v>0</v>
      </c>
      <c r="J329" t="n">
        <v>0</v>
      </c>
      <c r="K329" t="n">
        <v>0</v>
      </c>
      <c r="L329" t="n">
        <v>0</v>
      </c>
      <c r="M329" t="n">
        <v>0</v>
      </c>
      <c r="N329" t="n">
        <v>0</v>
      </c>
      <c r="O329" t="n">
        <v>0</v>
      </c>
      <c r="P329" t="n">
        <v>0</v>
      </c>
      <c r="Q329" t="n">
        <v>0</v>
      </c>
      <c r="R329" s="2" t="inlineStr"/>
    </row>
    <row r="330" ht="15" customHeight="1">
      <c r="A330" t="inlineStr">
        <is>
          <t>A 41409-2023</t>
        </is>
      </c>
      <c r="B330" s="1" t="n">
        <v>45174.93927083333</v>
      </c>
      <c r="C330" s="1" t="n">
        <v>45910</v>
      </c>
      <c r="D330" t="inlineStr">
        <is>
          <t>VÄSTERBOTTENS LÄN</t>
        </is>
      </c>
      <c r="E330" t="inlineStr">
        <is>
          <t>ÅSELE</t>
        </is>
      </c>
      <c r="F330" t="inlineStr">
        <is>
          <t>SCA</t>
        </is>
      </c>
      <c r="G330" t="n">
        <v>7.3</v>
      </c>
      <c r="H330" t="n">
        <v>0</v>
      </c>
      <c r="I330" t="n">
        <v>0</v>
      </c>
      <c r="J330" t="n">
        <v>0</v>
      </c>
      <c r="K330" t="n">
        <v>0</v>
      </c>
      <c r="L330" t="n">
        <v>0</v>
      </c>
      <c r="M330" t="n">
        <v>0</v>
      </c>
      <c r="N330" t="n">
        <v>0</v>
      </c>
      <c r="O330" t="n">
        <v>0</v>
      </c>
      <c r="P330" t="n">
        <v>0</v>
      </c>
      <c r="Q330" t="n">
        <v>0</v>
      </c>
      <c r="R330" s="2" t="inlineStr"/>
    </row>
    <row r="331" ht="15" customHeight="1">
      <c r="A331" t="inlineStr">
        <is>
          <t>A 19928-2025</t>
        </is>
      </c>
      <c r="B331" s="1" t="n">
        <v>45771</v>
      </c>
      <c r="C331" s="1" t="n">
        <v>45910</v>
      </c>
      <c r="D331" t="inlineStr">
        <is>
          <t>VÄSTERBOTTENS LÄN</t>
        </is>
      </c>
      <c r="E331" t="inlineStr">
        <is>
          <t>ÅSELE</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42304-2024</t>
        </is>
      </c>
      <c r="B332" s="1" t="n">
        <v>45562</v>
      </c>
      <c r="C332" s="1" t="n">
        <v>45910</v>
      </c>
      <c r="D332" t="inlineStr">
        <is>
          <t>VÄSTERBOTTENS LÄN</t>
        </is>
      </c>
      <c r="E332" t="inlineStr">
        <is>
          <t>ÅSELE</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27464-2025</t>
        </is>
      </c>
      <c r="B333" s="1" t="n">
        <v>45813</v>
      </c>
      <c r="C333" s="1" t="n">
        <v>45910</v>
      </c>
      <c r="D333" t="inlineStr">
        <is>
          <t>VÄSTERBOTTENS LÄN</t>
        </is>
      </c>
      <c r="E333" t="inlineStr">
        <is>
          <t>ÅSELE</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21341-2024</t>
        </is>
      </c>
      <c r="B334" s="1" t="n">
        <v>45440.92835648148</v>
      </c>
      <c r="C334" s="1" t="n">
        <v>45910</v>
      </c>
      <c r="D334" t="inlineStr">
        <is>
          <t>VÄSTERBOTTENS LÄN</t>
        </is>
      </c>
      <c r="E334" t="inlineStr">
        <is>
          <t>ÅSELE</t>
        </is>
      </c>
      <c r="G334" t="n">
        <v>0.9</v>
      </c>
      <c r="H334" t="n">
        <v>0</v>
      </c>
      <c r="I334" t="n">
        <v>0</v>
      </c>
      <c r="J334" t="n">
        <v>0</v>
      </c>
      <c r="K334" t="n">
        <v>0</v>
      </c>
      <c r="L334" t="n">
        <v>0</v>
      </c>
      <c r="M334" t="n">
        <v>0</v>
      </c>
      <c r="N334" t="n">
        <v>0</v>
      </c>
      <c r="O334" t="n">
        <v>0</v>
      </c>
      <c r="P334" t="n">
        <v>0</v>
      </c>
      <c r="Q334" t="n">
        <v>0</v>
      </c>
      <c r="R334" s="2" t="inlineStr"/>
    </row>
    <row r="335" ht="15" customHeight="1">
      <c r="A335" t="inlineStr">
        <is>
          <t>A 59282-2024</t>
        </is>
      </c>
      <c r="B335" s="1" t="n">
        <v>45637</v>
      </c>
      <c r="C335" s="1" t="n">
        <v>45910</v>
      </c>
      <c r="D335" t="inlineStr">
        <is>
          <t>VÄSTERBOTTENS LÄN</t>
        </is>
      </c>
      <c r="E335" t="inlineStr">
        <is>
          <t>ÅSELE</t>
        </is>
      </c>
      <c r="G335" t="n">
        <v>6.9</v>
      </c>
      <c r="H335" t="n">
        <v>0</v>
      </c>
      <c r="I335" t="n">
        <v>0</v>
      </c>
      <c r="J335" t="n">
        <v>0</v>
      </c>
      <c r="K335" t="n">
        <v>0</v>
      </c>
      <c r="L335" t="n">
        <v>0</v>
      </c>
      <c r="M335" t="n">
        <v>0</v>
      </c>
      <c r="N335" t="n">
        <v>0</v>
      </c>
      <c r="O335" t="n">
        <v>0</v>
      </c>
      <c r="P335" t="n">
        <v>0</v>
      </c>
      <c r="Q335" t="n">
        <v>0</v>
      </c>
      <c r="R335" s="2" t="inlineStr"/>
    </row>
    <row r="336" ht="15" customHeight="1">
      <c r="A336" t="inlineStr">
        <is>
          <t>A 25636-2024</t>
        </is>
      </c>
      <c r="B336" s="1" t="n">
        <v>45463</v>
      </c>
      <c r="C336" s="1" t="n">
        <v>45910</v>
      </c>
      <c r="D336" t="inlineStr">
        <is>
          <t>VÄSTERBOTTENS LÄN</t>
        </is>
      </c>
      <c r="E336" t="inlineStr">
        <is>
          <t>ÅSELE</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48530-2024</t>
        </is>
      </c>
      <c r="B337" s="1" t="n">
        <v>45593.34453703704</v>
      </c>
      <c r="C337" s="1" t="n">
        <v>45910</v>
      </c>
      <c r="D337" t="inlineStr">
        <is>
          <t>VÄSTERBOTTENS LÄN</t>
        </is>
      </c>
      <c r="E337" t="inlineStr">
        <is>
          <t>ÅSELE</t>
        </is>
      </c>
      <c r="F337" t="inlineStr">
        <is>
          <t>SCA</t>
        </is>
      </c>
      <c r="G337" t="n">
        <v>8.9</v>
      </c>
      <c r="H337" t="n">
        <v>0</v>
      </c>
      <c r="I337" t="n">
        <v>0</v>
      </c>
      <c r="J337" t="n">
        <v>0</v>
      </c>
      <c r="K337" t="n">
        <v>0</v>
      </c>
      <c r="L337" t="n">
        <v>0</v>
      </c>
      <c r="M337" t="n">
        <v>0</v>
      </c>
      <c r="N337" t="n">
        <v>0</v>
      </c>
      <c r="O337" t="n">
        <v>0</v>
      </c>
      <c r="P337" t="n">
        <v>0</v>
      </c>
      <c r="Q337" t="n">
        <v>0</v>
      </c>
      <c r="R337" s="2" t="inlineStr"/>
    </row>
    <row r="338" ht="15" customHeight="1">
      <c r="A338" t="inlineStr">
        <is>
          <t>A 48531-2024</t>
        </is>
      </c>
      <c r="B338" s="1" t="n">
        <v>45593</v>
      </c>
      <c r="C338" s="1" t="n">
        <v>45910</v>
      </c>
      <c r="D338" t="inlineStr">
        <is>
          <t>VÄSTERBOTTENS LÄN</t>
        </is>
      </c>
      <c r="E338" t="inlineStr">
        <is>
          <t>ÅSELE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27698-2025</t>
        </is>
      </c>
      <c r="B339" s="1" t="n">
        <v>45813.67741898148</v>
      </c>
      <c r="C339" s="1" t="n">
        <v>45910</v>
      </c>
      <c r="D339" t="inlineStr">
        <is>
          <t>VÄSTERBOTTENS LÄN</t>
        </is>
      </c>
      <c r="E339" t="inlineStr">
        <is>
          <t>ÅSELE</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3199-2025</t>
        </is>
      </c>
      <c r="B340" s="1" t="n">
        <v>45679</v>
      </c>
      <c r="C340" s="1" t="n">
        <v>45910</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37576-2024</t>
        </is>
      </c>
      <c r="B341" s="1" t="n">
        <v>45541</v>
      </c>
      <c r="C341" s="1" t="n">
        <v>45910</v>
      </c>
      <c r="D341" t="inlineStr">
        <is>
          <t>VÄSTERBOTTENS LÄN</t>
        </is>
      </c>
      <c r="E341" t="inlineStr">
        <is>
          <t>ÅSELE</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27168-2025</t>
        </is>
      </c>
      <c r="B342" s="1" t="n">
        <v>45812.34475694445</v>
      </c>
      <c r="C342" s="1" t="n">
        <v>45910</v>
      </c>
      <c r="D342" t="inlineStr">
        <is>
          <t>VÄSTERBOTTENS LÄN</t>
        </is>
      </c>
      <c r="E342" t="inlineStr">
        <is>
          <t>ÅSELE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21194-2025</t>
        </is>
      </c>
      <c r="B343" s="1" t="n">
        <v>45779</v>
      </c>
      <c r="C343" s="1" t="n">
        <v>45910</v>
      </c>
      <c r="D343" t="inlineStr">
        <is>
          <t>VÄSTERBOTTENS LÄN</t>
        </is>
      </c>
      <c r="E343" t="inlineStr">
        <is>
          <t>ÅSELE</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54992-2024</t>
        </is>
      </c>
      <c r="B344" s="1" t="n">
        <v>45620.91673611111</v>
      </c>
      <c r="C344" s="1" t="n">
        <v>45910</v>
      </c>
      <c r="D344" t="inlineStr">
        <is>
          <t>VÄSTERBOTTENS LÄN</t>
        </is>
      </c>
      <c r="E344" t="inlineStr">
        <is>
          <t>ÅSELE</t>
        </is>
      </c>
      <c r="G344" t="n">
        <v>5.7</v>
      </c>
      <c r="H344" t="n">
        <v>0</v>
      </c>
      <c r="I344" t="n">
        <v>0</v>
      </c>
      <c r="J344" t="n">
        <v>0</v>
      </c>
      <c r="K344" t="n">
        <v>0</v>
      </c>
      <c r="L344" t="n">
        <v>0</v>
      </c>
      <c r="M344" t="n">
        <v>0</v>
      </c>
      <c r="N344" t="n">
        <v>0</v>
      </c>
      <c r="O344" t="n">
        <v>0</v>
      </c>
      <c r="P344" t="n">
        <v>0</v>
      </c>
      <c r="Q344" t="n">
        <v>0</v>
      </c>
      <c r="R344" s="2" t="inlineStr"/>
    </row>
    <row r="345" ht="15" customHeight="1">
      <c r="A345" t="inlineStr">
        <is>
          <t>A 33012-2023</t>
        </is>
      </c>
      <c r="B345" s="1" t="n">
        <v>45113</v>
      </c>
      <c r="C345" s="1" t="n">
        <v>45910</v>
      </c>
      <c r="D345" t="inlineStr">
        <is>
          <t>VÄSTERBOTTENS LÄN</t>
        </is>
      </c>
      <c r="E345" t="inlineStr">
        <is>
          <t>ÅSELE</t>
        </is>
      </c>
      <c r="G345" t="n">
        <v>6.3</v>
      </c>
      <c r="H345" t="n">
        <v>0</v>
      </c>
      <c r="I345" t="n">
        <v>0</v>
      </c>
      <c r="J345" t="n">
        <v>0</v>
      </c>
      <c r="K345" t="n">
        <v>0</v>
      </c>
      <c r="L345" t="n">
        <v>0</v>
      </c>
      <c r="M345" t="n">
        <v>0</v>
      </c>
      <c r="N345" t="n">
        <v>0</v>
      </c>
      <c r="O345" t="n">
        <v>0</v>
      </c>
      <c r="P345" t="n">
        <v>0</v>
      </c>
      <c r="Q345" t="n">
        <v>0</v>
      </c>
      <c r="R345" s="2" t="inlineStr"/>
    </row>
    <row r="346" ht="15" customHeight="1">
      <c r="A346" t="inlineStr">
        <is>
          <t>A 11321-2023</t>
        </is>
      </c>
      <c r="B346" s="1" t="n">
        <v>44993.01305555556</v>
      </c>
      <c r="C346" s="1" t="n">
        <v>45910</v>
      </c>
      <c r="D346" t="inlineStr">
        <is>
          <t>VÄSTERBOTTENS LÄN</t>
        </is>
      </c>
      <c r="E346" t="inlineStr">
        <is>
          <t>ÅSELE</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27722-2025</t>
        </is>
      </c>
      <c r="B347" s="1" t="n">
        <v>45814</v>
      </c>
      <c r="C347" s="1" t="n">
        <v>45910</v>
      </c>
      <c r="D347" t="inlineStr">
        <is>
          <t>VÄSTERBOTTENS LÄN</t>
        </is>
      </c>
      <c r="E347" t="inlineStr">
        <is>
          <t>ÅSELE</t>
        </is>
      </c>
      <c r="G347" t="n">
        <v>11</v>
      </c>
      <c r="H347" t="n">
        <v>0</v>
      </c>
      <c r="I347" t="n">
        <v>0</v>
      </c>
      <c r="J347" t="n">
        <v>0</v>
      </c>
      <c r="K347" t="n">
        <v>0</v>
      </c>
      <c r="L347" t="n">
        <v>0</v>
      </c>
      <c r="M347" t="n">
        <v>0</v>
      </c>
      <c r="N347" t="n">
        <v>0</v>
      </c>
      <c r="O347" t="n">
        <v>0</v>
      </c>
      <c r="P347" t="n">
        <v>0</v>
      </c>
      <c r="Q347" t="n">
        <v>0</v>
      </c>
      <c r="R347" s="2" t="inlineStr"/>
    </row>
    <row r="348" ht="15" customHeight="1">
      <c r="A348" t="inlineStr">
        <is>
          <t>A 19572-2025</t>
        </is>
      </c>
      <c r="B348" s="1" t="n">
        <v>45770.55261574074</v>
      </c>
      <c r="C348" s="1" t="n">
        <v>45910</v>
      </c>
      <c r="D348" t="inlineStr">
        <is>
          <t>VÄSTERBOTTENS LÄN</t>
        </is>
      </c>
      <c r="E348" t="inlineStr">
        <is>
          <t>ÅSELE</t>
        </is>
      </c>
      <c r="F348" t="inlineStr">
        <is>
          <t>SCA</t>
        </is>
      </c>
      <c r="G348" t="n">
        <v>5.5</v>
      </c>
      <c r="H348" t="n">
        <v>0</v>
      </c>
      <c r="I348" t="n">
        <v>0</v>
      </c>
      <c r="J348" t="n">
        <v>0</v>
      </c>
      <c r="K348" t="n">
        <v>0</v>
      </c>
      <c r="L348" t="n">
        <v>0</v>
      </c>
      <c r="M348" t="n">
        <v>0</v>
      </c>
      <c r="N348" t="n">
        <v>0</v>
      </c>
      <c r="O348" t="n">
        <v>0</v>
      </c>
      <c r="P348" t="n">
        <v>0</v>
      </c>
      <c r="Q348" t="n">
        <v>0</v>
      </c>
      <c r="R348" s="2" t="inlineStr"/>
    </row>
    <row r="349" ht="15" customHeight="1">
      <c r="A349" t="inlineStr">
        <is>
          <t>A 28066-2025</t>
        </is>
      </c>
      <c r="B349" s="1" t="n">
        <v>45817</v>
      </c>
      <c r="C349" s="1" t="n">
        <v>45910</v>
      </c>
      <c r="D349" t="inlineStr">
        <is>
          <t>VÄSTERBOTTENS LÄN</t>
        </is>
      </c>
      <c r="E349" t="inlineStr">
        <is>
          <t>ÅSELE</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57788-2023</t>
        </is>
      </c>
      <c r="B350" s="1" t="n">
        <v>45246</v>
      </c>
      <c r="C350" s="1" t="n">
        <v>45910</v>
      </c>
      <c r="D350" t="inlineStr">
        <is>
          <t>VÄSTERBOTTENS LÄN</t>
        </is>
      </c>
      <c r="E350" t="inlineStr">
        <is>
          <t>ÅSELE</t>
        </is>
      </c>
      <c r="F350" t="inlineStr">
        <is>
          <t>SCA</t>
        </is>
      </c>
      <c r="G350" t="n">
        <v>7.7</v>
      </c>
      <c r="H350" t="n">
        <v>0</v>
      </c>
      <c r="I350" t="n">
        <v>0</v>
      </c>
      <c r="J350" t="n">
        <v>0</v>
      </c>
      <c r="K350" t="n">
        <v>0</v>
      </c>
      <c r="L350" t="n">
        <v>0</v>
      </c>
      <c r="M350" t="n">
        <v>0</v>
      </c>
      <c r="N350" t="n">
        <v>0</v>
      </c>
      <c r="O350" t="n">
        <v>0</v>
      </c>
      <c r="P350" t="n">
        <v>0</v>
      </c>
      <c r="Q350" t="n">
        <v>0</v>
      </c>
      <c r="R350" s="2" t="inlineStr"/>
    </row>
    <row r="351" ht="15" customHeight="1">
      <c r="A351" t="inlineStr">
        <is>
          <t>A 27720-2025</t>
        </is>
      </c>
      <c r="B351" s="1" t="n">
        <v>45814</v>
      </c>
      <c r="C351" s="1" t="n">
        <v>45910</v>
      </c>
      <c r="D351" t="inlineStr">
        <is>
          <t>VÄSTERBOTTENS LÄN</t>
        </is>
      </c>
      <c r="E351" t="inlineStr">
        <is>
          <t>ÅSELE</t>
        </is>
      </c>
      <c r="G351" t="n">
        <v>4.7</v>
      </c>
      <c r="H351" t="n">
        <v>0</v>
      </c>
      <c r="I351" t="n">
        <v>0</v>
      </c>
      <c r="J351" t="n">
        <v>0</v>
      </c>
      <c r="K351" t="n">
        <v>0</v>
      </c>
      <c r="L351" t="n">
        <v>0</v>
      </c>
      <c r="M351" t="n">
        <v>0</v>
      </c>
      <c r="N351" t="n">
        <v>0</v>
      </c>
      <c r="O351" t="n">
        <v>0</v>
      </c>
      <c r="P351" t="n">
        <v>0</v>
      </c>
      <c r="Q351" t="n">
        <v>0</v>
      </c>
      <c r="R351" s="2" t="inlineStr"/>
    </row>
    <row r="352" ht="15" customHeight="1">
      <c r="A352" t="inlineStr">
        <is>
          <t>A 27721-2025</t>
        </is>
      </c>
      <c r="B352" s="1" t="n">
        <v>45814</v>
      </c>
      <c r="C352" s="1" t="n">
        <v>45910</v>
      </c>
      <c r="D352" t="inlineStr">
        <is>
          <t>VÄSTERBOTTENS LÄN</t>
        </is>
      </c>
      <c r="E352" t="inlineStr">
        <is>
          <t>ÅSELE</t>
        </is>
      </c>
      <c r="G352" t="n">
        <v>3.7</v>
      </c>
      <c r="H352" t="n">
        <v>0</v>
      </c>
      <c r="I352" t="n">
        <v>0</v>
      </c>
      <c r="J352" t="n">
        <v>0</v>
      </c>
      <c r="K352" t="n">
        <v>0</v>
      </c>
      <c r="L352" t="n">
        <v>0</v>
      </c>
      <c r="M352" t="n">
        <v>0</v>
      </c>
      <c r="N352" t="n">
        <v>0</v>
      </c>
      <c r="O352" t="n">
        <v>0</v>
      </c>
      <c r="P352" t="n">
        <v>0</v>
      </c>
      <c r="Q352" t="n">
        <v>0</v>
      </c>
      <c r="R352" s="2" t="inlineStr"/>
    </row>
    <row r="353" ht="15" customHeight="1">
      <c r="A353" t="inlineStr">
        <is>
          <t>A 27723-2025</t>
        </is>
      </c>
      <c r="B353" s="1" t="n">
        <v>45814.39700231481</v>
      </c>
      <c r="C353" s="1" t="n">
        <v>45910</v>
      </c>
      <c r="D353" t="inlineStr">
        <is>
          <t>VÄSTERBOTTENS LÄN</t>
        </is>
      </c>
      <c r="E353" t="inlineStr">
        <is>
          <t>ÅSELE</t>
        </is>
      </c>
      <c r="G353" t="n">
        <v>3.6</v>
      </c>
      <c r="H353" t="n">
        <v>0</v>
      </c>
      <c r="I353" t="n">
        <v>0</v>
      </c>
      <c r="J353" t="n">
        <v>0</v>
      </c>
      <c r="K353" t="n">
        <v>0</v>
      </c>
      <c r="L353" t="n">
        <v>0</v>
      </c>
      <c r="M353" t="n">
        <v>0</v>
      </c>
      <c r="N353" t="n">
        <v>0</v>
      </c>
      <c r="O353" t="n">
        <v>0</v>
      </c>
      <c r="P353" t="n">
        <v>0</v>
      </c>
      <c r="Q353" t="n">
        <v>0</v>
      </c>
      <c r="R353" s="2" t="inlineStr"/>
    </row>
    <row r="354" ht="15" customHeight="1">
      <c r="A354" t="inlineStr">
        <is>
          <t>A 44894-2024</t>
        </is>
      </c>
      <c r="B354" s="1" t="n">
        <v>45575.36512731481</v>
      </c>
      <c r="C354" s="1" t="n">
        <v>45910</v>
      </c>
      <c r="D354" t="inlineStr">
        <is>
          <t>VÄSTERBOTTENS LÄN</t>
        </is>
      </c>
      <c r="E354" t="inlineStr">
        <is>
          <t>ÅSELE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65040-2023</t>
        </is>
      </c>
      <c r="B355" s="1" t="n">
        <v>45282</v>
      </c>
      <c r="C355" s="1" t="n">
        <v>45910</v>
      </c>
      <c r="D355" t="inlineStr">
        <is>
          <t>VÄSTERBOTTENS LÄN</t>
        </is>
      </c>
      <c r="E355" t="inlineStr">
        <is>
          <t>ÅSELE</t>
        </is>
      </c>
      <c r="G355" t="n">
        <v>6.6</v>
      </c>
      <c r="H355" t="n">
        <v>0</v>
      </c>
      <c r="I355" t="n">
        <v>0</v>
      </c>
      <c r="J355" t="n">
        <v>0</v>
      </c>
      <c r="K355" t="n">
        <v>0</v>
      </c>
      <c r="L355" t="n">
        <v>0</v>
      </c>
      <c r="M355" t="n">
        <v>0</v>
      </c>
      <c r="N355" t="n">
        <v>0</v>
      </c>
      <c r="O355" t="n">
        <v>0</v>
      </c>
      <c r="P355" t="n">
        <v>0</v>
      </c>
      <c r="Q355" t="n">
        <v>0</v>
      </c>
      <c r="R355" s="2" t="inlineStr"/>
    </row>
    <row r="356" ht="15" customHeight="1">
      <c r="A356" t="inlineStr">
        <is>
          <t>A 6023-2021</t>
        </is>
      </c>
      <c r="B356" s="1" t="n">
        <v>44231</v>
      </c>
      <c r="C356" s="1" t="n">
        <v>45910</v>
      </c>
      <c r="D356" t="inlineStr">
        <is>
          <t>VÄSTERBOTTENS LÄN</t>
        </is>
      </c>
      <c r="E356" t="inlineStr">
        <is>
          <t>ÅSELE</t>
        </is>
      </c>
      <c r="F356" t="inlineStr">
        <is>
          <t>SCA</t>
        </is>
      </c>
      <c r="G356" t="n">
        <v>4.5</v>
      </c>
      <c r="H356" t="n">
        <v>0</v>
      </c>
      <c r="I356" t="n">
        <v>0</v>
      </c>
      <c r="J356" t="n">
        <v>0</v>
      </c>
      <c r="K356" t="n">
        <v>0</v>
      </c>
      <c r="L356" t="n">
        <v>0</v>
      </c>
      <c r="M356" t="n">
        <v>0</v>
      </c>
      <c r="N356" t="n">
        <v>0</v>
      </c>
      <c r="O356" t="n">
        <v>0</v>
      </c>
      <c r="P356" t="n">
        <v>0</v>
      </c>
      <c r="Q356" t="n">
        <v>0</v>
      </c>
      <c r="R356" s="2" t="inlineStr"/>
    </row>
    <row r="357" ht="15" customHeight="1">
      <c r="A357" t="inlineStr">
        <is>
          <t>A 28495-2025</t>
        </is>
      </c>
      <c r="B357" s="1" t="n">
        <v>45818</v>
      </c>
      <c r="C357" s="1" t="n">
        <v>45910</v>
      </c>
      <c r="D357" t="inlineStr">
        <is>
          <t>VÄSTERBOTTENS LÄN</t>
        </is>
      </c>
      <c r="E357" t="inlineStr">
        <is>
          <t>ÅSELE</t>
        </is>
      </c>
      <c r="G357" t="n">
        <v>37.6</v>
      </c>
      <c r="H357" t="n">
        <v>0</v>
      </c>
      <c r="I357" t="n">
        <v>0</v>
      </c>
      <c r="J357" t="n">
        <v>0</v>
      </c>
      <c r="K357" t="n">
        <v>0</v>
      </c>
      <c r="L357" t="n">
        <v>0</v>
      </c>
      <c r="M357" t="n">
        <v>0</v>
      </c>
      <c r="N357" t="n">
        <v>0</v>
      </c>
      <c r="O357" t="n">
        <v>0</v>
      </c>
      <c r="P357" t="n">
        <v>0</v>
      </c>
      <c r="Q357" t="n">
        <v>0</v>
      </c>
      <c r="R357" s="2" t="inlineStr"/>
    </row>
    <row r="358" ht="15" customHeight="1">
      <c r="A358" t="inlineStr">
        <is>
          <t>A 2485-2023</t>
        </is>
      </c>
      <c r="B358" s="1" t="n">
        <v>44943.50074074074</v>
      </c>
      <c r="C358" s="1" t="n">
        <v>45910</v>
      </c>
      <c r="D358" t="inlineStr">
        <is>
          <t>VÄSTERBOTTENS LÄN</t>
        </is>
      </c>
      <c r="E358" t="inlineStr">
        <is>
          <t>ÅSELE</t>
        </is>
      </c>
      <c r="G358" t="n">
        <v>1.2</v>
      </c>
      <c r="H358" t="n">
        <v>0</v>
      </c>
      <c r="I358" t="n">
        <v>0</v>
      </c>
      <c r="J358" t="n">
        <v>0</v>
      </c>
      <c r="K358" t="n">
        <v>0</v>
      </c>
      <c r="L358" t="n">
        <v>0</v>
      </c>
      <c r="M358" t="n">
        <v>0</v>
      </c>
      <c r="N358" t="n">
        <v>0</v>
      </c>
      <c r="O358" t="n">
        <v>0</v>
      </c>
      <c r="P358" t="n">
        <v>0</v>
      </c>
      <c r="Q358" t="n">
        <v>0</v>
      </c>
      <c r="R358" s="2" t="inlineStr"/>
    </row>
    <row r="359" ht="15" customHeight="1">
      <c r="A359" t="inlineStr">
        <is>
          <t>A 26540-2022</t>
        </is>
      </c>
      <c r="B359" s="1" t="n">
        <v>44739</v>
      </c>
      <c r="C359" s="1" t="n">
        <v>45910</v>
      </c>
      <c r="D359" t="inlineStr">
        <is>
          <t>VÄSTERBOTTENS LÄN</t>
        </is>
      </c>
      <c r="E359" t="inlineStr">
        <is>
          <t>ÅSELE</t>
        </is>
      </c>
      <c r="G359" t="n">
        <v>10.8</v>
      </c>
      <c r="H359" t="n">
        <v>0</v>
      </c>
      <c r="I359" t="n">
        <v>0</v>
      </c>
      <c r="J359" t="n">
        <v>0</v>
      </c>
      <c r="K359" t="n">
        <v>0</v>
      </c>
      <c r="L359" t="n">
        <v>0</v>
      </c>
      <c r="M359" t="n">
        <v>0</v>
      </c>
      <c r="N359" t="n">
        <v>0</v>
      </c>
      <c r="O359" t="n">
        <v>0</v>
      </c>
      <c r="P359" t="n">
        <v>0</v>
      </c>
      <c r="Q359" t="n">
        <v>0</v>
      </c>
      <c r="R359" s="2" t="inlineStr"/>
    </row>
    <row r="360" ht="15" customHeight="1">
      <c r="A360" t="inlineStr">
        <is>
          <t>A 2892-2025</t>
        </is>
      </c>
      <c r="B360" s="1" t="n">
        <v>45677</v>
      </c>
      <c r="C360" s="1" t="n">
        <v>45910</v>
      </c>
      <c r="D360" t="inlineStr">
        <is>
          <t>VÄSTERBOTTENS LÄN</t>
        </is>
      </c>
      <c r="E360" t="inlineStr">
        <is>
          <t>ÅSELE</t>
        </is>
      </c>
      <c r="G360" t="n">
        <v>3.1</v>
      </c>
      <c r="H360" t="n">
        <v>0</v>
      </c>
      <c r="I360" t="n">
        <v>0</v>
      </c>
      <c r="J360" t="n">
        <v>0</v>
      </c>
      <c r="K360" t="n">
        <v>0</v>
      </c>
      <c r="L360" t="n">
        <v>0</v>
      </c>
      <c r="M360" t="n">
        <v>0</v>
      </c>
      <c r="N360" t="n">
        <v>0</v>
      </c>
      <c r="O360" t="n">
        <v>0</v>
      </c>
      <c r="P360" t="n">
        <v>0</v>
      </c>
      <c r="Q360" t="n">
        <v>0</v>
      </c>
      <c r="R360" s="2" t="inlineStr"/>
    </row>
    <row r="361" ht="15" customHeight="1">
      <c r="A361" t="inlineStr">
        <is>
          <t>A 54746-2023</t>
        </is>
      </c>
      <c r="B361" s="1" t="n">
        <v>45236.4175</v>
      </c>
      <c r="C361" s="1" t="n">
        <v>45910</v>
      </c>
      <c r="D361" t="inlineStr">
        <is>
          <t>VÄSTERBOTTENS LÄN</t>
        </is>
      </c>
      <c r="E361" t="inlineStr">
        <is>
          <t>ÅSELE</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54765-2023</t>
        </is>
      </c>
      <c r="B362" s="1" t="n">
        <v>45236.45083333334</v>
      </c>
      <c r="C362" s="1" t="n">
        <v>45910</v>
      </c>
      <c r="D362" t="inlineStr">
        <is>
          <t>VÄSTERBOTTENS LÄN</t>
        </is>
      </c>
      <c r="E362" t="inlineStr">
        <is>
          <t>ÅSELE</t>
        </is>
      </c>
      <c r="F362" t="inlineStr">
        <is>
          <t>Sveaskog</t>
        </is>
      </c>
      <c r="G362" t="n">
        <v>18.9</v>
      </c>
      <c r="H362" t="n">
        <v>0</v>
      </c>
      <c r="I362" t="n">
        <v>0</v>
      </c>
      <c r="J362" t="n">
        <v>0</v>
      </c>
      <c r="K362" t="n">
        <v>0</v>
      </c>
      <c r="L362" t="n">
        <v>0</v>
      </c>
      <c r="M362" t="n">
        <v>0</v>
      </c>
      <c r="N362" t="n">
        <v>0</v>
      </c>
      <c r="O362" t="n">
        <v>0</v>
      </c>
      <c r="P362" t="n">
        <v>0</v>
      </c>
      <c r="Q362" t="n">
        <v>0</v>
      </c>
      <c r="R362" s="2" t="inlineStr"/>
    </row>
    <row r="363" ht="15" customHeight="1">
      <c r="A363" t="inlineStr">
        <is>
          <t>A 31475-2024</t>
        </is>
      </c>
      <c r="B363" s="1" t="n">
        <v>45505.95209490741</v>
      </c>
      <c r="C363" s="1" t="n">
        <v>45910</v>
      </c>
      <c r="D363" t="inlineStr">
        <is>
          <t>VÄSTERBOTTENS LÄN</t>
        </is>
      </c>
      <c r="E363" t="inlineStr">
        <is>
          <t>ÅSELE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34139-2024</t>
        </is>
      </c>
      <c r="B364" s="1" t="n">
        <v>45524.36006944445</v>
      </c>
      <c r="C364" s="1" t="n">
        <v>45910</v>
      </c>
      <c r="D364" t="inlineStr">
        <is>
          <t>VÄSTERBOTTENS LÄN</t>
        </is>
      </c>
      <c r="E364" t="inlineStr">
        <is>
          <t>ÅSELE</t>
        </is>
      </c>
      <c r="F364" t="inlineStr">
        <is>
          <t>Sveaskog</t>
        </is>
      </c>
      <c r="G364" t="n">
        <v>5.9</v>
      </c>
      <c r="H364" t="n">
        <v>0</v>
      </c>
      <c r="I364" t="n">
        <v>0</v>
      </c>
      <c r="J364" t="n">
        <v>0</v>
      </c>
      <c r="K364" t="n">
        <v>0</v>
      </c>
      <c r="L364" t="n">
        <v>0</v>
      </c>
      <c r="M364" t="n">
        <v>0</v>
      </c>
      <c r="N364" t="n">
        <v>0</v>
      </c>
      <c r="O364" t="n">
        <v>0</v>
      </c>
      <c r="P364" t="n">
        <v>0</v>
      </c>
      <c r="Q364" t="n">
        <v>0</v>
      </c>
      <c r="R364" s="2" t="inlineStr"/>
    </row>
    <row r="365" ht="15" customHeight="1">
      <c r="A365" t="inlineStr">
        <is>
          <t>A 34144-2024</t>
        </is>
      </c>
      <c r="B365" s="1" t="n">
        <v>45524</v>
      </c>
      <c r="C365" s="1" t="n">
        <v>45910</v>
      </c>
      <c r="D365" t="inlineStr">
        <is>
          <t>VÄSTERBOTTENS LÄN</t>
        </is>
      </c>
      <c r="E365" t="inlineStr">
        <is>
          <t>ÅSELE</t>
        </is>
      </c>
      <c r="F365" t="inlineStr">
        <is>
          <t>Sveaskog</t>
        </is>
      </c>
      <c r="G365" t="n">
        <v>10.9</v>
      </c>
      <c r="H365" t="n">
        <v>0</v>
      </c>
      <c r="I365" t="n">
        <v>0</v>
      </c>
      <c r="J365" t="n">
        <v>0</v>
      </c>
      <c r="K365" t="n">
        <v>0</v>
      </c>
      <c r="L365" t="n">
        <v>0</v>
      </c>
      <c r="M365" t="n">
        <v>0</v>
      </c>
      <c r="N365" t="n">
        <v>0</v>
      </c>
      <c r="O365" t="n">
        <v>0</v>
      </c>
      <c r="P365" t="n">
        <v>0</v>
      </c>
      <c r="Q365" t="n">
        <v>0</v>
      </c>
      <c r="R365" s="2" t="inlineStr"/>
    </row>
    <row r="366" ht="15" customHeight="1">
      <c r="A366" t="inlineStr">
        <is>
          <t>A 10770-2024</t>
        </is>
      </c>
      <c r="B366" s="1" t="n">
        <v>45369</v>
      </c>
      <c r="C366" s="1" t="n">
        <v>45910</v>
      </c>
      <c r="D366" t="inlineStr">
        <is>
          <t>VÄSTERBOTTENS LÄN</t>
        </is>
      </c>
      <c r="E366" t="inlineStr">
        <is>
          <t>ÅSELE</t>
        </is>
      </c>
      <c r="F366" t="inlineStr">
        <is>
          <t>Holmen skog AB</t>
        </is>
      </c>
      <c r="G366" t="n">
        <v>4.2</v>
      </c>
      <c r="H366" t="n">
        <v>0</v>
      </c>
      <c r="I366" t="n">
        <v>0</v>
      </c>
      <c r="J366" t="n">
        <v>0</v>
      </c>
      <c r="K366" t="n">
        <v>0</v>
      </c>
      <c r="L366" t="n">
        <v>0</v>
      </c>
      <c r="M366" t="n">
        <v>0</v>
      </c>
      <c r="N366" t="n">
        <v>0</v>
      </c>
      <c r="O366" t="n">
        <v>0</v>
      </c>
      <c r="P366" t="n">
        <v>0</v>
      </c>
      <c r="Q366" t="n">
        <v>0</v>
      </c>
      <c r="R366" s="2" t="inlineStr"/>
    </row>
    <row r="367" ht="15" customHeight="1">
      <c r="A367" t="inlineStr">
        <is>
          <t>A 28929-2025</t>
        </is>
      </c>
      <c r="B367" s="1" t="n">
        <v>45820.6775</v>
      </c>
      <c r="C367" s="1" t="n">
        <v>45910</v>
      </c>
      <c r="D367" t="inlineStr">
        <is>
          <t>VÄSTERBOTTENS LÄN</t>
        </is>
      </c>
      <c r="E367" t="inlineStr">
        <is>
          <t>ÅSELE</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28581-2025</t>
        </is>
      </c>
      <c r="B368" s="1" t="n">
        <v>45819</v>
      </c>
      <c r="C368" s="1" t="n">
        <v>45910</v>
      </c>
      <c r="D368" t="inlineStr">
        <is>
          <t>VÄSTERBOTTENS LÄN</t>
        </is>
      </c>
      <c r="E368" t="inlineStr">
        <is>
          <t>ÅSELE</t>
        </is>
      </c>
      <c r="G368" t="n">
        <v>3.9</v>
      </c>
      <c r="H368" t="n">
        <v>0</v>
      </c>
      <c r="I368" t="n">
        <v>0</v>
      </c>
      <c r="J368" t="n">
        <v>0</v>
      </c>
      <c r="K368" t="n">
        <v>0</v>
      </c>
      <c r="L368" t="n">
        <v>0</v>
      </c>
      <c r="M368" t="n">
        <v>0</v>
      </c>
      <c r="N368" t="n">
        <v>0</v>
      </c>
      <c r="O368" t="n">
        <v>0</v>
      </c>
      <c r="P368" t="n">
        <v>0</v>
      </c>
      <c r="Q368" t="n">
        <v>0</v>
      </c>
      <c r="R368" s="2" t="inlineStr"/>
    </row>
    <row r="369" ht="15" customHeight="1">
      <c r="A369" t="inlineStr">
        <is>
          <t>A 26030-2021</t>
        </is>
      </c>
      <c r="B369" s="1" t="n">
        <v>44344</v>
      </c>
      <c r="C369" s="1" t="n">
        <v>45910</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29531-2025</t>
        </is>
      </c>
      <c r="B370" s="1" t="n">
        <v>45825.34444444445</v>
      </c>
      <c r="C370" s="1" t="n">
        <v>45910</v>
      </c>
      <c r="D370" t="inlineStr">
        <is>
          <t>VÄSTERBOTTENS LÄN</t>
        </is>
      </c>
      <c r="E370" t="inlineStr">
        <is>
          <t>ÅSELE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17683-2025</t>
        </is>
      </c>
      <c r="B371" s="1" t="n">
        <v>45758.3859375</v>
      </c>
      <c r="C371" s="1" t="n">
        <v>45910</v>
      </c>
      <c r="D371" t="inlineStr">
        <is>
          <t>VÄSTERBOTTENS LÄN</t>
        </is>
      </c>
      <c r="E371" t="inlineStr">
        <is>
          <t>ÅSELE</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33194-2024</t>
        </is>
      </c>
      <c r="B372" s="1" t="n">
        <v>45518</v>
      </c>
      <c r="C372" s="1" t="n">
        <v>45910</v>
      </c>
      <c r="D372" t="inlineStr">
        <is>
          <t>VÄSTERBOTTENS LÄN</t>
        </is>
      </c>
      <c r="E372" t="inlineStr">
        <is>
          <t>ÅSELE</t>
        </is>
      </c>
      <c r="G372" t="n">
        <v>2.7</v>
      </c>
      <c r="H372" t="n">
        <v>0</v>
      </c>
      <c r="I372" t="n">
        <v>0</v>
      </c>
      <c r="J372" t="n">
        <v>0</v>
      </c>
      <c r="K372" t="n">
        <v>0</v>
      </c>
      <c r="L372" t="n">
        <v>0</v>
      </c>
      <c r="M372" t="n">
        <v>0</v>
      </c>
      <c r="N372" t="n">
        <v>0</v>
      </c>
      <c r="O372" t="n">
        <v>0</v>
      </c>
      <c r="P372" t="n">
        <v>0</v>
      </c>
      <c r="Q372" t="n">
        <v>0</v>
      </c>
      <c r="R372" s="2" t="inlineStr"/>
    </row>
    <row r="373" ht="15" customHeight="1">
      <c r="A373" t="inlineStr">
        <is>
          <t>A 28724-2023</t>
        </is>
      </c>
      <c r="B373" s="1" t="n">
        <v>45103</v>
      </c>
      <c r="C373" s="1" t="n">
        <v>45910</v>
      </c>
      <c r="D373" t="inlineStr">
        <is>
          <t>VÄSTERBOTTENS LÄN</t>
        </is>
      </c>
      <c r="E373" t="inlineStr">
        <is>
          <t>ÅSELE</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11291-2023</t>
        </is>
      </c>
      <c r="B374" s="1" t="n">
        <v>44992</v>
      </c>
      <c r="C374" s="1" t="n">
        <v>45910</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36393-2025</t>
        </is>
      </c>
      <c r="B375" s="1" t="n">
        <v>45868.61376157407</v>
      </c>
      <c r="C375" s="1" t="n">
        <v>45910</v>
      </c>
      <c r="D375" t="inlineStr">
        <is>
          <t>VÄSTERBOTTENS LÄN</t>
        </is>
      </c>
      <c r="E375" t="inlineStr">
        <is>
          <t>ÅSELE</t>
        </is>
      </c>
      <c r="F375" t="inlineStr">
        <is>
          <t>Holmen skog AB</t>
        </is>
      </c>
      <c r="G375" t="n">
        <v>4.7</v>
      </c>
      <c r="H375" t="n">
        <v>0</v>
      </c>
      <c r="I375" t="n">
        <v>0</v>
      </c>
      <c r="J375" t="n">
        <v>0</v>
      </c>
      <c r="K375" t="n">
        <v>0</v>
      </c>
      <c r="L375" t="n">
        <v>0</v>
      </c>
      <c r="M375" t="n">
        <v>0</v>
      </c>
      <c r="N375" t="n">
        <v>0</v>
      </c>
      <c r="O375" t="n">
        <v>0</v>
      </c>
      <c r="P375" t="n">
        <v>0</v>
      </c>
      <c r="Q375" t="n">
        <v>0</v>
      </c>
      <c r="R375" s="2" t="inlineStr"/>
    </row>
    <row r="376" ht="15" customHeight="1">
      <c r="A376" t="inlineStr">
        <is>
          <t>A 41399-2023</t>
        </is>
      </c>
      <c r="B376" s="1" t="n">
        <v>45174.93857638889</v>
      </c>
      <c r="C376" s="1" t="n">
        <v>45910</v>
      </c>
      <c r="D376" t="inlineStr">
        <is>
          <t>VÄSTERBOTTENS LÄN</t>
        </is>
      </c>
      <c r="E376" t="inlineStr">
        <is>
          <t>ÅSELE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29947-2025</t>
        </is>
      </c>
      <c r="B377" s="1" t="n">
        <v>45826</v>
      </c>
      <c r="C377" s="1" t="n">
        <v>45910</v>
      </c>
      <c r="D377" t="inlineStr">
        <is>
          <t>VÄSTERBOTTENS LÄN</t>
        </is>
      </c>
      <c r="E377" t="inlineStr">
        <is>
          <t>ÅSELE</t>
        </is>
      </c>
      <c r="F377" t="inlineStr">
        <is>
          <t>Sveaskog</t>
        </is>
      </c>
      <c r="G377" t="n">
        <v>15.4</v>
      </c>
      <c r="H377" t="n">
        <v>0</v>
      </c>
      <c r="I377" t="n">
        <v>0</v>
      </c>
      <c r="J377" t="n">
        <v>0</v>
      </c>
      <c r="K377" t="n">
        <v>0</v>
      </c>
      <c r="L377" t="n">
        <v>0</v>
      </c>
      <c r="M377" t="n">
        <v>0</v>
      </c>
      <c r="N377" t="n">
        <v>0</v>
      </c>
      <c r="O377" t="n">
        <v>0</v>
      </c>
      <c r="P377" t="n">
        <v>0</v>
      </c>
      <c r="Q377" t="n">
        <v>0</v>
      </c>
      <c r="R377" s="2" t="inlineStr"/>
    </row>
    <row r="378" ht="15" customHeight="1">
      <c r="A378" t="inlineStr">
        <is>
          <t>A 29983-2025</t>
        </is>
      </c>
      <c r="B378" s="1" t="n">
        <v>45826.49555555556</v>
      </c>
      <c r="C378" s="1" t="n">
        <v>45910</v>
      </c>
      <c r="D378" t="inlineStr">
        <is>
          <t>VÄSTERBOTTENS LÄN</t>
        </is>
      </c>
      <c r="E378" t="inlineStr">
        <is>
          <t>ÅSELE</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42601-2024</t>
        </is>
      </c>
      <c r="B379" s="1" t="n">
        <v>45565</v>
      </c>
      <c r="C379" s="1" t="n">
        <v>45910</v>
      </c>
      <c r="D379" t="inlineStr">
        <is>
          <t>VÄSTERBOTTENS LÄN</t>
        </is>
      </c>
      <c r="E379" t="inlineStr">
        <is>
          <t>ÅSELE</t>
        </is>
      </c>
      <c r="F379" t="inlineStr">
        <is>
          <t>Holmen skog AB</t>
        </is>
      </c>
      <c r="G379" t="n">
        <v>8.6</v>
      </c>
      <c r="H379" t="n">
        <v>0</v>
      </c>
      <c r="I379" t="n">
        <v>0</v>
      </c>
      <c r="J379" t="n">
        <v>0</v>
      </c>
      <c r="K379" t="n">
        <v>0</v>
      </c>
      <c r="L379" t="n">
        <v>0</v>
      </c>
      <c r="M379" t="n">
        <v>0</v>
      </c>
      <c r="N379" t="n">
        <v>0</v>
      </c>
      <c r="O379" t="n">
        <v>0</v>
      </c>
      <c r="P379" t="n">
        <v>0</v>
      </c>
      <c r="Q379" t="n">
        <v>0</v>
      </c>
      <c r="R379" s="2" t="inlineStr"/>
    </row>
    <row r="380" ht="15" customHeight="1">
      <c r="A380" t="inlineStr">
        <is>
          <t>A 30043-2025</t>
        </is>
      </c>
      <c r="B380" s="1" t="n">
        <v>45826</v>
      </c>
      <c r="C380" s="1" t="n">
        <v>45910</v>
      </c>
      <c r="D380" t="inlineStr">
        <is>
          <t>VÄSTERBOTTENS LÄN</t>
        </is>
      </c>
      <c r="E380" t="inlineStr">
        <is>
          <t>ÅSELE</t>
        </is>
      </c>
      <c r="F380" t="inlineStr">
        <is>
          <t>Sveaskog</t>
        </is>
      </c>
      <c r="G380" t="n">
        <v>4</v>
      </c>
      <c r="H380" t="n">
        <v>0</v>
      </c>
      <c r="I380" t="n">
        <v>0</v>
      </c>
      <c r="J380" t="n">
        <v>0</v>
      </c>
      <c r="K380" t="n">
        <v>0</v>
      </c>
      <c r="L380" t="n">
        <v>0</v>
      </c>
      <c r="M380" t="n">
        <v>0</v>
      </c>
      <c r="N380" t="n">
        <v>0</v>
      </c>
      <c r="O380" t="n">
        <v>0</v>
      </c>
      <c r="P380" t="n">
        <v>0</v>
      </c>
      <c r="Q380" t="n">
        <v>0</v>
      </c>
      <c r="R380" s="2" t="inlineStr"/>
    </row>
    <row r="381" ht="15" customHeight="1">
      <c r="A381" t="inlineStr">
        <is>
          <t>A 29978-2025</t>
        </is>
      </c>
      <c r="B381" s="1" t="n">
        <v>45826.49273148148</v>
      </c>
      <c r="C381" s="1" t="n">
        <v>45910</v>
      </c>
      <c r="D381" t="inlineStr">
        <is>
          <t>VÄSTERBOTTENS LÄN</t>
        </is>
      </c>
      <c r="E381" t="inlineStr">
        <is>
          <t>ÅSELE</t>
        </is>
      </c>
      <c r="F381" t="inlineStr">
        <is>
          <t>Sveaskog</t>
        </is>
      </c>
      <c r="G381" t="n">
        <v>4.9</v>
      </c>
      <c r="H381" t="n">
        <v>0</v>
      </c>
      <c r="I381" t="n">
        <v>0</v>
      </c>
      <c r="J381" t="n">
        <v>0</v>
      </c>
      <c r="K381" t="n">
        <v>0</v>
      </c>
      <c r="L381" t="n">
        <v>0</v>
      </c>
      <c r="M381" t="n">
        <v>0</v>
      </c>
      <c r="N381" t="n">
        <v>0</v>
      </c>
      <c r="O381" t="n">
        <v>0</v>
      </c>
      <c r="P381" t="n">
        <v>0</v>
      </c>
      <c r="Q381" t="n">
        <v>0</v>
      </c>
      <c r="R381" s="2" t="inlineStr"/>
    </row>
    <row r="382" ht="15" customHeight="1">
      <c r="A382" t="inlineStr">
        <is>
          <t>A 29998-2025</t>
        </is>
      </c>
      <c r="B382" s="1" t="n">
        <v>45826</v>
      </c>
      <c r="C382" s="1" t="n">
        <v>45910</v>
      </c>
      <c r="D382" t="inlineStr">
        <is>
          <t>VÄSTERBOTTENS LÄN</t>
        </is>
      </c>
      <c r="E382" t="inlineStr">
        <is>
          <t>ÅSELE</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36467-2025</t>
        </is>
      </c>
      <c r="B383" s="1" t="n">
        <v>45869.47054398148</v>
      </c>
      <c r="C383" s="1" t="n">
        <v>45910</v>
      </c>
      <c r="D383" t="inlineStr">
        <is>
          <t>VÄSTERBOTTENS LÄN</t>
        </is>
      </c>
      <c r="E383" t="inlineStr">
        <is>
          <t>ÅSELE</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30037-2025</t>
        </is>
      </c>
      <c r="B384" s="1" t="n">
        <v>45826.57112268519</v>
      </c>
      <c r="C384" s="1" t="n">
        <v>45910</v>
      </c>
      <c r="D384" t="inlineStr">
        <is>
          <t>VÄSTERBOTTENS LÄN</t>
        </is>
      </c>
      <c r="E384" t="inlineStr">
        <is>
          <t>ÅSELE</t>
        </is>
      </c>
      <c r="F384" t="inlineStr">
        <is>
          <t>Sveaskog</t>
        </is>
      </c>
      <c r="G384" t="n">
        <v>8.9</v>
      </c>
      <c r="H384" t="n">
        <v>0</v>
      </c>
      <c r="I384" t="n">
        <v>0</v>
      </c>
      <c r="J384" t="n">
        <v>0</v>
      </c>
      <c r="K384" t="n">
        <v>0</v>
      </c>
      <c r="L384" t="n">
        <v>0</v>
      </c>
      <c r="M384" t="n">
        <v>0</v>
      </c>
      <c r="N384" t="n">
        <v>0</v>
      </c>
      <c r="O384" t="n">
        <v>0</v>
      </c>
      <c r="P384" t="n">
        <v>0</v>
      </c>
      <c r="Q384" t="n">
        <v>0</v>
      </c>
      <c r="R384" s="2" t="inlineStr"/>
    </row>
    <row r="385" ht="15" customHeight="1">
      <c r="A385" t="inlineStr">
        <is>
          <t>A 30183-2025</t>
        </is>
      </c>
      <c r="B385" s="1" t="n">
        <v>45827.34677083333</v>
      </c>
      <c r="C385" s="1" t="n">
        <v>45910</v>
      </c>
      <c r="D385" t="inlineStr">
        <is>
          <t>VÄSTERBOTTENS LÄN</t>
        </is>
      </c>
      <c r="E385" t="inlineStr">
        <is>
          <t>ÅSELE</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30167-2025</t>
        </is>
      </c>
      <c r="B386" s="1" t="n">
        <v>45827</v>
      </c>
      <c r="C386" s="1" t="n">
        <v>45910</v>
      </c>
      <c r="D386" t="inlineStr">
        <is>
          <t>VÄSTERBOTTENS LÄN</t>
        </is>
      </c>
      <c r="E386" t="inlineStr">
        <is>
          <t>ÅSELE</t>
        </is>
      </c>
      <c r="G386" t="n">
        <v>3.1</v>
      </c>
      <c r="H386" t="n">
        <v>0</v>
      </c>
      <c r="I386" t="n">
        <v>0</v>
      </c>
      <c r="J386" t="n">
        <v>0</v>
      </c>
      <c r="K386" t="n">
        <v>0</v>
      </c>
      <c r="L386" t="n">
        <v>0</v>
      </c>
      <c r="M386" t="n">
        <v>0</v>
      </c>
      <c r="N386" t="n">
        <v>0</v>
      </c>
      <c r="O386" t="n">
        <v>0</v>
      </c>
      <c r="P386" t="n">
        <v>0</v>
      </c>
      <c r="Q386" t="n">
        <v>0</v>
      </c>
      <c r="R386" s="2" t="inlineStr"/>
    </row>
    <row r="387" ht="15" customHeight="1">
      <c r="A387" t="inlineStr">
        <is>
          <t>A 29849-2025</t>
        </is>
      </c>
      <c r="B387" s="1" t="n">
        <v>45826.32945601852</v>
      </c>
      <c r="C387" s="1" t="n">
        <v>45910</v>
      </c>
      <c r="D387" t="inlineStr">
        <is>
          <t>VÄSTERBOTTENS LÄN</t>
        </is>
      </c>
      <c r="E387" t="inlineStr">
        <is>
          <t>ÅSELE</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29843-2025</t>
        </is>
      </c>
      <c r="B388" s="1" t="n">
        <v>45826.31524305556</v>
      </c>
      <c r="C388" s="1" t="n">
        <v>45910</v>
      </c>
      <c r="D388" t="inlineStr">
        <is>
          <t>VÄSTERBOTTENS LÄN</t>
        </is>
      </c>
      <c r="E388" t="inlineStr">
        <is>
          <t>ÅSELE</t>
        </is>
      </c>
      <c r="F388" t="inlineStr">
        <is>
          <t>Sveaskog</t>
        </is>
      </c>
      <c r="G388" t="n">
        <v>4.5</v>
      </c>
      <c r="H388" t="n">
        <v>0</v>
      </c>
      <c r="I388" t="n">
        <v>0</v>
      </c>
      <c r="J388" t="n">
        <v>0</v>
      </c>
      <c r="K388" t="n">
        <v>0</v>
      </c>
      <c r="L388" t="n">
        <v>0</v>
      </c>
      <c r="M388" t="n">
        <v>0</v>
      </c>
      <c r="N388" t="n">
        <v>0</v>
      </c>
      <c r="O388" t="n">
        <v>0</v>
      </c>
      <c r="P388" t="n">
        <v>0</v>
      </c>
      <c r="Q388" t="n">
        <v>0</v>
      </c>
      <c r="R388" s="2" t="inlineStr"/>
    </row>
    <row r="389" ht="15" customHeight="1">
      <c r="A389" t="inlineStr">
        <is>
          <t>A 29850-2025</t>
        </is>
      </c>
      <c r="B389" s="1" t="n">
        <v>45826</v>
      </c>
      <c r="C389" s="1" t="n">
        <v>45910</v>
      </c>
      <c r="D389" t="inlineStr">
        <is>
          <t>VÄSTERBOTTENS LÄN</t>
        </is>
      </c>
      <c r="E389" t="inlineStr">
        <is>
          <t>ÅSELE</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29963-2025</t>
        </is>
      </c>
      <c r="B390" s="1" t="n">
        <v>45826.48354166667</v>
      </c>
      <c r="C390" s="1" t="n">
        <v>45910</v>
      </c>
      <c r="D390" t="inlineStr">
        <is>
          <t>VÄSTERBOTTENS LÄN</t>
        </is>
      </c>
      <c r="E390" t="inlineStr">
        <is>
          <t>ÅSELE</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36559-2025</t>
        </is>
      </c>
      <c r="B391" s="1" t="n">
        <v>45870.36071759259</v>
      </c>
      <c r="C391" s="1" t="n">
        <v>45910</v>
      </c>
      <c r="D391" t="inlineStr">
        <is>
          <t>VÄSTERBOTTENS LÄN</t>
        </is>
      </c>
      <c r="E391" t="inlineStr">
        <is>
          <t>ÅSELE</t>
        </is>
      </c>
      <c r="F391" t="inlineStr">
        <is>
          <t>Holmen skog AB</t>
        </is>
      </c>
      <c r="G391" t="n">
        <v>6.6</v>
      </c>
      <c r="H391" t="n">
        <v>0</v>
      </c>
      <c r="I391" t="n">
        <v>0</v>
      </c>
      <c r="J391" t="n">
        <v>0</v>
      </c>
      <c r="K391" t="n">
        <v>0</v>
      </c>
      <c r="L391" t="n">
        <v>0</v>
      </c>
      <c r="M391" t="n">
        <v>0</v>
      </c>
      <c r="N391" t="n">
        <v>0</v>
      </c>
      <c r="O391" t="n">
        <v>0</v>
      </c>
      <c r="P391" t="n">
        <v>0</v>
      </c>
      <c r="Q391" t="n">
        <v>0</v>
      </c>
      <c r="R391" s="2" t="inlineStr"/>
    </row>
    <row r="392" ht="15" customHeight="1">
      <c r="A392" t="inlineStr">
        <is>
          <t>A 30779-2025</t>
        </is>
      </c>
      <c r="B392" s="1" t="n">
        <v>45831.62219907407</v>
      </c>
      <c r="C392" s="1" t="n">
        <v>45910</v>
      </c>
      <c r="D392" t="inlineStr">
        <is>
          <t>VÄSTERBOTTENS LÄN</t>
        </is>
      </c>
      <c r="E392" t="inlineStr">
        <is>
          <t>ÅSELE</t>
        </is>
      </c>
      <c r="F392" t="inlineStr">
        <is>
          <t>Sveaskog</t>
        </is>
      </c>
      <c r="G392" t="n">
        <v>21.6</v>
      </c>
      <c r="H392" t="n">
        <v>0</v>
      </c>
      <c r="I392" t="n">
        <v>0</v>
      </c>
      <c r="J392" t="n">
        <v>0</v>
      </c>
      <c r="K392" t="n">
        <v>0</v>
      </c>
      <c r="L392" t="n">
        <v>0</v>
      </c>
      <c r="M392" t="n">
        <v>0</v>
      </c>
      <c r="N392" t="n">
        <v>0</v>
      </c>
      <c r="O392" t="n">
        <v>0</v>
      </c>
      <c r="P392" t="n">
        <v>0</v>
      </c>
      <c r="Q392" t="n">
        <v>0</v>
      </c>
      <c r="R392" s="2" t="inlineStr"/>
    </row>
    <row r="393" ht="15" customHeight="1">
      <c r="A393" t="inlineStr">
        <is>
          <t>A 45298-2024</t>
        </is>
      </c>
      <c r="B393" s="1" t="n">
        <v>45576</v>
      </c>
      <c r="C393" s="1" t="n">
        <v>45910</v>
      </c>
      <c r="D393" t="inlineStr">
        <is>
          <t>VÄSTERBOTTENS LÄN</t>
        </is>
      </c>
      <c r="E393" t="inlineStr">
        <is>
          <t>ÅSELE</t>
        </is>
      </c>
      <c r="F393" t="inlineStr">
        <is>
          <t>Sveaskog</t>
        </is>
      </c>
      <c r="G393" t="n">
        <v>5.8</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45910</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24444-2024</t>
        </is>
      </c>
      <c r="B395" s="1" t="n">
        <v>45457.96425925926</v>
      </c>
      <c r="C395" s="1" t="n">
        <v>45910</v>
      </c>
      <c r="D395" t="inlineStr">
        <is>
          <t>VÄSTERBOTTENS LÄN</t>
        </is>
      </c>
      <c r="E395" t="inlineStr">
        <is>
          <t>ÅSELE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30701-2025</t>
        </is>
      </c>
      <c r="B396" s="1" t="n">
        <v>45831</v>
      </c>
      <c r="C396" s="1" t="n">
        <v>45910</v>
      </c>
      <c r="D396" t="inlineStr">
        <is>
          <t>VÄSTERBOTTENS LÄN</t>
        </is>
      </c>
      <c r="E396" t="inlineStr">
        <is>
          <t>ÅSELE</t>
        </is>
      </c>
      <c r="F396" t="inlineStr">
        <is>
          <t>Sveaskog</t>
        </is>
      </c>
      <c r="G396" t="n">
        <v>14.2</v>
      </c>
      <c r="H396" t="n">
        <v>0</v>
      </c>
      <c r="I396" t="n">
        <v>0</v>
      </c>
      <c r="J396" t="n">
        <v>0</v>
      </c>
      <c r="K396" t="n">
        <v>0</v>
      </c>
      <c r="L396" t="n">
        <v>0</v>
      </c>
      <c r="M396" t="n">
        <v>0</v>
      </c>
      <c r="N396" t="n">
        <v>0</v>
      </c>
      <c r="O396" t="n">
        <v>0</v>
      </c>
      <c r="P396" t="n">
        <v>0</v>
      </c>
      <c r="Q396" t="n">
        <v>0</v>
      </c>
      <c r="R396" s="2" t="inlineStr"/>
    </row>
    <row r="397" ht="15" customHeight="1">
      <c r="A397" t="inlineStr">
        <is>
          <t>A 30763-2025</t>
        </is>
      </c>
      <c r="B397" s="1" t="n">
        <v>45831.60331018519</v>
      </c>
      <c r="C397" s="1" t="n">
        <v>45910</v>
      </c>
      <c r="D397" t="inlineStr">
        <is>
          <t>VÄSTERBOTTENS LÄN</t>
        </is>
      </c>
      <c r="E397" t="inlineStr">
        <is>
          <t>ÅSELE</t>
        </is>
      </c>
      <c r="F397" t="inlineStr">
        <is>
          <t>Sveaskog</t>
        </is>
      </c>
      <c r="G397" t="n">
        <v>15.1</v>
      </c>
      <c r="H397" t="n">
        <v>0</v>
      </c>
      <c r="I397" t="n">
        <v>0</v>
      </c>
      <c r="J397" t="n">
        <v>0</v>
      </c>
      <c r="K397" t="n">
        <v>0</v>
      </c>
      <c r="L397" t="n">
        <v>0</v>
      </c>
      <c r="M397" t="n">
        <v>0</v>
      </c>
      <c r="N397" t="n">
        <v>0</v>
      </c>
      <c r="O397" t="n">
        <v>0</v>
      </c>
      <c r="P397" t="n">
        <v>0</v>
      </c>
      <c r="Q397" t="n">
        <v>0</v>
      </c>
      <c r="R397" s="2" t="inlineStr"/>
    </row>
    <row r="398" ht="15" customHeight="1">
      <c r="A398" t="inlineStr">
        <is>
          <t>A 30773-2025</t>
        </is>
      </c>
      <c r="B398" s="1" t="n">
        <v>45831.61457175926</v>
      </c>
      <c r="C398" s="1" t="n">
        <v>45910</v>
      </c>
      <c r="D398" t="inlineStr">
        <is>
          <t>VÄSTERBOTTENS LÄN</t>
        </is>
      </c>
      <c r="E398" t="inlineStr">
        <is>
          <t>ÅSELE</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7475-2025</t>
        </is>
      </c>
      <c r="B399" s="1" t="n">
        <v>45705.46724537037</v>
      </c>
      <c r="C399" s="1" t="n">
        <v>45910</v>
      </c>
      <c r="D399" t="inlineStr">
        <is>
          <t>VÄSTERBOTTENS LÄN</t>
        </is>
      </c>
      <c r="E399" t="inlineStr">
        <is>
          <t>ÅSELE</t>
        </is>
      </c>
      <c r="G399" t="n">
        <v>4.4</v>
      </c>
      <c r="H399" t="n">
        <v>0</v>
      </c>
      <c r="I399" t="n">
        <v>0</v>
      </c>
      <c r="J399" t="n">
        <v>0</v>
      </c>
      <c r="K399" t="n">
        <v>0</v>
      </c>
      <c r="L399" t="n">
        <v>0</v>
      </c>
      <c r="M399" t="n">
        <v>0</v>
      </c>
      <c r="N399" t="n">
        <v>0</v>
      </c>
      <c r="O399" t="n">
        <v>0</v>
      </c>
      <c r="P399" t="n">
        <v>0</v>
      </c>
      <c r="Q399" t="n">
        <v>0</v>
      </c>
      <c r="R399" s="2" t="inlineStr"/>
    </row>
    <row r="400" ht="15" customHeight="1">
      <c r="A400" t="inlineStr">
        <is>
          <t>A 41408-2023</t>
        </is>
      </c>
      <c r="B400" s="1" t="n">
        <v>45174</v>
      </c>
      <c r="C400" s="1" t="n">
        <v>45910</v>
      </c>
      <c r="D400" t="inlineStr">
        <is>
          <t>VÄSTERBOTTENS LÄN</t>
        </is>
      </c>
      <c r="E400" t="inlineStr">
        <is>
          <t>ÅSELE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28955-2024</t>
        </is>
      </c>
      <c r="B401" s="1" t="n">
        <v>45481</v>
      </c>
      <c r="C401" s="1" t="n">
        <v>45910</v>
      </c>
      <c r="D401" t="inlineStr">
        <is>
          <t>VÄSTERBOTTENS LÄN</t>
        </is>
      </c>
      <c r="E401" t="inlineStr">
        <is>
          <t>ÅSELE</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28960-2024</t>
        </is>
      </c>
      <c r="B402" s="1" t="n">
        <v>45481</v>
      </c>
      <c r="C402" s="1" t="n">
        <v>45910</v>
      </c>
      <c r="D402" t="inlineStr">
        <is>
          <t>VÄSTERBOTTENS LÄN</t>
        </is>
      </c>
      <c r="E402" t="inlineStr">
        <is>
          <t>ÅSELE</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28961-2024</t>
        </is>
      </c>
      <c r="B403" s="1" t="n">
        <v>45481</v>
      </c>
      <c r="C403" s="1" t="n">
        <v>45910</v>
      </c>
      <c r="D403" t="inlineStr">
        <is>
          <t>VÄSTERBOTTENS LÄN</t>
        </is>
      </c>
      <c r="E403" t="inlineStr">
        <is>
          <t>ÅSELE</t>
        </is>
      </c>
      <c r="F403" t="inlineStr">
        <is>
          <t>Sveaskog</t>
        </is>
      </c>
      <c r="G403" t="n">
        <v>4.1</v>
      </c>
      <c r="H403" t="n">
        <v>0</v>
      </c>
      <c r="I403" t="n">
        <v>0</v>
      </c>
      <c r="J403" t="n">
        <v>0</v>
      </c>
      <c r="K403" t="n">
        <v>0</v>
      </c>
      <c r="L403" t="n">
        <v>0</v>
      </c>
      <c r="M403" t="n">
        <v>0</v>
      </c>
      <c r="N403" t="n">
        <v>0</v>
      </c>
      <c r="O403" t="n">
        <v>0</v>
      </c>
      <c r="P403" t="n">
        <v>0</v>
      </c>
      <c r="Q403" t="n">
        <v>0</v>
      </c>
      <c r="R403" s="2" t="inlineStr"/>
    </row>
    <row r="404" ht="15" customHeight="1">
      <c r="A404" t="inlineStr">
        <is>
          <t>A 36576-2025</t>
        </is>
      </c>
      <c r="B404" s="1" t="n">
        <v>45870.41331018518</v>
      </c>
      <c r="C404" s="1" t="n">
        <v>45910</v>
      </c>
      <c r="D404" t="inlineStr">
        <is>
          <t>VÄSTERBOTTENS LÄN</t>
        </is>
      </c>
      <c r="E404" t="inlineStr">
        <is>
          <t>ÅSELE</t>
        </is>
      </c>
      <c r="F404" t="inlineStr">
        <is>
          <t>Holmen skog AB</t>
        </is>
      </c>
      <c r="G404" t="n">
        <v>7.7</v>
      </c>
      <c r="H404" t="n">
        <v>0</v>
      </c>
      <c r="I404" t="n">
        <v>0</v>
      </c>
      <c r="J404" t="n">
        <v>0</v>
      </c>
      <c r="K404" t="n">
        <v>0</v>
      </c>
      <c r="L404" t="n">
        <v>0</v>
      </c>
      <c r="M404" t="n">
        <v>0</v>
      </c>
      <c r="N404" t="n">
        <v>0</v>
      </c>
      <c r="O404" t="n">
        <v>0</v>
      </c>
      <c r="P404" t="n">
        <v>0</v>
      </c>
      <c r="Q404" t="n">
        <v>0</v>
      </c>
      <c r="R404" s="2" t="inlineStr"/>
    </row>
    <row r="405" ht="15" customHeight="1">
      <c r="A405" t="inlineStr">
        <is>
          <t>A 36609-2025</t>
        </is>
      </c>
      <c r="B405" s="1" t="n">
        <v>45870.57207175926</v>
      </c>
      <c r="C405" s="1" t="n">
        <v>45910</v>
      </c>
      <c r="D405" t="inlineStr">
        <is>
          <t>VÄSTERBOTTENS LÄN</t>
        </is>
      </c>
      <c r="E405" t="inlineStr">
        <is>
          <t>ÅSELE</t>
        </is>
      </c>
      <c r="F405" t="inlineStr">
        <is>
          <t>Holmen skog AB</t>
        </is>
      </c>
      <c r="G405" t="n">
        <v>1.5</v>
      </c>
      <c r="H405" t="n">
        <v>0</v>
      </c>
      <c r="I405" t="n">
        <v>0</v>
      </c>
      <c r="J405" t="n">
        <v>0</v>
      </c>
      <c r="K405" t="n">
        <v>0</v>
      </c>
      <c r="L405" t="n">
        <v>0</v>
      </c>
      <c r="M405" t="n">
        <v>0</v>
      </c>
      <c r="N405" t="n">
        <v>0</v>
      </c>
      <c r="O405" t="n">
        <v>0</v>
      </c>
      <c r="P405" t="n">
        <v>0</v>
      </c>
      <c r="Q405" t="n">
        <v>0</v>
      </c>
      <c r="R405" s="2" t="inlineStr"/>
    </row>
    <row r="406" ht="15" customHeight="1">
      <c r="A406" t="inlineStr">
        <is>
          <t>A 13348-2023</t>
        </is>
      </c>
      <c r="B406" s="1" t="n">
        <v>45005</v>
      </c>
      <c r="C406" s="1" t="n">
        <v>45910</v>
      </c>
      <c r="D406" t="inlineStr">
        <is>
          <t>VÄSTERBOTTENS LÄN</t>
        </is>
      </c>
      <c r="E406" t="inlineStr">
        <is>
          <t>ÅSELE</t>
        </is>
      </c>
      <c r="G406" t="n">
        <v>4.5</v>
      </c>
      <c r="H406" t="n">
        <v>0</v>
      </c>
      <c r="I406" t="n">
        <v>0</v>
      </c>
      <c r="J406" t="n">
        <v>0</v>
      </c>
      <c r="K406" t="n">
        <v>0</v>
      </c>
      <c r="L406" t="n">
        <v>0</v>
      </c>
      <c r="M406" t="n">
        <v>0</v>
      </c>
      <c r="N406" t="n">
        <v>0</v>
      </c>
      <c r="O406" t="n">
        <v>0</v>
      </c>
      <c r="P406" t="n">
        <v>0</v>
      </c>
      <c r="Q406" t="n">
        <v>0</v>
      </c>
      <c r="R406" s="2" t="inlineStr"/>
    </row>
    <row r="407" ht="15" customHeight="1">
      <c r="A407" t="inlineStr">
        <is>
          <t>A 50420-2024</t>
        </is>
      </c>
      <c r="B407" s="1" t="n">
        <v>45601</v>
      </c>
      <c r="C407" s="1" t="n">
        <v>45910</v>
      </c>
      <c r="D407" t="inlineStr">
        <is>
          <t>VÄSTERBOTTENS LÄN</t>
        </is>
      </c>
      <c r="E407" t="inlineStr">
        <is>
          <t>ÅSELE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48206-2024</t>
        </is>
      </c>
      <c r="B408" s="1" t="n">
        <v>45590</v>
      </c>
      <c r="C408" s="1" t="n">
        <v>45910</v>
      </c>
      <c r="D408" t="inlineStr">
        <is>
          <t>VÄSTERBOTTENS LÄN</t>
        </is>
      </c>
      <c r="E408" t="inlineStr">
        <is>
          <t>ÅSELE</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48209-2024</t>
        </is>
      </c>
      <c r="B409" s="1" t="n">
        <v>45590</v>
      </c>
      <c r="C409" s="1" t="n">
        <v>45910</v>
      </c>
      <c r="D409" t="inlineStr">
        <is>
          <t>VÄSTERBOTTENS LÄN</t>
        </is>
      </c>
      <c r="E409" t="inlineStr">
        <is>
          <t>ÅSELE</t>
        </is>
      </c>
      <c r="F409" t="inlineStr">
        <is>
          <t>SCA</t>
        </is>
      </c>
      <c r="G409" t="n">
        <v>5.4</v>
      </c>
      <c r="H409" t="n">
        <v>0</v>
      </c>
      <c r="I409" t="n">
        <v>0</v>
      </c>
      <c r="J409" t="n">
        <v>0</v>
      </c>
      <c r="K409" t="n">
        <v>0</v>
      </c>
      <c r="L409" t="n">
        <v>0</v>
      </c>
      <c r="M409" t="n">
        <v>0</v>
      </c>
      <c r="N409" t="n">
        <v>0</v>
      </c>
      <c r="O409" t="n">
        <v>0</v>
      </c>
      <c r="P409" t="n">
        <v>0</v>
      </c>
      <c r="Q409" t="n">
        <v>0</v>
      </c>
      <c r="R409" s="2" t="inlineStr"/>
    </row>
    <row r="410" ht="15" customHeight="1">
      <c r="A410" t="inlineStr">
        <is>
          <t>A 36837-2025</t>
        </is>
      </c>
      <c r="B410" s="1" t="n">
        <v>45874.36677083333</v>
      </c>
      <c r="C410" s="1" t="n">
        <v>45910</v>
      </c>
      <c r="D410" t="inlineStr">
        <is>
          <t>VÄSTERBOTTENS LÄN</t>
        </is>
      </c>
      <c r="E410" t="inlineStr">
        <is>
          <t>ÅSELE</t>
        </is>
      </c>
      <c r="G410" t="n">
        <v>8.4</v>
      </c>
      <c r="H410" t="n">
        <v>0</v>
      </c>
      <c r="I410" t="n">
        <v>0</v>
      </c>
      <c r="J410" t="n">
        <v>0</v>
      </c>
      <c r="K410" t="n">
        <v>0</v>
      </c>
      <c r="L410" t="n">
        <v>0</v>
      </c>
      <c r="M410" t="n">
        <v>0</v>
      </c>
      <c r="N410" t="n">
        <v>0</v>
      </c>
      <c r="O410" t="n">
        <v>0</v>
      </c>
      <c r="P410" t="n">
        <v>0</v>
      </c>
      <c r="Q410" t="n">
        <v>0</v>
      </c>
      <c r="R410" s="2" t="inlineStr"/>
    </row>
    <row r="411" ht="15" customHeight="1">
      <c r="A411" t="inlineStr">
        <is>
          <t>A 36952-2025</t>
        </is>
      </c>
      <c r="B411" s="1" t="n">
        <v>45874.6078587963</v>
      </c>
      <c r="C411" s="1" t="n">
        <v>45910</v>
      </c>
      <c r="D411" t="inlineStr">
        <is>
          <t>VÄSTERBOTTENS LÄN</t>
        </is>
      </c>
      <c r="E411" t="inlineStr">
        <is>
          <t>ÅSELE</t>
        </is>
      </c>
      <c r="G411" t="n">
        <v>10.6</v>
      </c>
      <c r="H411" t="n">
        <v>0</v>
      </c>
      <c r="I411" t="n">
        <v>0</v>
      </c>
      <c r="J411" t="n">
        <v>0</v>
      </c>
      <c r="K411" t="n">
        <v>0</v>
      </c>
      <c r="L411" t="n">
        <v>0</v>
      </c>
      <c r="M411" t="n">
        <v>0</v>
      </c>
      <c r="N411" t="n">
        <v>0</v>
      </c>
      <c r="O411" t="n">
        <v>0</v>
      </c>
      <c r="P411" t="n">
        <v>0</v>
      </c>
      <c r="Q411" t="n">
        <v>0</v>
      </c>
      <c r="R411" s="2" t="inlineStr"/>
    </row>
    <row r="412" ht="15" customHeight="1">
      <c r="A412" t="inlineStr">
        <is>
          <t>A 31278-2025</t>
        </is>
      </c>
      <c r="B412" s="1" t="n">
        <v>45833.34509259259</v>
      </c>
      <c r="C412" s="1" t="n">
        <v>45910</v>
      </c>
      <c r="D412" t="inlineStr">
        <is>
          <t>VÄSTERBOTTENS LÄN</t>
        </is>
      </c>
      <c r="E412" t="inlineStr">
        <is>
          <t>ÅSELE</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20384-2025</t>
        </is>
      </c>
      <c r="B413" s="1" t="n">
        <v>45775.44128472222</v>
      </c>
      <c r="C413" s="1" t="n">
        <v>45910</v>
      </c>
      <c r="D413" t="inlineStr">
        <is>
          <t>VÄSTERBOTTENS LÄN</t>
        </is>
      </c>
      <c r="E413" t="inlineStr">
        <is>
          <t>ÅSELE</t>
        </is>
      </c>
      <c r="G413" t="n">
        <v>12.6</v>
      </c>
      <c r="H413" t="n">
        <v>0</v>
      </c>
      <c r="I413" t="n">
        <v>0</v>
      </c>
      <c r="J413" t="n">
        <v>0</v>
      </c>
      <c r="K413" t="n">
        <v>0</v>
      </c>
      <c r="L413" t="n">
        <v>0</v>
      </c>
      <c r="M413" t="n">
        <v>0</v>
      </c>
      <c r="N413" t="n">
        <v>0</v>
      </c>
      <c r="O413" t="n">
        <v>0</v>
      </c>
      <c r="P413" t="n">
        <v>0</v>
      </c>
      <c r="Q413" t="n">
        <v>0</v>
      </c>
      <c r="R413" s="2" t="inlineStr"/>
    </row>
    <row r="414" ht="15" customHeight="1">
      <c r="A414" t="inlineStr">
        <is>
          <t>A 50419-2024</t>
        </is>
      </c>
      <c r="B414" s="1" t="n">
        <v>45601</v>
      </c>
      <c r="C414" s="1" t="n">
        <v>45910</v>
      </c>
      <c r="D414" t="inlineStr">
        <is>
          <t>VÄSTERBOTTENS LÄN</t>
        </is>
      </c>
      <c r="E414" t="inlineStr">
        <is>
          <t>ÅSELE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50539-2022</t>
        </is>
      </c>
      <c r="B415" s="1" t="n">
        <v>44866</v>
      </c>
      <c r="C415" s="1" t="n">
        <v>45910</v>
      </c>
      <c r="D415" t="inlineStr">
        <is>
          <t>VÄSTERBOTTENS LÄN</t>
        </is>
      </c>
      <c r="E415" t="inlineStr">
        <is>
          <t>ÅSELE</t>
        </is>
      </c>
      <c r="F415" t="inlineStr">
        <is>
          <t>Holmen skog AB</t>
        </is>
      </c>
      <c r="G415" t="n">
        <v>4.9</v>
      </c>
      <c r="H415" t="n">
        <v>0</v>
      </c>
      <c r="I415" t="n">
        <v>0</v>
      </c>
      <c r="J415" t="n">
        <v>0</v>
      </c>
      <c r="K415" t="n">
        <v>0</v>
      </c>
      <c r="L415" t="n">
        <v>0</v>
      </c>
      <c r="M415" t="n">
        <v>0</v>
      </c>
      <c r="N415" t="n">
        <v>0</v>
      </c>
      <c r="O415" t="n">
        <v>0</v>
      </c>
      <c r="P415" t="n">
        <v>0</v>
      </c>
      <c r="Q415" t="n">
        <v>0</v>
      </c>
      <c r="R415" s="2" t="inlineStr"/>
    </row>
    <row r="416" ht="15" customHeight="1">
      <c r="A416" t="inlineStr">
        <is>
          <t>A 61800-2023</t>
        </is>
      </c>
      <c r="B416" s="1" t="n">
        <v>45265.95873842593</v>
      </c>
      <c r="C416" s="1" t="n">
        <v>45910</v>
      </c>
      <c r="D416" t="inlineStr">
        <is>
          <t>VÄSTERBOTTENS LÄN</t>
        </is>
      </c>
      <c r="E416" t="inlineStr">
        <is>
          <t>ÅSELE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61801-2023</t>
        </is>
      </c>
      <c r="B417" s="1" t="n">
        <v>45265.95881944444</v>
      </c>
      <c r="C417" s="1" t="n">
        <v>45910</v>
      </c>
      <c r="D417" t="inlineStr">
        <is>
          <t>VÄSTERBOTTENS LÄN</t>
        </is>
      </c>
      <c r="E417" t="inlineStr">
        <is>
          <t>ÅSELE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31445-2025</t>
        </is>
      </c>
      <c r="B418" s="1" t="n">
        <v>45833.51791666666</v>
      </c>
      <c r="C418" s="1" t="n">
        <v>45910</v>
      </c>
      <c r="D418" t="inlineStr">
        <is>
          <t>VÄSTERBOTTENS LÄN</t>
        </is>
      </c>
      <c r="E418" t="inlineStr">
        <is>
          <t>ÅSELE</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51544-2024</t>
        </is>
      </c>
      <c r="B419" s="1" t="n">
        <v>45604</v>
      </c>
      <c r="C419" s="1" t="n">
        <v>45910</v>
      </c>
      <c r="D419" t="inlineStr">
        <is>
          <t>VÄSTERBOTTENS LÄN</t>
        </is>
      </c>
      <c r="E419" t="inlineStr">
        <is>
          <t>ÅSELE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48051-2024</t>
        </is>
      </c>
      <c r="B420" s="1" t="n">
        <v>45589</v>
      </c>
      <c r="C420" s="1" t="n">
        <v>45910</v>
      </c>
      <c r="D420" t="inlineStr">
        <is>
          <t>VÄSTERBOTTENS LÄN</t>
        </is>
      </c>
      <c r="E420" t="inlineStr">
        <is>
          <t>ÅSELE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30940-2025</t>
        </is>
      </c>
      <c r="B421" s="1" t="n">
        <v>45832</v>
      </c>
      <c r="C421" s="1" t="n">
        <v>45910</v>
      </c>
      <c r="D421" t="inlineStr">
        <is>
          <t>VÄSTERBOTTENS LÄN</t>
        </is>
      </c>
      <c r="E421" t="inlineStr">
        <is>
          <t>ÅSELE</t>
        </is>
      </c>
      <c r="G421" t="n">
        <v>10.1</v>
      </c>
      <c r="H421" t="n">
        <v>0</v>
      </c>
      <c r="I421" t="n">
        <v>0</v>
      </c>
      <c r="J421" t="n">
        <v>0</v>
      </c>
      <c r="K421" t="n">
        <v>0</v>
      </c>
      <c r="L421" t="n">
        <v>0</v>
      </c>
      <c r="M421" t="n">
        <v>0</v>
      </c>
      <c r="N421" t="n">
        <v>0</v>
      </c>
      <c r="O421" t="n">
        <v>0</v>
      </c>
      <c r="P421" t="n">
        <v>0</v>
      </c>
      <c r="Q421" t="n">
        <v>0</v>
      </c>
      <c r="R421" s="2" t="inlineStr"/>
    </row>
    <row r="422" ht="15" customHeight="1">
      <c r="A422" t="inlineStr">
        <is>
          <t>A 31219-2025</t>
        </is>
      </c>
      <c r="B422" s="1" t="n">
        <v>45832</v>
      </c>
      <c r="C422" s="1" t="n">
        <v>45910</v>
      </c>
      <c r="D422" t="inlineStr">
        <is>
          <t>VÄSTERBOTTENS LÄN</t>
        </is>
      </c>
      <c r="E422" t="inlineStr">
        <is>
          <t>ÅSELE</t>
        </is>
      </c>
      <c r="G422" t="n">
        <v>3.1</v>
      </c>
      <c r="H422" t="n">
        <v>0</v>
      </c>
      <c r="I422" t="n">
        <v>0</v>
      </c>
      <c r="J422" t="n">
        <v>0</v>
      </c>
      <c r="K422" t="n">
        <v>0</v>
      </c>
      <c r="L422" t="n">
        <v>0</v>
      </c>
      <c r="M422" t="n">
        <v>0</v>
      </c>
      <c r="N422" t="n">
        <v>0</v>
      </c>
      <c r="O422" t="n">
        <v>0</v>
      </c>
      <c r="P422" t="n">
        <v>0</v>
      </c>
      <c r="Q422" t="n">
        <v>0</v>
      </c>
      <c r="R422" s="2" t="inlineStr"/>
    </row>
    <row r="423" ht="15" customHeight="1">
      <c r="A423" t="inlineStr">
        <is>
          <t>A 32561-2023</t>
        </is>
      </c>
      <c r="B423" s="1" t="n">
        <v>45121.45128472222</v>
      </c>
      <c r="C423" s="1" t="n">
        <v>45910</v>
      </c>
      <c r="D423" t="inlineStr">
        <is>
          <t>VÄSTERBOTTENS LÄN</t>
        </is>
      </c>
      <c r="E423" t="inlineStr">
        <is>
          <t>ÅSELE</t>
        </is>
      </c>
      <c r="F423" t="inlineStr">
        <is>
          <t>Naturvårdsverket</t>
        </is>
      </c>
      <c r="G423" t="n">
        <v>2.5</v>
      </c>
      <c r="H423" t="n">
        <v>0</v>
      </c>
      <c r="I423" t="n">
        <v>0</v>
      </c>
      <c r="J423" t="n">
        <v>0</v>
      </c>
      <c r="K423" t="n">
        <v>0</v>
      </c>
      <c r="L423" t="n">
        <v>0</v>
      </c>
      <c r="M423" t="n">
        <v>0</v>
      </c>
      <c r="N423" t="n">
        <v>0</v>
      </c>
      <c r="O423" t="n">
        <v>0</v>
      </c>
      <c r="P423" t="n">
        <v>0</v>
      </c>
      <c r="Q423" t="n">
        <v>0</v>
      </c>
      <c r="R423" s="2" t="inlineStr"/>
    </row>
    <row r="424" ht="15" customHeight="1">
      <c r="A424" t="inlineStr">
        <is>
          <t>A 31313-2025</t>
        </is>
      </c>
      <c r="B424" s="1" t="n">
        <v>45833.39784722222</v>
      </c>
      <c r="C424" s="1" t="n">
        <v>45910</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22078-2023</t>
        </is>
      </c>
      <c r="B425" s="1" t="n">
        <v>45068</v>
      </c>
      <c r="C425" s="1" t="n">
        <v>45910</v>
      </c>
      <c r="D425" t="inlineStr">
        <is>
          <t>VÄSTERBOTTENS LÄN</t>
        </is>
      </c>
      <c r="E425" t="inlineStr">
        <is>
          <t>ÅSELE</t>
        </is>
      </c>
      <c r="G425" t="n">
        <v>2.7</v>
      </c>
      <c r="H425" t="n">
        <v>0</v>
      </c>
      <c r="I425" t="n">
        <v>0</v>
      </c>
      <c r="J425" t="n">
        <v>0</v>
      </c>
      <c r="K425" t="n">
        <v>0</v>
      </c>
      <c r="L425" t="n">
        <v>0</v>
      </c>
      <c r="M425" t="n">
        <v>0</v>
      </c>
      <c r="N425" t="n">
        <v>0</v>
      </c>
      <c r="O425" t="n">
        <v>0</v>
      </c>
      <c r="P425" t="n">
        <v>0</v>
      </c>
      <c r="Q425" t="n">
        <v>0</v>
      </c>
      <c r="R425" s="2" t="inlineStr"/>
    </row>
    <row r="426" ht="15" customHeight="1">
      <c r="A426" t="inlineStr">
        <is>
          <t>A 25553-2024</t>
        </is>
      </c>
      <c r="B426" s="1" t="n">
        <v>45463.57846064815</v>
      </c>
      <c r="C426" s="1" t="n">
        <v>45910</v>
      </c>
      <c r="D426" t="inlineStr">
        <is>
          <t>VÄSTERBOTTENS LÄN</t>
        </is>
      </c>
      <c r="E426" t="inlineStr">
        <is>
          <t>ÅSELE</t>
        </is>
      </c>
      <c r="F426" t="inlineStr">
        <is>
          <t>Sveaskog</t>
        </is>
      </c>
      <c r="G426" t="n">
        <v>13.5</v>
      </c>
      <c r="H426" t="n">
        <v>0</v>
      </c>
      <c r="I426" t="n">
        <v>0</v>
      </c>
      <c r="J426" t="n">
        <v>0</v>
      </c>
      <c r="K426" t="n">
        <v>0</v>
      </c>
      <c r="L426" t="n">
        <v>0</v>
      </c>
      <c r="M426" t="n">
        <v>0</v>
      </c>
      <c r="N426" t="n">
        <v>0</v>
      </c>
      <c r="O426" t="n">
        <v>0</v>
      </c>
      <c r="P426" t="n">
        <v>0</v>
      </c>
      <c r="Q426" t="n">
        <v>0</v>
      </c>
      <c r="R426" s="2" t="inlineStr"/>
    </row>
    <row r="427" ht="15" customHeight="1">
      <c r="A427" t="inlineStr">
        <is>
          <t>A 22267-2023</t>
        </is>
      </c>
      <c r="B427" s="1" t="n">
        <v>45068</v>
      </c>
      <c r="C427" s="1" t="n">
        <v>45910</v>
      </c>
      <c r="D427" t="inlineStr">
        <is>
          <t>VÄSTERBOTTENS LÄN</t>
        </is>
      </c>
      <c r="E427" t="inlineStr">
        <is>
          <t>ÅSELE</t>
        </is>
      </c>
      <c r="G427" t="n">
        <v>2.1</v>
      </c>
      <c r="H427" t="n">
        <v>0</v>
      </c>
      <c r="I427" t="n">
        <v>0</v>
      </c>
      <c r="J427" t="n">
        <v>0</v>
      </c>
      <c r="K427" t="n">
        <v>0</v>
      </c>
      <c r="L427" t="n">
        <v>0</v>
      </c>
      <c r="M427" t="n">
        <v>0</v>
      </c>
      <c r="N427" t="n">
        <v>0</v>
      </c>
      <c r="O427" t="n">
        <v>0</v>
      </c>
      <c r="P427" t="n">
        <v>0</v>
      </c>
      <c r="Q427" t="n">
        <v>0</v>
      </c>
      <c r="R427" s="2" t="inlineStr"/>
    </row>
    <row r="428" ht="15" customHeight="1">
      <c r="A428" t="inlineStr">
        <is>
          <t>A 48044-2024</t>
        </is>
      </c>
      <c r="B428" s="1" t="n">
        <v>45589</v>
      </c>
      <c r="C428" s="1" t="n">
        <v>45910</v>
      </c>
      <c r="D428" t="inlineStr">
        <is>
          <t>VÄSTERBOTTENS LÄN</t>
        </is>
      </c>
      <c r="E428" t="inlineStr">
        <is>
          <t>ÅSELE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51405-2024</t>
        </is>
      </c>
      <c r="B429" s="1" t="n">
        <v>45604</v>
      </c>
      <c r="C429" s="1" t="n">
        <v>45910</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31217-2025</t>
        </is>
      </c>
      <c r="B430" s="1" t="n">
        <v>45832</v>
      </c>
      <c r="C430" s="1" t="n">
        <v>45910</v>
      </c>
      <c r="D430" t="inlineStr">
        <is>
          <t>VÄSTERBOTTENS LÄN</t>
        </is>
      </c>
      <c r="E430" t="inlineStr">
        <is>
          <t>ÅSELE</t>
        </is>
      </c>
      <c r="G430" t="n">
        <v>10.6</v>
      </c>
      <c r="H430" t="n">
        <v>0</v>
      </c>
      <c r="I430" t="n">
        <v>0</v>
      </c>
      <c r="J430" t="n">
        <v>0</v>
      </c>
      <c r="K430" t="n">
        <v>0</v>
      </c>
      <c r="L430" t="n">
        <v>0</v>
      </c>
      <c r="M430" t="n">
        <v>0</v>
      </c>
      <c r="N430" t="n">
        <v>0</v>
      </c>
      <c r="O430" t="n">
        <v>0</v>
      </c>
      <c r="P430" t="n">
        <v>0</v>
      </c>
      <c r="Q430" t="n">
        <v>0</v>
      </c>
      <c r="R430" s="2" t="inlineStr"/>
    </row>
    <row r="431" ht="15" customHeight="1">
      <c r="A431" t="inlineStr">
        <is>
          <t>A 31224-2025</t>
        </is>
      </c>
      <c r="B431" s="1" t="n">
        <v>45832</v>
      </c>
      <c r="C431" s="1" t="n">
        <v>45910</v>
      </c>
      <c r="D431" t="inlineStr">
        <is>
          <t>VÄSTERBOTTENS LÄN</t>
        </is>
      </c>
      <c r="E431" t="inlineStr">
        <is>
          <t>ÅSELE</t>
        </is>
      </c>
      <c r="G431" t="n">
        <v>17</v>
      </c>
      <c r="H431" t="n">
        <v>0</v>
      </c>
      <c r="I431" t="n">
        <v>0</v>
      </c>
      <c r="J431" t="n">
        <v>0</v>
      </c>
      <c r="K431" t="n">
        <v>0</v>
      </c>
      <c r="L431" t="n">
        <v>0</v>
      </c>
      <c r="M431" t="n">
        <v>0</v>
      </c>
      <c r="N431" t="n">
        <v>0</v>
      </c>
      <c r="O431" t="n">
        <v>0</v>
      </c>
      <c r="P431" t="n">
        <v>0</v>
      </c>
      <c r="Q431" t="n">
        <v>0</v>
      </c>
      <c r="R431" s="2" t="inlineStr"/>
    </row>
    <row r="432" ht="15" customHeight="1">
      <c r="A432" t="inlineStr">
        <is>
          <t>A 31371-2025</t>
        </is>
      </c>
      <c r="B432" s="1" t="n">
        <v>45832</v>
      </c>
      <c r="C432" s="1" t="n">
        <v>45910</v>
      </c>
      <c r="D432" t="inlineStr">
        <is>
          <t>VÄSTERBOTTENS LÄN</t>
        </is>
      </c>
      <c r="E432" t="inlineStr">
        <is>
          <t>ÅSELE</t>
        </is>
      </c>
      <c r="G432" t="n">
        <v>5.9</v>
      </c>
      <c r="H432" t="n">
        <v>0</v>
      </c>
      <c r="I432" t="n">
        <v>0</v>
      </c>
      <c r="J432" t="n">
        <v>0</v>
      </c>
      <c r="K432" t="n">
        <v>0</v>
      </c>
      <c r="L432" t="n">
        <v>0</v>
      </c>
      <c r="M432" t="n">
        <v>0</v>
      </c>
      <c r="N432" t="n">
        <v>0</v>
      </c>
      <c r="O432" t="n">
        <v>0</v>
      </c>
      <c r="P432" t="n">
        <v>0</v>
      </c>
      <c r="Q432" t="n">
        <v>0</v>
      </c>
      <c r="R432" s="2" t="inlineStr"/>
    </row>
    <row r="433" ht="15" customHeight="1">
      <c r="A433" t="inlineStr">
        <is>
          <t>A 36400-2025</t>
        </is>
      </c>
      <c r="B433" s="1" t="n">
        <v>45868</v>
      </c>
      <c r="C433" s="1" t="n">
        <v>45910</v>
      </c>
      <c r="D433" t="inlineStr">
        <is>
          <t>VÄSTERBOTTENS LÄN</t>
        </is>
      </c>
      <c r="E433" t="inlineStr">
        <is>
          <t>ÅSELE</t>
        </is>
      </c>
      <c r="F433" t="inlineStr">
        <is>
          <t>Holmen skog AB</t>
        </is>
      </c>
      <c r="G433" t="n">
        <v>0.7</v>
      </c>
      <c r="H433" t="n">
        <v>0</v>
      </c>
      <c r="I433" t="n">
        <v>0</v>
      </c>
      <c r="J433" t="n">
        <v>0</v>
      </c>
      <c r="K433" t="n">
        <v>0</v>
      </c>
      <c r="L433" t="n">
        <v>0</v>
      </c>
      <c r="M433" t="n">
        <v>0</v>
      </c>
      <c r="N433" t="n">
        <v>0</v>
      </c>
      <c r="O433" t="n">
        <v>0</v>
      </c>
      <c r="P433" t="n">
        <v>0</v>
      </c>
      <c r="Q433" t="n">
        <v>0</v>
      </c>
      <c r="R433" s="2" t="inlineStr"/>
    </row>
    <row r="434" ht="15" customHeight="1">
      <c r="A434" t="inlineStr">
        <is>
          <t>A 30879-2025</t>
        </is>
      </c>
      <c r="B434" s="1" t="n">
        <v>45832.34510416666</v>
      </c>
      <c r="C434" s="1" t="n">
        <v>45910</v>
      </c>
      <c r="D434" t="inlineStr">
        <is>
          <t>VÄSTERBOTTENS LÄN</t>
        </is>
      </c>
      <c r="E434" t="inlineStr">
        <is>
          <t>ÅSELE</t>
        </is>
      </c>
      <c r="F434" t="inlineStr">
        <is>
          <t>SCA</t>
        </is>
      </c>
      <c r="G434" t="n">
        <v>19.5</v>
      </c>
      <c r="H434" t="n">
        <v>0</v>
      </c>
      <c r="I434" t="n">
        <v>0</v>
      </c>
      <c r="J434" t="n">
        <v>0</v>
      </c>
      <c r="K434" t="n">
        <v>0</v>
      </c>
      <c r="L434" t="n">
        <v>0</v>
      </c>
      <c r="M434" t="n">
        <v>0</v>
      </c>
      <c r="N434" t="n">
        <v>0</v>
      </c>
      <c r="O434" t="n">
        <v>0</v>
      </c>
      <c r="P434" t="n">
        <v>0</v>
      </c>
      <c r="Q434" t="n">
        <v>0</v>
      </c>
      <c r="R434" s="2" t="inlineStr"/>
    </row>
    <row r="435" ht="15" customHeight="1">
      <c r="A435" t="inlineStr">
        <is>
          <t>A 48440-2023</t>
        </is>
      </c>
      <c r="B435" s="1" t="n">
        <v>45205</v>
      </c>
      <c r="C435" s="1" t="n">
        <v>45910</v>
      </c>
      <c r="D435" t="inlineStr">
        <is>
          <t>VÄSTERBOTTENS LÄN</t>
        </is>
      </c>
      <c r="E435" t="inlineStr">
        <is>
          <t>ÅSELE</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38590-2021</t>
        </is>
      </c>
      <c r="B436" s="1" t="n">
        <v>44407</v>
      </c>
      <c r="C436" s="1" t="n">
        <v>45910</v>
      </c>
      <c r="D436" t="inlineStr">
        <is>
          <t>VÄSTERBOTTENS LÄN</t>
        </is>
      </c>
      <c r="E436" t="inlineStr">
        <is>
          <t>ÅSELE</t>
        </is>
      </c>
      <c r="F436" t="inlineStr">
        <is>
          <t>SCA</t>
        </is>
      </c>
      <c r="G436" t="n">
        <v>107.3</v>
      </c>
      <c r="H436" t="n">
        <v>0</v>
      </c>
      <c r="I436" t="n">
        <v>0</v>
      </c>
      <c r="J436" t="n">
        <v>0</v>
      </c>
      <c r="K436" t="n">
        <v>0</v>
      </c>
      <c r="L436" t="n">
        <v>0</v>
      </c>
      <c r="M436" t="n">
        <v>0</v>
      </c>
      <c r="N436" t="n">
        <v>0</v>
      </c>
      <c r="O436" t="n">
        <v>0</v>
      </c>
      <c r="P436" t="n">
        <v>0</v>
      </c>
      <c r="Q436" t="n">
        <v>0</v>
      </c>
      <c r="R436" s="2" t="inlineStr"/>
    </row>
    <row r="437" ht="15" customHeight="1">
      <c r="A437" t="inlineStr">
        <is>
          <t>A 36955-2025</t>
        </is>
      </c>
      <c r="B437" s="1" t="n">
        <v>45874.61203703703</v>
      </c>
      <c r="C437" s="1" t="n">
        <v>45910</v>
      </c>
      <c r="D437" t="inlineStr">
        <is>
          <t>VÄSTERBOTTENS LÄN</t>
        </is>
      </c>
      <c r="E437" t="inlineStr">
        <is>
          <t>ÅSELE</t>
        </is>
      </c>
      <c r="G437" t="n">
        <v>0.9</v>
      </c>
      <c r="H437" t="n">
        <v>0</v>
      </c>
      <c r="I437" t="n">
        <v>0</v>
      </c>
      <c r="J437" t="n">
        <v>0</v>
      </c>
      <c r="K437" t="n">
        <v>0</v>
      </c>
      <c r="L437" t="n">
        <v>0</v>
      </c>
      <c r="M437" t="n">
        <v>0</v>
      </c>
      <c r="N437" t="n">
        <v>0</v>
      </c>
      <c r="O437" t="n">
        <v>0</v>
      </c>
      <c r="P437" t="n">
        <v>0</v>
      </c>
      <c r="Q437" t="n">
        <v>0</v>
      </c>
      <c r="R437" s="2" t="inlineStr"/>
    </row>
    <row r="438" ht="15" customHeight="1">
      <c r="A438" t="inlineStr">
        <is>
          <t>A 36852-2023</t>
        </is>
      </c>
      <c r="B438" s="1" t="n">
        <v>45154.54208333333</v>
      </c>
      <c r="C438" s="1" t="n">
        <v>45910</v>
      </c>
      <c r="D438" t="inlineStr">
        <is>
          <t>VÄSTERBOTTENS LÄN</t>
        </is>
      </c>
      <c r="E438" t="inlineStr">
        <is>
          <t>ÅSELE</t>
        </is>
      </c>
      <c r="F438" t="inlineStr">
        <is>
          <t>Holmen skog AB</t>
        </is>
      </c>
      <c r="G438" t="n">
        <v>11.8</v>
      </c>
      <c r="H438" t="n">
        <v>0</v>
      </c>
      <c r="I438" t="n">
        <v>0</v>
      </c>
      <c r="J438" t="n">
        <v>0</v>
      </c>
      <c r="K438" t="n">
        <v>0</v>
      </c>
      <c r="L438" t="n">
        <v>0</v>
      </c>
      <c r="M438" t="n">
        <v>0</v>
      </c>
      <c r="N438" t="n">
        <v>0</v>
      </c>
      <c r="O438" t="n">
        <v>0</v>
      </c>
      <c r="P438" t="n">
        <v>0</v>
      </c>
      <c r="Q438" t="n">
        <v>0</v>
      </c>
      <c r="R438" s="2" t="inlineStr"/>
    </row>
    <row r="439" ht="15" customHeight="1">
      <c r="A439" t="inlineStr">
        <is>
          <t>A 32289-2025</t>
        </is>
      </c>
      <c r="B439" s="1" t="n">
        <v>45835.69831018519</v>
      </c>
      <c r="C439" s="1" t="n">
        <v>45910</v>
      </c>
      <c r="D439" t="inlineStr">
        <is>
          <t>VÄSTERBOTTENS LÄN</t>
        </is>
      </c>
      <c r="E439" t="inlineStr">
        <is>
          <t>ÅSELE</t>
        </is>
      </c>
      <c r="F439" t="inlineStr">
        <is>
          <t>SCA</t>
        </is>
      </c>
      <c r="G439" t="n">
        <v>21.2</v>
      </c>
      <c r="H439" t="n">
        <v>0</v>
      </c>
      <c r="I439" t="n">
        <v>0</v>
      </c>
      <c r="J439" t="n">
        <v>0</v>
      </c>
      <c r="K439" t="n">
        <v>0</v>
      </c>
      <c r="L439" t="n">
        <v>0</v>
      </c>
      <c r="M439" t="n">
        <v>0</v>
      </c>
      <c r="N439" t="n">
        <v>0</v>
      </c>
      <c r="O439" t="n">
        <v>0</v>
      </c>
      <c r="P439" t="n">
        <v>0</v>
      </c>
      <c r="Q439" t="n">
        <v>0</v>
      </c>
      <c r="R439" s="2" t="inlineStr"/>
    </row>
    <row r="440" ht="15" customHeight="1">
      <c r="A440" t="inlineStr">
        <is>
          <t>A 36634-2025</t>
        </is>
      </c>
      <c r="B440" s="1" t="n">
        <v>45870.69335648148</v>
      </c>
      <c r="C440" s="1" t="n">
        <v>45910</v>
      </c>
      <c r="D440" t="inlineStr">
        <is>
          <t>VÄSTERBOTTENS LÄN</t>
        </is>
      </c>
      <c r="E440" t="inlineStr">
        <is>
          <t>ÅSELE</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36413-2025</t>
        </is>
      </c>
      <c r="B441" s="1" t="n">
        <v>45868.69234953704</v>
      </c>
      <c r="C441" s="1" t="n">
        <v>45910</v>
      </c>
      <c r="D441" t="inlineStr">
        <is>
          <t>VÄSTERBOTTENS LÄN</t>
        </is>
      </c>
      <c r="E441" t="inlineStr">
        <is>
          <t>ÅSELE</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22945-2024</t>
        </is>
      </c>
      <c r="B442" s="1" t="n">
        <v>45448.94569444445</v>
      </c>
      <c r="C442" s="1" t="n">
        <v>45910</v>
      </c>
      <c r="D442" t="inlineStr">
        <is>
          <t>VÄSTERBOTTENS LÄN</t>
        </is>
      </c>
      <c r="E442" t="inlineStr">
        <is>
          <t>ÅSELE</t>
        </is>
      </c>
      <c r="F442" t="inlineStr">
        <is>
          <t>SCA</t>
        </is>
      </c>
      <c r="G442" t="n">
        <v>7.5</v>
      </c>
      <c r="H442" t="n">
        <v>0</v>
      </c>
      <c r="I442" t="n">
        <v>0</v>
      </c>
      <c r="J442" t="n">
        <v>0</v>
      </c>
      <c r="K442" t="n">
        <v>0</v>
      </c>
      <c r="L442" t="n">
        <v>0</v>
      </c>
      <c r="M442" t="n">
        <v>0</v>
      </c>
      <c r="N442" t="n">
        <v>0</v>
      </c>
      <c r="O442" t="n">
        <v>0</v>
      </c>
      <c r="P442" t="n">
        <v>0</v>
      </c>
      <c r="Q442" t="n">
        <v>0</v>
      </c>
      <c r="R442" s="2" t="inlineStr"/>
    </row>
    <row r="443" ht="15" customHeight="1">
      <c r="A443" t="inlineStr">
        <is>
          <t>A 3063-2024</t>
        </is>
      </c>
      <c r="B443" s="1" t="n">
        <v>45316</v>
      </c>
      <c r="C443" s="1" t="n">
        <v>45910</v>
      </c>
      <c r="D443" t="inlineStr">
        <is>
          <t>VÄSTERBOTTENS LÄN</t>
        </is>
      </c>
      <c r="E443" t="inlineStr">
        <is>
          <t>ÅSELE</t>
        </is>
      </c>
      <c r="G443" t="n">
        <v>0.5</v>
      </c>
      <c r="H443" t="n">
        <v>0</v>
      </c>
      <c r="I443" t="n">
        <v>0</v>
      </c>
      <c r="J443" t="n">
        <v>0</v>
      </c>
      <c r="K443" t="n">
        <v>0</v>
      </c>
      <c r="L443" t="n">
        <v>0</v>
      </c>
      <c r="M443" t="n">
        <v>0</v>
      </c>
      <c r="N443" t="n">
        <v>0</v>
      </c>
      <c r="O443" t="n">
        <v>0</v>
      </c>
      <c r="P443" t="n">
        <v>0</v>
      </c>
      <c r="Q443" t="n">
        <v>0</v>
      </c>
      <c r="R443" s="2" t="inlineStr"/>
    </row>
    <row r="444" ht="15" customHeight="1">
      <c r="A444" t="inlineStr">
        <is>
          <t>A 33219-2021</t>
        </is>
      </c>
      <c r="B444" s="1" t="n">
        <v>44376.93453703704</v>
      </c>
      <c r="C444" s="1" t="n">
        <v>45910</v>
      </c>
      <c r="D444" t="inlineStr">
        <is>
          <t>VÄSTERBOTTENS LÄN</t>
        </is>
      </c>
      <c r="E444" t="inlineStr">
        <is>
          <t>ÅSELE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4619-2022</t>
        </is>
      </c>
      <c r="B445" s="1" t="n">
        <v>44592</v>
      </c>
      <c r="C445" s="1" t="n">
        <v>45910</v>
      </c>
      <c r="D445" t="inlineStr">
        <is>
          <t>VÄSTERBOTTENS LÄN</t>
        </is>
      </c>
      <c r="E445" t="inlineStr">
        <is>
          <t>ÅSELE</t>
        </is>
      </c>
      <c r="G445" t="n">
        <v>17.6</v>
      </c>
      <c r="H445" t="n">
        <v>0</v>
      </c>
      <c r="I445" t="n">
        <v>0</v>
      </c>
      <c r="J445" t="n">
        <v>0</v>
      </c>
      <c r="K445" t="n">
        <v>0</v>
      </c>
      <c r="L445" t="n">
        <v>0</v>
      </c>
      <c r="M445" t="n">
        <v>0</v>
      </c>
      <c r="N445" t="n">
        <v>0</v>
      </c>
      <c r="O445" t="n">
        <v>0</v>
      </c>
      <c r="P445" t="n">
        <v>0</v>
      </c>
      <c r="Q445" t="n">
        <v>0</v>
      </c>
      <c r="R445" s="2" t="inlineStr"/>
    </row>
    <row r="446" ht="15" customHeight="1">
      <c r="A446" t="inlineStr">
        <is>
          <t>A 4626-2022</t>
        </is>
      </c>
      <c r="B446" s="1" t="n">
        <v>44592</v>
      </c>
      <c r="C446" s="1" t="n">
        <v>45910</v>
      </c>
      <c r="D446" t="inlineStr">
        <is>
          <t>VÄSTERBOTTENS LÄN</t>
        </is>
      </c>
      <c r="E446" t="inlineStr">
        <is>
          <t>ÅSELE</t>
        </is>
      </c>
      <c r="G446" t="n">
        <v>6.2</v>
      </c>
      <c r="H446" t="n">
        <v>0</v>
      </c>
      <c r="I446" t="n">
        <v>0</v>
      </c>
      <c r="J446" t="n">
        <v>0</v>
      </c>
      <c r="K446" t="n">
        <v>0</v>
      </c>
      <c r="L446" t="n">
        <v>0</v>
      </c>
      <c r="M446" t="n">
        <v>0</v>
      </c>
      <c r="N446" t="n">
        <v>0</v>
      </c>
      <c r="O446" t="n">
        <v>0</v>
      </c>
      <c r="P446" t="n">
        <v>0</v>
      </c>
      <c r="Q446" t="n">
        <v>0</v>
      </c>
      <c r="R446" s="2" t="inlineStr"/>
    </row>
    <row r="447" ht="15" customHeight="1">
      <c r="A447" t="inlineStr">
        <is>
          <t>A 29736-2024</t>
        </is>
      </c>
      <c r="B447" s="1" t="n">
        <v>45485.38484953704</v>
      </c>
      <c r="C447" s="1" t="n">
        <v>45910</v>
      </c>
      <c r="D447" t="inlineStr">
        <is>
          <t>VÄSTERBOTTENS LÄN</t>
        </is>
      </c>
      <c r="E447" t="inlineStr">
        <is>
          <t>ÅSELE</t>
        </is>
      </c>
      <c r="G447" t="n">
        <v>0.2</v>
      </c>
      <c r="H447" t="n">
        <v>0</v>
      </c>
      <c r="I447" t="n">
        <v>0</v>
      </c>
      <c r="J447" t="n">
        <v>0</v>
      </c>
      <c r="K447" t="n">
        <v>0</v>
      </c>
      <c r="L447" t="n">
        <v>0</v>
      </c>
      <c r="M447" t="n">
        <v>0</v>
      </c>
      <c r="N447" t="n">
        <v>0</v>
      </c>
      <c r="O447" t="n">
        <v>0</v>
      </c>
      <c r="P447" t="n">
        <v>0</v>
      </c>
      <c r="Q447" t="n">
        <v>0</v>
      </c>
      <c r="R447" s="2" t="inlineStr"/>
    </row>
    <row r="448" ht="15" customHeight="1">
      <c r="A448" t="inlineStr">
        <is>
          <t>A 32143-2025</t>
        </is>
      </c>
      <c r="B448" s="1" t="n">
        <v>45835.52561342593</v>
      </c>
      <c r="C448" s="1" t="n">
        <v>45910</v>
      </c>
      <c r="D448" t="inlineStr">
        <is>
          <t>VÄSTERBOTTENS LÄN</t>
        </is>
      </c>
      <c r="E448" t="inlineStr">
        <is>
          <t>ÅSELE</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61985-2023</t>
        </is>
      </c>
      <c r="B449" s="1" t="n">
        <v>45266.6125</v>
      </c>
      <c r="C449" s="1" t="n">
        <v>45910</v>
      </c>
      <c r="D449" t="inlineStr">
        <is>
          <t>VÄSTERBOTTENS LÄN</t>
        </is>
      </c>
      <c r="E449" t="inlineStr">
        <is>
          <t>ÅSELE</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37363-2025</t>
        </is>
      </c>
      <c r="B450" s="1" t="n">
        <v>45877.31953703704</v>
      </c>
      <c r="C450" s="1" t="n">
        <v>45910</v>
      </c>
      <c r="D450" t="inlineStr">
        <is>
          <t>VÄSTERBOTTENS LÄN</t>
        </is>
      </c>
      <c r="E450" t="inlineStr">
        <is>
          <t>ÅSELE</t>
        </is>
      </c>
      <c r="F450" t="inlineStr">
        <is>
          <t>Naturvårdsverket</t>
        </is>
      </c>
      <c r="G450" t="n">
        <v>19.4</v>
      </c>
      <c r="H450" t="n">
        <v>0</v>
      </c>
      <c r="I450" t="n">
        <v>0</v>
      </c>
      <c r="J450" t="n">
        <v>0</v>
      </c>
      <c r="K450" t="n">
        <v>0</v>
      </c>
      <c r="L450" t="n">
        <v>0</v>
      </c>
      <c r="M450" t="n">
        <v>0</v>
      </c>
      <c r="N450" t="n">
        <v>0</v>
      </c>
      <c r="O450" t="n">
        <v>0</v>
      </c>
      <c r="P450" t="n">
        <v>0</v>
      </c>
      <c r="Q450" t="n">
        <v>0</v>
      </c>
      <c r="R450" s="2" t="inlineStr"/>
    </row>
    <row r="451" ht="15" customHeight="1">
      <c r="A451" t="inlineStr">
        <is>
          <t>A 36376-2025</t>
        </is>
      </c>
      <c r="B451" s="1" t="n">
        <v>45868.56623842593</v>
      </c>
      <c r="C451" s="1" t="n">
        <v>45910</v>
      </c>
      <c r="D451" t="inlineStr">
        <is>
          <t>VÄSTERBOTTENS LÄN</t>
        </is>
      </c>
      <c r="E451" t="inlineStr">
        <is>
          <t>ÅSELE</t>
        </is>
      </c>
      <c r="F451" t="inlineStr">
        <is>
          <t>Holmen skog AB</t>
        </is>
      </c>
      <c r="G451" t="n">
        <v>2.5</v>
      </c>
      <c r="H451" t="n">
        <v>0</v>
      </c>
      <c r="I451" t="n">
        <v>0</v>
      </c>
      <c r="J451" t="n">
        <v>0</v>
      </c>
      <c r="K451" t="n">
        <v>0</v>
      </c>
      <c r="L451" t="n">
        <v>0</v>
      </c>
      <c r="M451" t="n">
        <v>0</v>
      </c>
      <c r="N451" t="n">
        <v>0</v>
      </c>
      <c r="O451" t="n">
        <v>0</v>
      </c>
      <c r="P451" t="n">
        <v>0</v>
      </c>
      <c r="Q451" t="n">
        <v>0</v>
      </c>
      <c r="R451" s="2" t="inlineStr"/>
    </row>
    <row r="452" ht="15" customHeight="1">
      <c r="A452" t="inlineStr">
        <is>
          <t>A 32059-2024</t>
        </is>
      </c>
      <c r="B452" s="1" t="n">
        <v>45510.97013888889</v>
      </c>
      <c r="C452" s="1" t="n">
        <v>45910</v>
      </c>
      <c r="D452" t="inlineStr">
        <is>
          <t>VÄSTERBOTTENS LÄN</t>
        </is>
      </c>
      <c r="E452" t="inlineStr">
        <is>
          <t>ÅSELE</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32259-2025</t>
        </is>
      </c>
      <c r="B453" s="1" t="n">
        <v>45835.64210648148</v>
      </c>
      <c r="C453" s="1" t="n">
        <v>45910</v>
      </c>
      <c r="D453" t="inlineStr">
        <is>
          <t>VÄSTERBOTTENS LÄN</t>
        </is>
      </c>
      <c r="E453" t="inlineStr">
        <is>
          <t>ÅSELE</t>
        </is>
      </c>
      <c r="F453" t="inlineStr">
        <is>
          <t>Naturvårdsverket</t>
        </is>
      </c>
      <c r="G453" t="n">
        <v>63.9</v>
      </c>
      <c r="H453" t="n">
        <v>0</v>
      </c>
      <c r="I453" t="n">
        <v>0</v>
      </c>
      <c r="J453" t="n">
        <v>0</v>
      </c>
      <c r="K453" t="n">
        <v>0</v>
      </c>
      <c r="L453" t="n">
        <v>0</v>
      </c>
      <c r="M453" t="n">
        <v>0</v>
      </c>
      <c r="N453" t="n">
        <v>0</v>
      </c>
      <c r="O453" t="n">
        <v>0</v>
      </c>
      <c r="P453" t="n">
        <v>0</v>
      </c>
      <c r="Q453" t="n">
        <v>0</v>
      </c>
      <c r="R453" s="2" t="inlineStr"/>
    </row>
    <row r="454" ht="15" customHeight="1">
      <c r="A454" t="inlineStr">
        <is>
          <t>A 46691-2023</t>
        </is>
      </c>
      <c r="B454" s="1" t="n">
        <v>45198.52241898148</v>
      </c>
      <c r="C454" s="1" t="n">
        <v>45910</v>
      </c>
      <c r="D454" t="inlineStr">
        <is>
          <t>VÄSTERBOTTENS LÄN</t>
        </is>
      </c>
      <c r="E454" t="inlineStr">
        <is>
          <t>ÅSELE</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37773-2025</t>
        </is>
      </c>
      <c r="B455" s="1" t="n">
        <v>45880.7615162037</v>
      </c>
      <c r="C455" s="1" t="n">
        <v>45910</v>
      </c>
      <c r="D455" t="inlineStr">
        <is>
          <t>VÄSTERBOTTENS LÄN</t>
        </is>
      </c>
      <c r="E455" t="inlineStr">
        <is>
          <t>ÅSELE</t>
        </is>
      </c>
      <c r="G455" t="n">
        <v>1.9</v>
      </c>
      <c r="H455" t="n">
        <v>0</v>
      </c>
      <c r="I455" t="n">
        <v>0</v>
      </c>
      <c r="J455" t="n">
        <v>0</v>
      </c>
      <c r="K455" t="n">
        <v>0</v>
      </c>
      <c r="L455" t="n">
        <v>0</v>
      </c>
      <c r="M455" t="n">
        <v>0</v>
      </c>
      <c r="N455" t="n">
        <v>0</v>
      </c>
      <c r="O455" t="n">
        <v>0</v>
      </c>
      <c r="P455" t="n">
        <v>0</v>
      </c>
      <c r="Q455" t="n">
        <v>0</v>
      </c>
      <c r="R455" s="2" t="inlineStr"/>
    </row>
    <row r="456" ht="15" customHeight="1">
      <c r="A456" t="inlineStr">
        <is>
          <t>A 46173-2023</t>
        </is>
      </c>
      <c r="B456" s="1" t="n">
        <v>45196.6055324074</v>
      </c>
      <c r="C456" s="1" t="n">
        <v>45910</v>
      </c>
      <c r="D456" t="inlineStr">
        <is>
          <t>VÄSTERBOTTENS LÄN</t>
        </is>
      </c>
      <c r="E456" t="inlineStr">
        <is>
          <t>ÅSELE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37822-2025</t>
        </is>
      </c>
      <c r="B457" s="1" t="n">
        <v>45881.40665509259</v>
      </c>
      <c r="C457" s="1" t="n">
        <v>45910</v>
      </c>
      <c r="D457" t="inlineStr">
        <is>
          <t>VÄSTERBOTTENS LÄN</t>
        </is>
      </c>
      <c r="E457" t="inlineStr">
        <is>
          <t>ÅSELE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32648-2025</t>
        </is>
      </c>
      <c r="B458" s="1" t="n">
        <v>45838.67253472222</v>
      </c>
      <c r="C458" s="1" t="n">
        <v>45910</v>
      </c>
      <c r="D458" t="inlineStr">
        <is>
          <t>VÄSTERBOTTENS LÄN</t>
        </is>
      </c>
      <c r="E458" t="inlineStr">
        <is>
          <t>ÅSELE</t>
        </is>
      </c>
      <c r="F458" t="inlineStr">
        <is>
          <t>Holmen skog AB</t>
        </is>
      </c>
      <c r="G458" t="n">
        <v>20</v>
      </c>
      <c r="H458" t="n">
        <v>0</v>
      </c>
      <c r="I458" t="n">
        <v>0</v>
      </c>
      <c r="J458" t="n">
        <v>0</v>
      </c>
      <c r="K458" t="n">
        <v>0</v>
      </c>
      <c r="L458" t="n">
        <v>0</v>
      </c>
      <c r="M458" t="n">
        <v>0</v>
      </c>
      <c r="N458" t="n">
        <v>0</v>
      </c>
      <c r="O458" t="n">
        <v>0</v>
      </c>
      <c r="P458" t="n">
        <v>0</v>
      </c>
      <c r="Q458" t="n">
        <v>0</v>
      </c>
      <c r="R458" s="2" t="inlineStr"/>
    </row>
    <row r="459" ht="15" customHeight="1">
      <c r="A459" t="inlineStr">
        <is>
          <t>A 26677-2023</t>
        </is>
      </c>
      <c r="B459" s="1" t="n">
        <v>45093.31925925926</v>
      </c>
      <c r="C459" s="1" t="n">
        <v>45910</v>
      </c>
      <c r="D459" t="inlineStr">
        <is>
          <t>VÄSTERBOTTENS LÄN</t>
        </is>
      </c>
      <c r="E459" t="inlineStr">
        <is>
          <t>ÅSELE</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32673-2025</t>
        </is>
      </c>
      <c r="B460" s="1" t="n">
        <v>45838.70978009259</v>
      </c>
      <c r="C460" s="1" t="n">
        <v>45910</v>
      </c>
      <c r="D460" t="inlineStr">
        <is>
          <t>VÄSTERBOTTENS LÄN</t>
        </is>
      </c>
      <c r="E460" t="inlineStr">
        <is>
          <t>ÅSELE</t>
        </is>
      </c>
      <c r="F460" t="inlineStr">
        <is>
          <t>Holmen skog AB</t>
        </is>
      </c>
      <c r="G460" t="n">
        <v>16.8</v>
      </c>
      <c r="H460" t="n">
        <v>0</v>
      </c>
      <c r="I460" t="n">
        <v>0</v>
      </c>
      <c r="J460" t="n">
        <v>0</v>
      </c>
      <c r="K460" t="n">
        <v>0</v>
      </c>
      <c r="L460" t="n">
        <v>0</v>
      </c>
      <c r="M460" t="n">
        <v>0</v>
      </c>
      <c r="N460" t="n">
        <v>0</v>
      </c>
      <c r="O460" t="n">
        <v>0</v>
      </c>
      <c r="P460" t="n">
        <v>0</v>
      </c>
      <c r="Q460" t="n">
        <v>0</v>
      </c>
      <c r="R460" s="2" t="inlineStr"/>
    </row>
    <row r="461" ht="15" customHeight="1">
      <c r="A461" t="inlineStr">
        <is>
          <t>A 48488-2023</t>
        </is>
      </c>
      <c r="B461" s="1" t="n">
        <v>45206</v>
      </c>
      <c r="C461" s="1" t="n">
        <v>45910</v>
      </c>
      <c r="D461" t="inlineStr">
        <is>
          <t>VÄSTERBOTTENS LÄN</t>
        </is>
      </c>
      <c r="E461" t="inlineStr">
        <is>
          <t>ÅSELE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38197-2024</t>
        </is>
      </c>
      <c r="B462" s="1" t="n">
        <v>45545</v>
      </c>
      <c r="C462" s="1" t="n">
        <v>45910</v>
      </c>
      <c r="D462" t="inlineStr">
        <is>
          <t>VÄSTERBOTTENS LÄN</t>
        </is>
      </c>
      <c r="E462" t="inlineStr">
        <is>
          <t>ÅSELE</t>
        </is>
      </c>
      <c r="F462" t="inlineStr">
        <is>
          <t>Sveaskog</t>
        </is>
      </c>
      <c r="G462" t="n">
        <v>10.6</v>
      </c>
      <c r="H462" t="n">
        <v>0</v>
      </c>
      <c r="I462" t="n">
        <v>0</v>
      </c>
      <c r="J462" t="n">
        <v>0</v>
      </c>
      <c r="K462" t="n">
        <v>0</v>
      </c>
      <c r="L462" t="n">
        <v>0</v>
      </c>
      <c r="M462" t="n">
        <v>0</v>
      </c>
      <c r="N462" t="n">
        <v>0</v>
      </c>
      <c r="O462" t="n">
        <v>0</v>
      </c>
      <c r="P462" t="n">
        <v>0</v>
      </c>
      <c r="Q462" t="n">
        <v>0</v>
      </c>
      <c r="R462" s="2" t="inlineStr"/>
    </row>
    <row r="463" ht="15" customHeight="1">
      <c r="A463" t="inlineStr">
        <is>
          <t>A 11320-2023</t>
        </is>
      </c>
      <c r="B463" s="1" t="n">
        <v>44993.01296296297</v>
      </c>
      <c r="C463" s="1" t="n">
        <v>45910</v>
      </c>
      <c r="D463" t="inlineStr">
        <is>
          <t>VÄSTERBOTTENS LÄN</t>
        </is>
      </c>
      <c r="E463" t="inlineStr">
        <is>
          <t>ÅSELE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37769-2025</t>
        </is>
      </c>
      <c r="B464" s="1" t="n">
        <v>45880.74818287037</v>
      </c>
      <c r="C464" s="1" t="n">
        <v>45910</v>
      </c>
      <c r="D464" t="inlineStr">
        <is>
          <t>VÄSTERBOTTENS LÄN</t>
        </is>
      </c>
      <c r="E464" t="inlineStr">
        <is>
          <t>ÅSELE</t>
        </is>
      </c>
      <c r="G464" t="n">
        <v>1.2</v>
      </c>
      <c r="H464" t="n">
        <v>0</v>
      </c>
      <c r="I464" t="n">
        <v>0</v>
      </c>
      <c r="J464" t="n">
        <v>0</v>
      </c>
      <c r="K464" t="n">
        <v>0</v>
      </c>
      <c r="L464" t="n">
        <v>0</v>
      </c>
      <c r="M464" t="n">
        <v>0</v>
      </c>
      <c r="N464" t="n">
        <v>0</v>
      </c>
      <c r="O464" t="n">
        <v>0</v>
      </c>
      <c r="P464" t="n">
        <v>0</v>
      </c>
      <c r="Q464" t="n">
        <v>0</v>
      </c>
      <c r="R464" s="2" t="inlineStr"/>
    </row>
    <row r="465" ht="15" customHeight="1">
      <c r="A465" t="inlineStr">
        <is>
          <t>A 52103-2023</t>
        </is>
      </c>
      <c r="B465" s="1" t="n">
        <v>45223</v>
      </c>
      <c r="C465" s="1" t="n">
        <v>45910</v>
      </c>
      <c r="D465" t="inlineStr">
        <is>
          <t>VÄSTERBOTTENS LÄN</t>
        </is>
      </c>
      <c r="E465" t="inlineStr">
        <is>
          <t>ÅSELE</t>
        </is>
      </c>
      <c r="F465" t="inlineStr">
        <is>
          <t>Holmen skog AB</t>
        </is>
      </c>
      <c r="G465" t="n">
        <v>4.1</v>
      </c>
      <c r="H465" t="n">
        <v>0</v>
      </c>
      <c r="I465" t="n">
        <v>0</v>
      </c>
      <c r="J465" t="n">
        <v>0</v>
      </c>
      <c r="K465" t="n">
        <v>0</v>
      </c>
      <c r="L465" t="n">
        <v>0</v>
      </c>
      <c r="M465" t="n">
        <v>0</v>
      </c>
      <c r="N465" t="n">
        <v>0</v>
      </c>
      <c r="O465" t="n">
        <v>0</v>
      </c>
      <c r="P465" t="n">
        <v>0</v>
      </c>
      <c r="Q465" t="n">
        <v>0</v>
      </c>
      <c r="R465" s="2" t="inlineStr"/>
    </row>
    <row r="466" ht="15" customHeight="1">
      <c r="A466" t="inlineStr">
        <is>
          <t>A 32945-2025</t>
        </is>
      </c>
      <c r="B466" s="1" t="n">
        <v>45839.68309027778</v>
      </c>
      <c r="C466" s="1" t="n">
        <v>45910</v>
      </c>
      <c r="D466" t="inlineStr">
        <is>
          <t>VÄSTERBOTTENS LÄN</t>
        </is>
      </c>
      <c r="E466" t="inlineStr">
        <is>
          <t>ÅSELE</t>
        </is>
      </c>
      <c r="F466" t="inlineStr">
        <is>
          <t>Holmen skog AB</t>
        </is>
      </c>
      <c r="G466" t="n">
        <v>2.8</v>
      </c>
      <c r="H466" t="n">
        <v>0</v>
      </c>
      <c r="I466" t="n">
        <v>0</v>
      </c>
      <c r="J466" t="n">
        <v>0</v>
      </c>
      <c r="K466" t="n">
        <v>0</v>
      </c>
      <c r="L466" t="n">
        <v>0</v>
      </c>
      <c r="M466" t="n">
        <v>0</v>
      </c>
      <c r="N466" t="n">
        <v>0</v>
      </c>
      <c r="O466" t="n">
        <v>0</v>
      </c>
      <c r="P466" t="n">
        <v>0</v>
      </c>
      <c r="Q466" t="n">
        <v>0</v>
      </c>
      <c r="R466" s="2" t="inlineStr"/>
    </row>
    <row r="467" ht="15" customHeight="1">
      <c r="A467" t="inlineStr">
        <is>
          <t>A 8722-2025</t>
        </is>
      </c>
      <c r="B467" s="1" t="n">
        <v>45712.51097222222</v>
      </c>
      <c r="C467" s="1" t="n">
        <v>45910</v>
      </c>
      <c r="D467" t="inlineStr">
        <is>
          <t>VÄSTERBOTTENS LÄN</t>
        </is>
      </c>
      <c r="E467" t="inlineStr">
        <is>
          <t>ÅSELE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37772-2025</t>
        </is>
      </c>
      <c r="B468" s="1" t="n">
        <v>45880.75725694445</v>
      </c>
      <c r="C468" s="1" t="n">
        <v>45910</v>
      </c>
      <c r="D468" t="inlineStr">
        <is>
          <t>VÄSTERBOTTENS LÄN</t>
        </is>
      </c>
      <c r="E468" t="inlineStr">
        <is>
          <t>ÅSELE</t>
        </is>
      </c>
      <c r="G468" t="n">
        <v>11.3</v>
      </c>
      <c r="H468" t="n">
        <v>0</v>
      </c>
      <c r="I468" t="n">
        <v>0</v>
      </c>
      <c r="J468" t="n">
        <v>0</v>
      </c>
      <c r="K468" t="n">
        <v>0</v>
      </c>
      <c r="L468" t="n">
        <v>0</v>
      </c>
      <c r="M468" t="n">
        <v>0</v>
      </c>
      <c r="N468" t="n">
        <v>0</v>
      </c>
      <c r="O468" t="n">
        <v>0</v>
      </c>
      <c r="P468" t="n">
        <v>0</v>
      </c>
      <c r="Q468" t="n">
        <v>0</v>
      </c>
      <c r="R468" s="2" t="inlineStr"/>
    </row>
    <row r="469" ht="15" customHeight="1">
      <c r="A469" t="inlineStr">
        <is>
          <t>A 37849-2025</t>
        </is>
      </c>
      <c r="B469" s="1" t="n">
        <v>45881.44828703703</v>
      </c>
      <c r="C469" s="1" t="n">
        <v>45910</v>
      </c>
      <c r="D469" t="inlineStr">
        <is>
          <t>VÄSTERBOTTENS LÄN</t>
        </is>
      </c>
      <c r="E469" t="inlineStr">
        <is>
          <t>ÅSELE</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48328-2024</t>
        </is>
      </c>
      <c r="B470" s="1" t="n">
        <v>45590</v>
      </c>
      <c r="C470" s="1" t="n">
        <v>45910</v>
      </c>
      <c r="D470" t="inlineStr">
        <is>
          <t>VÄSTERBOTTENS LÄN</t>
        </is>
      </c>
      <c r="E470" t="inlineStr">
        <is>
          <t>ÅSELE</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32891-2025</t>
        </is>
      </c>
      <c r="B471" s="1" t="n">
        <v>45839.60825231481</v>
      </c>
      <c r="C471" s="1" t="n">
        <v>45910</v>
      </c>
      <c r="D471" t="inlineStr">
        <is>
          <t>VÄSTERBOTTENS LÄN</t>
        </is>
      </c>
      <c r="E471" t="inlineStr">
        <is>
          <t>ÅSELE</t>
        </is>
      </c>
      <c r="F471" t="inlineStr">
        <is>
          <t>Holmen skog AB</t>
        </is>
      </c>
      <c r="G471" t="n">
        <v>18.8</v>
      </c>
      <c r="H471" t="n">
        <v>0</v>
      </c>
      <c r="I471" t="n">
        <v>0</v>
      </c>
      <c r="J471" t="n">
        <v>0</v>
      </c>
      <c r="K471" t="n">
        <v>0</v>
      </c>
      <c r="L471" t="n">
        <v>0</v>
      </c>
      <c r="M471" t="n">
        <v>0</v>
      </c>
      <c r="N471" t="n">
        <v>0</v>
      </c>
      <c r="O471" t="n">
        <v>0</v>
      </c>
      <c r="P471" t="n">
        <v>0</v>
      </c>
      <c r="Q471" t="n">
        <v>0</v>
      </c>
      <c r="R471" s="2" t="inlineStr"/>
    </row>
    <row r="472" ht="15" customHeight="1">
      <c r="A472" t="inlineStr">
        <is>
          <t>A 60873-2022</t>
        </is>
      </c>
      <c r="B472" s="1" t="n">
        <v>44908</v>
      </c>
      <c r="C472" s="1" t="n">
        <v>45910</v>
      </c>
      <c r="D472" t="inlineStr">
        <is>
          <t>VÄSTERBOTTENS LÄN</t>
        </is>
      </c>
      <c r="E472" t="inlineStr">
        <is>
          <t>ÅSELE</t>
        </is>
      </c>
      <c r="G472" t="n">
        <v>1.6</v>
      </c>
      <c r="H472" t="n">
        <v>0</v>
      </c>
      <c r="I472" t="n">
        <v>0</v>
      </c>
      <c r="J472" t="n">
        <v>0</v>
      </c>
      <c r="K472" t="n">
        <v>0</v>
      </c>
      <c r="L472" t="n">
        <v>0</v>
      </c>
      <c r="M472" t="n">
        <v>0</v>
      </c>
      <c r="N472" t="n">
        <v>0</v>
      </c>
      <c r="O472" t="n">
        <v>0</v>
      </c>
      <c r="P472" t="n">
        <v>0</v>
      </c>
      <c r="Q472" t="n">
        <v>0</v>
      </c>
      <c r="R472" s="2" t="inlineStr"/>
    </row>
    <row r="473" ht="15" customHeight="1">
      <c r="A473" t="inlineStr">
        <is>
          <t>A 32714-2025</t>
        </is>
      </c>
      <c r="B473" s="1" t="n">
        <v>45839.37024305556</v>
      </c>
      <c r="C473" s="1" t="n">
        <v>45910</v>
      </c>
      <c r="D473" t="inlineStr">
        <is>
          <t>VÄSTERBOTTENS LÄN</t>
        </is>
      </c>
      <c r="E473" t="inlineStr">
        <is>
          <t>ÅSELE</t>
        </is>
      </c>
      <c r="G473" t="n">
        <v>19.1</v>
      </c>
      <c r="H473" t="n">
        <v>0</v>
      </c>
      <c r="I473" t="n">
        <v>0</v>
      </c>
      <c r="J473" t="n">
        <v>0</v>
      </c>
      <c r="K473" t="n">
        <v>0</v>
      </c>
      <c r="L473" t="n">
        <v>0</v>
      </c>
      <c r="M473" t="n">
        <v>0</v>
      </c>
      <c r="N473" t="n">
        <v>0</v>
      </c>
      <c r="O473" t="n">
        <v>0</v>
      </c>
      <c r="P473" t="n">
        <v>0</v>
      </c>
      <c r="Q473" t="n">
        <v>0</v>
      </c>
      <c r="R473" s="2" t="inlineStr"/>
    </row>
    <row r="474" ht="15" customHeight="1">
      <c r="A474" t="inlineStr">
        <is>
          <t>A 32810-2025</t>
        </is>
      </c>
      <c r="B474" s="1" t="n">
        <v>45839.51207175926</v>
      </c>
      <c r="C474" s="1" t="n">
        <v>45910</v>
      </c>
      <c r="D474" t="inlineStr">
        <is>
          <t>VÄSTERBOTTENS LÄN</t>
        </is>
      </c>
      <c r="E474" t="inlineStr">
        <is>
          <t>ÅSELE</t>
        </is>
      </c>
      <c r="F474" t="inlineStr">
        <is>
          <t>Holmen skog AB</t>
        </is>
      </c>
      <c r="G474" t="n">
        <v>3.7</v>
      </c>
      <c r="H474" t="n">
        <v>0</v>
      </c>
      <c r="I474" t="n">
        <v>0</v>
      </c>
      <c r="J474" t="n">
        <v>0</v>
      </c>
      <c r="K474" t="n">
        <v>0</v>
      </c>
      <c r="L474" t="n">
        <v>0</v>
      </c>
      <c r="M474" t="n">
        <v>0</v>
      </c>
      <c r="N474" t="n">
        <v>0</v>
      </c>
      <c r="O474" t="n">
        <v>0</v>
      </c>
      <c r="P474" t="n">
        <v>0</v>
      </c>
      <c r="Q474" t="n">
        <v>0</v>
      </c>
      <c r="R474" s="2" t="inlineStr"/>
    </row>
    <row r="475" ht="15" customHeight="1">
      <c r="A475" t="inlineStr">
        <is>
          <t>A 25713-2024</t>
        </is>
      </c>
      <c r="B475" s="1" t="n">
        <v>45463</v>
      </c>
      <c r="C475" s="1" t="n">
        <v>45910</v>
      </c>
      <c r="D475" t="inlineStr">
        <is>
          <t>VÄSTERBOTTENS LÄN</t>
        </is>
      </c>
      <c r="E475" t="inlineStr">
        <is>
          <t>ÅSELE</t>
        </is>
      </c>
      <c r="F475" t="inlineStr">
        <is>
          <t>SCA</t>
        </is>
      </c>
      <c r="G475" t="n">
        <v>7.7</v>
      </c>
      <c r="H475" t="n">
        <v>0</v>
      </c>
      <c r="I475" t="n">
        <v>0</v>
      </c>
      <c r="J475" t="n">
        <v>0</v>
      </c>
      <c r="K475" t="n">
        <v>0</v>
      </c>
      <c r="L475" t="n">
        <v>0</v>
      </c>
      <c r="M475" t="n">
        <v>0</v>
      </c>
      <c r="N475" t="n">
        <v>0</v>
      </c>
      <c r="O475" t="n">
        <v>0</v>
      </c>
      <c r="P475" t="n">
        <v>0</v>
      </c>
      <c r="Q475" t="n">
        <v>0</v>
      </c>
      <c r="R475" s="2" t="inlineStr"/>
    </row>
    <row r="476" ht="15" customHeight="1">
      <c r="A476" t="inlineStr">
        <is>
          <t>A 32976-2025</t>
        </is>
      </c>
      <c r="B476" s="1" t="n">
        <v>45839.79112268519</v>
      </c>
      <c r="C476" s="1" t="n">
        <v>45910</v>
      </c>
      <c r="D476" t="inlineStr">
        <is>
          <t>VÄSTERBOTTENS LÄN</t>
        </is>
      </c>
      <c r="E476" t="inlineStr">
        <is>
          <t>ÅSELE</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31541-2024</t>
        </is>
      </c>
      <c r="B477" s="1" t="n">
        <v>45505</v>
      </c>
      <c r="C477" s="1" t="n">
        <v>45910</v>
      </c>
      <c r="D477" t="inlineStr">
        <is>
          <t>VÄSTERBOTTENS LÄN</t>
        </is>
      </c>
      <c r="E477" t="inlineStr">
        <is>
          <t>ÅSELE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38451-2025</t>
        </is>
      </c>
      <c r="B478" s="1" t="n">
        <v>45883.67800925926</v>
      </c>
      <c r="C478" s="1" t="n">
        <v>45910</v>
      </c>
      <c r="D478" t="inlineStr">
        <is>
          <t>VÄSTERBOTTENS LÄN</t>
        </is>
      </c>
      <c r="E478" t="inlineStr">
        <is>
          <t>ÅSELE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38452-2025</t>
        </is>
      </c>
      <c r="B479" s="1" t="n">
        <v>45883.67813657408</v>
      </c>
      <c r="C479" s="1" t="n">
        <v>45910</v>
      </c>
      <c r="D479" t="inlineStr">
        <is>
          <t>VÄSTERBOTTENS LÄN</t>
        </is>
      </c>
      <c r="E479" t="inlineStr">
        <is>
          <t>ÅSELE</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38195-2025</t>
        </is>
      </c>
      <c r="B480" s="1" t="n">
        <v>45882.65986111111</v>
      </c>
      <c r="C480" s="1" t="n">
        <v>45910</v>
      </c>
      <c r="D480" t="inlineStr">
        <is>
          <t>VÄSTERBOTTENS LÄN</t>
        </is>
      </c>
      <c r="E480" t="inlineStr">
        <is>
          <t>ÅSELE</t>
        </is>
      </c>
      <c r="G480" t="n">
        <v>4.7</v>
      </c>
      <c r="H480" t="n">
        <v>0</v>
      </c>
      <c r="I480" t="n">
        <v>0</v>
      </c>
      <c r="J480" t="n">
        <v>0</v>
      </c>
      <c r="K480" t="n">
        <v>0</v>
      </c>
      <c r="L480" t="n">
        <v>0</v>
      </c>
      <c r="M480" t="n">
        <v>0</v>
      </c>
      <c r="N480" t="n">
        <v>0</v>
      </c>
      <c r="O480" t="n">
        <v>0</v>
      </c>
      <c r="P480" t="n">
        <v>0</v>
      </c>
      <c r="Q480" t="n">
        <v>0</v>
      </c>
      <c r="R480" s="2" t="inlineStr"/>
    </row>
    <row r="481" ht="15" customHeight="1">
      <c r="A481" t="inlineStr">
        <is>
          <t>A 45689-2022</t>
        </is>
      </c>
      <c r="B481" s="1" t="n">
        <v>44845.95304398148</v>
      </c>
      <c r="C481" s="1" t="n">
        <v>45910</v>
      </c>
      <c r="D481" t="inlineStr">
        <is>
          <t>VÄSTERBOTTENS LÄN</t>
        </is>
      </c>
      <c r="E481" t="inlineStr">
        <is>
          <t>ÅSELE</t>
        </is>
      </c>
      <c r="F481" t="inlineStr">
        <is>
          <t>SCA</t>
        </is>
      </c>
      <c r="G481" t="n">
        <v>9.5</v>
      </c>
      <c r="H481" t="n">
        <v>0</v>
      </c>
      <c r="I481" t="n">
        <v>0</v>
      </c>
      <c r="J481" t="n">
        <v>0</v>
      </c>
      <c r="K481" t="n">
        <v>0</v>
      </c>
      <c r="L481" t="n">
        <v>0</v>
      </c>
      <c r="M481" t="n">
        <v>0</v>
      </c>
      <c r="N481" t="n">
        <v>0</v>
      </c>
      <c r="O481" t="n">
        <v>0</v>
      </c>
      <c r="P481" t="n">
        <v>0</v>
      </c>
      <c r="Q481" t="n">
        <v>0</v>
      </c>
      <c r="R481" s="2" t="inlineStr"/>
    </row>
    <row r="482" ht="15" customHeight="1">
      <c r="A482" t="inlineStr">
        <is>
          <t>A 5726-2024</t>
        </is>
      </c>
      <c r="B482" s="1" t="n">
        <v>45334.9250925926</v>
      </c>
      <c r="C482" s="1" t="n">
        <v>45910</v>
      </c>
      <c r="D482" t="inlineStr">
        <is>
          <t>VÄSTERBOTTENS LÄN</t>
        </is>
      </c>
      <c r="E482" t="inlineStr">
        <is>
          <t>ÅSELE</t>
        </is>
      </c>
      <c r="G482" t="n">
        <v>2.9</v>
      </c>
      <c r="H482" t="n">
        <v>0</v>
      </c>
      <c r="I482" t="n">
        <v>0</v>
      </c>
      <c r="J482" t="n">
        <v>0</v>
      </c>
      <c r="K482" t="n">
        <v>0</v>
      </c>
      <c r="L482" t="n">
        <v>0</v>
      </c>
      <c r="M482" t="n">
        <v>0</v>
      </c>
      <c r="N482" t="n">
        <v>0</v>
      </c>
      <c r="O482" t="n">
        <v>0</v>
      </c>
      <c r="P482" t="n">
        <v>0</v>
      </c>
      <c r="Q482" t="n">
        <v>0</v>
      </c>
      <c r="R482" s="2" t="inlineStr"/>
    </row>
    <row r="483" ht="15" customHeight="1">
      <c r="A483" t="inlineStr">
        <is>
          <t>A 38181-2025</t>
        </is>
      </c>
      <c r="B483" s="1" t="n">
        <v>45882.64618055556</v>
      </c>
      <c r="C483" s="1" t="n">
        <v>45910</v>
      </c>
      <c r="D483" t="inlineStr">
        <is>
          <t>VÄSTERBOTTENS LÄN</t>
        </is>
      </c>
      <c r="E483" t="inlineStr">
        <is>
          <t>ÅSELE</t>
        </is>
      </c>
      <c r="G483" t="n">
        <v>3.9</v>
      </c>
      <c r="H483" t="n">
        <v>0</v>
      </c>
      <c r="I483" t="n">
        <v>0</v>
      </c>
      <c r="J483" t="n">
        <v>0</v>
      </c>
      <c r="K483" t="n">
        <v>0</v>
      </c>
      <c r="L483" t="n">
        <v>0</v>
      </c>
      <c r="M483" t="n">
        <v>0</v>
      </c>
      <c r="N483" t="n">
        <v>0</v>
      </c>
      <c r="O483" t="n">
        <v>0</v>
      </c>
      <c r="P483" t="n">
        <v>0</v>
      </c>
      <c r="Q483" t="n">
        <v>0</v>
      </c>
      <c r="R483" s="2" t="inlineStr"/>
    </row>
    <row r="484" ht="15" customHeight="1">
      <c r="A484" t="inlineStr">
        <is>
          <t>A 31193-2023</t>
        </is>
      </c>
      <c r="B484" s="1" t="n">
        <v>45113.94976851852</v>
      </c>
      <c r="C484" s="1" t="n">
        <v>45910</v>
      </c>
      <c r="D484" t="inlineStr">
        <is>
          <t>VÄSTERBOTTENS LÄN</t>
        </is>
      </c>
      <c r="E484" t="inlineStr">
        <is>
          <t>ÅSELE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53638-2022</t>
        </is>
      </c>
      <c r="B485" s="1" t="n">
        <v>44879</v>
      </c>
      <c r="C485" s="1" t="n">
        <v>45910</v>
      </c>
      <c r="D485" t="inlineStr">
        <is>
          <t>VÄSTERBOTTENS LÄN</t>
        </is>
      </c>
      <c r="E485" t="inlineStr">
        <is>
          <t>ÅSELE</t>
        </is>
      </c>
      <c r="G485" t="n">
        <v>4.7</v>
      </c>
      <c r="H485" t="n">
        <v>0</v>
      </c>
      <c r="I485" t="n">
        <v>0</v>
      </c>
      <c r="J485" t="n">
        <v>0</v>
      </c>
      <c r="K485" t="n">
        <v>0</v>
      </c>
      <c r="L485" t="n">
        <v>0</v>
      </c>
      <c r="M485" t="n">
        <v>0</v>
      </c>
      <c r="N485" t="n">
        <v>0</v>
      </c>
      <c r="O485" t="n">
        <v>0</v>
      </c>
      <c r="P485" t="n">
        <v>0</v>
      </c>
      <c r="Q485" t="n">
        <v>0</v>
      </c>
      <c r="R485" s="2" t="inlineStr"/>
    </row>
    <row r="486" ht="15" customHeight="1">
      <c r="A486" t="inlineStr">
        <is>
          <t>A 38460-2025</t>
        </is>
      </c>
      <c r="B486" s="1" t="n">
        <v>45883.71945601852</v>
      </c>
      <c r="C486" s="1" t="n">
        <v>45910</v>
      </c>
      <c r="D486" t="inlineStr">
        <is>
          <t>VÄSTERBOTTENS LÄN</t>
        </is>
      </c>
      <c r="E486" t="inlineStr">
        <is>
          <t>ÅSELE</t>
        </is>
      </c>
      <c r="F486" t="inlineStr">
        <is>
          <t>SCA</t>
        </is>
      </c>
      <c r="G486" t="n">
        <v>10.2</v>
      </c>
      <c r="H486" t="n">
        <v>0</v>
      </c>
      <c r="I486" t="n">
        <v>0</v>
      </c>
      <c r="J486" t="n">
        <v>0</v>
      </c>
      <c r="K486" t="n">
        <v>0</v>
      </c>
      <c r="L486" t="n">
        <v>0</v>
      </c>
      <c r="M486" t="n">
        <v>0</v>
      </c>
      <c r="N486" t="n">
        <v>0</v>
      </c>
      <c r="O486" t="n">
        <v>0</v>
      </c>
      <c r="P486" t="n">
        <v>0</v>
      </c>
      <c r="Q486" t="n">
        <v>0</v>
      </c>
      <c r="R486" s="2" t="inlineStr"/>
    </row>
    <row r="487" ht="15" customHeight="1">
      <c r="A487" t="inlineStr">
        <is>
          <t>A 31402-2022</t>
        </is>
      </c>
      <c r="B487" s="1" t="n">
        <v>44774</v>
      </c>
      <c r="C487" s="1" t="n">
        <v>45910</v>
      </c>
      <c r="D487" t="inlineStr">
        <is>
          <t>VÄSTERBOTTENS LÄN</t>
        </is>
      </c>
      <c r="E487" t="inlineStr">
        <is>
          <t>ÅSELE</t>
        </is>
      </c>
      <c r="G487" t="n">
        <v>7.7</v>
      </c>
      <c r="H487" t="n">
        <v>0</v>
      </c>
      <c r="I487" t="n">
        <v>0</v>
      </c>
      <c r="J487" t="n">
        <v>0</v>
      </c>
      <c r="K487" t="n">
        <v>0</v>
      </c>
      <c r="L487" t="n">
        <v>0</v>
      </c>
      <c r="M487" t="n">
        <v>0</v>
      </c>
      <c r="N487" t="n">
        <v>0</v>
      </c>
      <c r="O487" t="n">
        <v>0</v>
      </c>
      <c r="P487" t="n">
        <v>0</v>
      </c>
      <c r="Q487" t="n">
        <v>0</v>
      </c>
      <c r="R487" s="2" t="inlineStr"/>
    </row>
    <row r="488" ht="15" customHeight="1">
      <c r="A488" t="inlineStr">
        <is>
          <t>A 38184-2025</t>
        </is>
      </c>
      <c r="B488" s="1" t="n">
        <v>45882.64888888889</v>
      </c>
      <c r="C488" s="1" t="n">
        <v>45910</v>
      </c>
      <c r="D488" t="inlineStr">
        <is>
          <t>VÄSTERBOTTENS LÄN</t>
        </is>
      </c>
      <c r="E488" t="inlineStr">
        <is>
          <t>ÅSELE</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38189-2025</t>
        </is>
      </c>
      <c r="B489" s="1" t="n">
        <v>45882.65576388889</v>
      </c>
      <c r="C489" s="1" t="n">
        <v>45910</v>
      </c>
      <c r="D489" t="inlineStr">
        <is>
          <t>VÄSTERBOTTENS LÄN</t>
        </is>
      </c>
      <c r="E489" t="inlineStr">
        <is>
          <t>ÅSELE</t>
        </is>
      </c>
      <c r="G489" t="n">
        <v>3</v>
      </c>
      <c r="H489" t="n">
        <v>0</v>
      </c>
      <c r="I489" t="n">
        <v>0</v>
      </c>
      <c r="J489" t="n">
        <v>0</v>
      </c>
      <c r="K489" t="n">
        <v>0</v>
      </c>
      <c r="L489" t="n">
        <v>0</v>
      </c>
      <c r="M489" t="n">
        <v>0</v>
      </c>
      <c r="N489" t="n">
        <v>0</v>
      </c>
      <c r="O489" t="n">
        <v>0</v>
      </c>
      <c r="P489" t="n">
        <v>0</v>
      </c>
      <c r="Q489" t="n">
        <v>0</v>
      </c>
      <c r="R489" s="2" t="inlineStr"/>
    </row>
    <row r="490" ht="15" customHeight="1">
      <c r="A490" t="inlineStr">
        <is>
          <t>A 38418-2025</t>
        </is>
      </c>
      <c r="B490" s="1" t="n">
        <v>45883.61994212963</v>
      </c>
      <c r="C490" s="1" t="n">
        <v>45910</v>
      </c>
      <c r="D490" t="inlineStr">
        <is>
          <t>VÄSTERBOTTENS LÄN</t>
        </is>
      </c>
      <c r="E490" t="inlineStr">
        <is>
          <t>ÅSELE</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38222-2025</t>
        </is>
      </c>
      <c r="B491" s="1" t="n">
        <v>45883.34452546296</v>
      </c>
      <c r="C491" s="1" t="n">
        <v>45910</v>
      </c>
      <c r="D491" t="inlineStr">
        <is>
          <t>VÄSTERBOTTENS LÄN</t>
        </is>
      </c>
      <c r="E491" t="inlineStr">
        <is>
          <t>ÅSELE</t>
        </is>
      </c>
      <c r="F491" t="inlineStr">
        <is>
          <t>SCA</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38224-2025</t>
        </is>
      </c>
      <c r="B492" s="1" t="n">
        <v>45883.34482638889</v>
      </c>
      <c r="C492" s="1" t="n">
        <v>45910</v>
      </c>
      <c r="D492" t="inlineStr">
        <is>
          <t>VÄSTERBOTTENS LÄN</t>
        </is>
      </c>
      <c r="E492" t="inlineStr">
        <is>
          <t>ÅSELE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38449-2025</t>
        </is>
      </c>
      <c r="B493" s="1" t="n">
        <v>45883.67765046296</v>
      </c>
      <c r="C493" s="1" t="n">
        <v>45910</v>
      </c>
      <c r="D493" t="inlineStr">
        <is>
          <t>VÄSTERBOTTENS LÄN</t>
        </is>
      </c>
      <c r="E493" t="inlineStr">
        <is>
          <t>ÅSELE</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47103-2020</t>
        </is>
      </c>
      <c r="B494" s="1" t="n">
        <v>44096</v>
      </c>
      <c r="C494" s="1" t="n">
        <v>45910</v>
      </c>
      <c r="D494" t="inlineStr">
        <is>
          <t>VÄSTERBOTTENS LÄN</t>
        </is>
      </c>
      <c r="E494" t="inlineStr">
        <is>
          <t>ÅSELE</t>
        </is>
      </c>
      <c r="G494" t="n">
        <v>5.8</v>
      </c>
      <c r="H494" t="n">
        <v>0</v>
      </c>
      <c r="I494" t="n">
        <v>0</v>
      </c>
      <c r="J494" t="n">
        <v>0</v>
      </c>
      <c r="K494" t="n">
        <v>0</v>
      </c>
      <c r="L494" t="n">
        <v>0</v>
      </c>
      <c r="M494" t="n">
        <v>0</v>
      </c>
      <c r="N494" t="n">
        <v>0</v>
      </c>
      <c r="O494" t="n">
        <v>0</v>
      </c>
      <c r="P494" t="n">
        <v>0</v>
      </c>
      <c r="Q494" t="n">
        <v>0</v>
      </c>
      <c r="R494" s="2" t="inlineStr"/>
    </row>
    <row r="495" ht="15" customHeight="1">
      <c r="A495" t="inlineStr">
        <is>
          <t>A 34236-2023</t>
        </is>
      </c>
      <c r="B495" s="1" t="n">
        <v>45127</v>
      </c>
      <c r="C495" s="1" t="n">
        <v>45910</v>
      </c>
      <c r="D495" t="inlineStr">
        <is>
          <t>VÄSTERBOTTENS LÄN</t>
        </is>
      </c>
      <c r="E495" t="inlineStr">
        <is>
          <t>ÅSELE</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41160-2024</t>
        </is>
      </c>
      <c r="B496" s="1" t="n">
        <v>45559.47989583333</v>
      </c>
      <c r="C496" s="1" t="n">
        <v>45910</v>
      </c>
      <c r="D496" t="inlineStr">
        <is>
          <t>VÄSTERBOTTENS LÄN</t>
        </is>
      </c>
      <c r="E496" t="inlineStr">
        <is>
          <t>ÅSELE</t>
        </is>
      </c>
      <c r="F496" t="inlineStr">
        <is>
          <t>Sveaskog</t>
        </is>
      </c>
      <c r="G496" t="n">
        <v>18.8</v>
      </c>
      <c r="H496" t="n">
        <v>0</v>
      </c>
      <c r="I496" t="n">
        <v>0</v>
      </c>
      <c r="J496" t="n">
        <v>0</v>
      </c>
      <c r="K496" t="n">
        <v>0</v>
      </c>
      <c r="L496" t="n">
        <v>0</v>
      </c>
      <c r="M496" t="n">
        <v>0</v>
      </c>
      <c r="N496" t="n">
        <v>0</v>
      </c>
      <c r="O496" t="n">
        <v>0</v>
      </c>
      <c r="P496" t="n">
        <v>0</v>
      </c>
      <c r="Q496" t="n">
        <v>0</v>
      </c>
      <c r="R496" s="2" t="inlineStr"/>
    </row>
    <row r="497" ht="15" customHeight="1">
      <c r="A497" t="inlineStr">
        <is>
          <t>A 4093-2023</t>
        </is>
      </c>
      <c r="B497" s="1" t="n">
        <v>44952</v>
      </c>
      <c r="C497" s="1" t="n">
        <v>45910</v>
      </c>
      <c r="D497" t="inlineStr">
        <is>
          <t>VÄSTERBOTTENS LÄN</t>
        </is>
      </c>
      <c r="E497" t="inlineStr">
        <is>
          <t>ÅSELE</t>
        </is>
      </c>
      <c r="G497" t="n">
        <v>1.6</v>
      </c>
      <c r="H497" t="n">
        <v>0</v>
      </c>
      <c r="I497" t="n">
        <v>0</v>
      </c>
      <c r="J497" t="n">
        <v>0</v>
      </c>
      <c r="K497" t="n">
        <v>0</v>
      </c>
      <c r="L497" t="n">
        <v>0</v>
      </c>
      <c r="M497" t="n">
        <v>0</v>
      </c>
      <c r="N497" t="n">
        <v>0</v>
      </c>
      <c r="O497" t="n">
        <v>0</v>
      </c>
      <c r="P497" t="n">
        <v>0</v>
      </c>
      <c r="Q497" t="n">
        <v>0</v>
      </c>
      <c r="R497" s="2" t="inlineStr"/>
    </row>
    <row r="498" ht="15" customHeight="1">
      <c r="A498" t="inlineStr">
        <is>
          <t>A 38616-2025</t>
        </is>
      </c>
      <c r="B498" s="1" t="n">
        <v>45884.54922453704</v>
      </c>
      <c r="C498" s="1" t="n">
        <v>45910</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33788-2025</t>
        </is>
      </c>
      <c r="B499" s="1" t="n">
        <v>45842</v>
      </c>
      <c r="C499" s="1" t="n">
        <v>45910</v>
      </c>
      <c r="D499" t="inlineStr">
        <is>
          <t>VÄSTERBOTTENS LÄN</t>
        </is>
      </c>
      <c r="E499" t="inlineStr">
        <is>
          <t>ÅSELE</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37868-2025</t>
        </is>
      </c>
      <c r="B500" s="1" t="n">
        <v>45881.4718287037</v>
      </c>
      <c r="C500" s="1" t="n">
        <v>45910</v>
      </c>
      <c r="D500" t="inlineStr">
        <is>
          <t>VÄSTERBOTTENS LÄN</t>
        </is>
      </c>
      <c r="E500" t="inlineStr">
        <is>
          <t>ÅSELE</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54958-2024</t>
        </is>
      </c>
      <c r="B501" s="1" t="n">
        <v>45619.7193287037</v>
      </c>
      <c r="C501" s="1" t="n">
        <v>45910</v>
      </c>
      <c r="D501" t="inlineStr">
        <is>
          <t>VÄSTERBOTTENS LÄN</t>
        </is>
      </c>
      <c r="E501" t="inlineStr">
        <is>
          <t>ÅSELE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13552-2024</t>
        </is>
      </c>
      <c r="B502" s="1" t="n">
        <v>45387.95409722222</v>
      </c>
      <c r="C502" s="1" t="n">
        <v>45910</v>
      </c>
      <c r="D502" t="inlineStr">
        <is>
          <t>VÄSTERBOTTENS LÄN</t>
        </is>
      </c>
      <c r="E502" t="inlineStr">
        <is>
          <t>ÅSELE</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38612-2025</t>
        </is>
      </c>
      <c r="B503" s="1" t="n">
        <v>45884.5409375</v>
      </c>
      <c r="C503" s="1" t="n">
        <v>45910</v>
      </c>
      <c r="D503" t="inlineStr">
        <is>
          <t>VÄSTERBOTTENS LÄN</t>
        </is>
      </c>
      <c r="E503" t="inlineStr">
        <is>
          <t>ÅSELE</t>
        </is>
      </c>
      <c r="G503" t="n">
        <v>4.1</v>
      </c>
      <c r="H503" t="n">
        <v>0</v>
      </c>
      <c r="I503" t="n">
        <v>0</v>
      </c>
      <c r="J503" t="n">
        <v>0</v>
      </c>
      <c r="K503" t="n">
        <v>0</v>
      </c>
      <c r="L503" t="n">
        <v>0</v>
      </c>
      <c r="M503" t="n">
        <v>0</v>
      </c>
      <c r="N503" t="n">
        <v>0</v>
      </c>
      <c r="O503" t="n">
        <v>0</v>
      </c>
      <c r="P503" t="n">
        <v>0</v>
      </c>
      <c r="Q503" t="n">
        <v>0</v>
      </c>
      <c r="R503" s="2" t="inlineStr"/>
    </row>
    <row r="504" ht="15" customHeight="1">
      <c r="A504" t="inlineStr">
        <is>
          <t>A 30058-2024</t>
        </is>
      </c>
      <c r="B504" s="1" t="n">
        <v>45488.94793981482</v>
      </c>
      <c r="C504" s="1" t="n">
        <v>45910</v>
      </c>
      <c r="D504" t="inlineStr">
        <is>
          <t>VÄSTERBOTTENS LÄN</t>
        </is>
      </c>
      <c r="E504" t="inlineStr">
        <is>
          <t>ÅSELE</t>
        </is>
      </c>
      <c r="F504" t="inlineStr">
        <is>
          <t>SCA</t>
        </is>
      </c>
      <c r="G504" t="n">
        <v>7.6</v>
      </c>
      <c r="H504" t="n">
        <v>0</v>
      </c>
      <c r="I504" t="n">
        <v>0</v>
      </c>
      <c r="J504" t="n">
        <v>0</v>
      </c>
      <c r="K504" t="n">
        <v>0</v>
      </c>
      <c r="L504" t="n">
        <v>0</v>
      </c>
      <c r="M504" t="n">
        <v>0</v>
      </c>
      <c r="N504" t="n">
        <v>0</v>
      </c>
      <c r="O504" t="n">
        <v>0</v>
      </c>
      <c r="P504" t="n">
        <v>0</v>
      </c>
      <c r="Q504" t="n">
        <v>0</v>
      </c>
      <c r="R504" s="2" t="inlineStr"/>
    </row>
    <row r="505" ht="15" customHeight="1">
      <c r="A505" t="inlineStr">
        <is>
          <t>A 41694-2023</t>
        </is>
      </c>
      <c r="B505" s="1" t="n">
        <v>45176</v>
      </c>
      <c r="C505" s="1" t="n">
        <v>45910</v>
      </c>
      <c r="D505" t="inlineStr">
        <is>
          <t>VÄSTERBOTTENS LÄN</t>
        </is>
      </c>
      <c r="E505" t="inlineStr">
        <is>
          <t>ÅSELE</t>
        </is>
      </c>
      <c r="F505" t="inlineStr">
        <is>
          <t>Holmen skog AB</t>
        </is>
      </c>
      <c r="G505" t="n">
        <v>10.3</v>
      </c>
      <c r="H505" t="n">
        <v>0</v>
      </c>
      <c r="I505" t="n">
        <v>0</v>
      </c>
      <c r="J505" t="n">
        <v>0</v>
      </c>
      <c r="K505" t="n">
        <v>0</v>
      </c>
      <c r="L505" t="n">
        <v>0</v>
      </c>
      <c r="M505" t="n">
        <v>0</v>
      </c>
      <c r="N505" t="n">
        <v>0</v>
      </c>
      <c r="O505" t="n">
        <v>0</v>
      </c>
      <c r="P505" t="n">
        <v>0</v>
      </c>
      <c r="Q505" t="n">
        <v>0</v>
      </c>
      <c r="R505" s="2" t="inlineStr"/>
    </row>
    <row r="506" ht="15" customHeight="1">
      <c r="A506" t="inlineStr">
        <is>
          <t>A 1733-2025</t>
        </is>
      </c>
      <c r="B506" s="1" t="n">
        <v>45671</v>
      </c>
      <c r="C506" s="1" t="n">
        <v>45910</v>
      </c>
      <c r="D506" t="inlineStr">
        <is>
          <t>VÄSTERBOTTENS LÄN</t>
        </is>
      </c>
      <c r="E506" t="inlineStr">
        <is>
          <t>ÅSELE</t>
        </is>
      </c>
      <c r="F506" t="inlineStr">
        <is>
          <t>Sveaskog</t>
        </is>
      </c>
      <c r="G506" t="n">
        <v>18.2</v>
      </c>
      <c r="H506" t="n">
        <v>0</v>
      </c>
      <c r="I506" t="n">
        <v>0</v>
      </c>
      <c r="J506" t="n">
        <v>0</v>
      </c>
      <c r="K506" t="n">
        <v>0</v>
      </c>
      <c r="L506" t="n">
        <v>0</v>
      </c>
      <c r="M506" t="n">
        <v>0</v>
      </c>
      <c r="N506" t="n">
        <v>0</v>
      </c>
      <c r="O506" t="n">
        <v>0</v>
      </c>
      <c r="P506" t="n">
        <v>0</v>
      </c>
      <c r="Q506" t="n">
        <v>0</v>
      </c>
      <c r="R506" s="2" t="inlineStr"/>
    </row>
    <row r="507" ht="15" customHeight="1">
      <c r="A507" t="inlineStr">
        <is>
          <t>A 53679-2024</t>
        </is>
      </c>
      <c r="B507" s="1" t="n">
        <v>45615</v>
      </c>
      <c r="C507" s="1" t="n">
        <v>45910</v>
      </c>
      <c r="D507" t="inlineStr">
        <is>
          <t>VÄSTERBOTTENS LÄN</t>
        </is>
      </c>
      <c r="E507" t="inlineStr">
        <is>
          <t>ÅSELE</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33710-2025</t>
        </is>
      </c>
      <c r="B508" s="1" t="n">
        <v>45841.83299768518</v>
      </c>
      <c r="C508" s="1" t="n">
        <v>45910</v>
      </c>
      <c r="D508" t="inlineStr">
        <is>
          <t>VÄSTERBOTTENS LÄN</t>
        </is>
      </c>
      <c r="E508" t="inlineStr">
        <is>
          <t>ÅSELE</t>
        </is>
      </c>
      <c r="G508" t="n">
        <v>13.7</v>
      </c>
      <c r="H508" t="n">
        <v>0</v>
      </c>
      <c r="I508" t="n">
        <v>0</v>
      </c>
      <c r="J508" t="n">
        <v>0</v>
      </c>
      <c r="K508" t="n">
        <v>0</v>
      </c>
      <c r="L508" t="n">
        <v>0</v>
      </c>
      <c r="M508" t="n">
        <v>0</v>
      </c>
      <c r="N508" t="n">
        <v>0</v>
      </c>
      <c r="O508" t="n">
        <v>0</v>
      </c>
      <c r="P508" t="n">
        <v>0</v>
      </c>
      <c r="Q508" t="n">
        <v>0</v>
      </c>
      <c r="R508" s="2" t="inlineStr"/>
    </row>
    <row r="509" ht="15" customHeight="1">
      <c r="A509" t="inlineStr">
        <is>
          <t>A 19330-2024</t>
        </is>
      </c>
      <c r="B509" s="1" t="n">
        <v>45428</v>
      </c>
      <c r="C509" s="1" t="n">
        <v>45910</v>
      </c>
      <c r="D509" t="inlineStr">
        <is>
          <t>VÄSTERBOTTENS LÄN</t>
        </is>
      </c>
      <c r="E509" t="inlineStr">
        <is>
          <t>ÅSELE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28968-2024</t>
        </is>
      </c>
      <c r="B510" s="1" t="n">
        <v>45481.4446875</v>
      </c>
      <c r="C510" s="1" t="n">
        <v>45910</v>
      </c>
      <c r="D510" t="inlineStr">
        <is>
          <t>VÄSTERBOTTENS LÄN</t>
        </is>
      </c>
      <c r="E510" t="inlineStr">
        <is>
          <t>ÅSELE</t>
        </is>
      </c>
      <c r="F510" t="inlineStr">
        <is>
          <t>Sveaskog</t>
        </is>
      </c>
      <c r="G510" t="n">
        <v>18.3</v>
      </c>
      <c r="H510" t="n">
        <v>0</v>
      </c>
      <c r="I510" t="n">
        <v>0</v>
      </c>
      <c r="J510" t="n">
        <v>0</v>
      </c>
      <c r="K510" t="n">
        <v>0</v>
      </c>
      <c r="L510" t="n">
        <v>0</v>
      </c>
      <c r="M510" t="n">
        <v>0</v>
      </c>
      <c r="N510" t="n">
        <v>0</v>
      </c>
      <c r="O510" t="n">
        <v>0</v>
      </c>
      <c r="P510" t="n">
        <v>0</v>
      </c>
      <c r="Q510" t="n">
        <v>0</v>
      </c>
      <c r="R510" s="2" t="inlineStr"/>
    </row>
    <row r="511" ht="15" customHeight="1">
      <c r="A511" t="inlineStr">
        <is>
          <t>A 28977-2024</t>
        </is>
      </c>
      <c r="B511" s="1" t="n">
        <v>45481.46547453704</v>
      </c>
      <c r="C511" s="1" t="n">
        <v>45910</v>
      </c>
      <c r="D511" t="inlineStr">
        <is>
          <t>VÄSTERBOTTENS LÄN</t>
        </is>
      </c>
      <c r="E511" t="inlineStr">
        <is>
          <t>ÅSELE</t>
        </is>
      </c>
      <c r="F511" t="inlineStr">
        <is>
          <t>Sveaskog</t>
        </is>
      </c>
      <c r="G511" t="n">
        <v>5.4</v>
      </c>
      <c r="H511" t="n">
        <v>0</v>
      </c>
      <c r="I511" t="n">
        <v>0</v>
      </c>
      <c r="J511" t="n">
        <v>0</v>
      </c>
      <c r="K511" t="n">
        <v>0</v>
      </c>
      <c r="L511" t="n">
        <v>0</v>
      </c>
      <c r="M511" t="n">
        <v>0</v>
      </c>
      <c r="N511" t="n">
        <v>0</v>
      </c>
      <c r="O511" t="n">
        <v>0</v>
      </c>
      <c r="P511" t="n">
        <v>0</v>
      </c>
      <c r="Q511" t="n">
        <v>0</v>
      </c>
      <c r="R511" s="2" t="inlineStr"/>
    </row>
    <row r="512" ht="15" customHeight="1">
      <c r="A512" t="inlineStr">
        <is>
          <t>A 29039-2024</t>
        </is>
      </c>
      <c r="B512" s="1" t="n">
        <v>45481.60922453704</v>
      </c>
      <c r="C512" s="1" t="n">
        <v>45910</v>
      </c>
      <c r="D512" t="inlineStr">
        <is>
          <t>VÄSTERBOTTENS LÄN</t>
        </is>
      </c>
      <c r="E512" t="inlineStr">
        <is>
          <t>ÅSELE</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37869-2025</t>
        </is>
      </c>
      <c r="B513" s="1" t="n">
        <v>45881.47364583334</v>
      </c>
      <c r="C513" s="1" t="n">
        <v>45910</v>
      </c>
      <c r="D513" t="inlineStr">
        <is>
          <t>VÄSTERBOTTENS LÄN</t>
        </is>
      </c>
      <c r="E513" t="inlineStr">
        <is>
          <t>ÅSELE</t>
        </is>
      </c>
      <c r="F513" t="inlineStr">
        <is>
          <t>Kommuner</t>
        </is>
      </c>
      <c r="G513" t="n">
        <v>5.6</v>
      </c>
      <c r="H513" t="n">
        <v>0</v>
      </c>
      <c r="I513" t="n">
        <v>0</v>
      </c>
      <c r="J513" t="n">
        <v>0</v>
      </c>
      <c r="K513" t="n">
        <v>0</v>
      </c>
      <c r="L513" t="n">
        <v>0</v>
      </c>
      <c r="M513" t="n">
        <v>0</v>
      </c>
      <c r="N513" t="n">
        <v>0</v>
      </c>
      <c r="O513" t="n">
        <v>0</v>
      </c>
      <c r="P513" t="n">
        <v>0</v>
      </c>
      <c r="Q513" t="n">
        <v>0</v>
      </c>
      <c r="R513" s="2" t="inlineStr"/>
    </row>
    <row r="514" ht="15" customHeight="1">
      <c r="A514" t="inlineStr">
        <is>
          <t>A 37863-2025</t>
        </is>
      </c>
      <c r="B514" s="1" t="n">
        <v>45881.46734953704</v>
      </c>
      <c r="C514" s="1" t="n">
        <v>45910</v>
      </c>
      <c r="D514" t="inlineStr">
        <is>
          <t>VÄSTERBOTTENS LÄN</t>
        </is>
      </c>
      <c r="E514" t="inlineStr">
        <is>
          <t>ÅSELE</t>
        </is>
      </c>
      <c r="F514" t="inlineStr">
        <is>
          <t>Kommuner</t>
        </is>
      </c>
      <c r="G514" t="n">
        <v>1.1</v>
      </c>
      <c r="H514" t="n">
        <v>0</v>
      </c>
      <c r="I514" t="n">
        <v>0</v>
      </c>
      <c r="J514" t="n">
        <v>0</v>
      </c>
      <c r="K514" t="n">
        <v>0</v>
      </c>
      <c r="L514" t="n">
        <v>0</v>
      </c>
      <c r="M514" t="n">
        <v>0</v>
      </c>
      <c r="N514" t="n">
        <v>0</v>
      </c>
      <c r="O514" t="n">
        <v>0</v>
      </c>
      <c r="P514" t="n">
        <v>0</v>
      </c>
      <c r="Q514" t="n">
        <v>0</v>
      </c>
      <c r="R514" s="2" t="inlineStr"/>
    </row>
    <row r="515" ht="15" customHeight="1">
      <c r="A515" t="inlineStr">
        <is>
          <t>A 33711-2025</t>
        </is>
      </c>
      <c r="B515" s="1" t="n">
        <v>45841.83383101852</v>
      </c>
      <c r="C515" s="1" t="n">
        <v>45910</v>
      </c>
      <c r="D515" t="inlineStr">
        <is>
          <t>VÄSTERBOTTENS LÄN</t>
        </is>
      </c>
      <c r="E515" t="inlineStr">
        <is>
          <t>ÅSELE</t>
        </is>
      </c>
      <c r="G515" t="n">
        <v>7.7</v>
      </c>
      <c r="H515" t="n">
        <v>0</v>
      </c>
      <c r="I515" t="n">
        <v>0</v>
      </c>
      <c r="J515" t="n">
        <v>0</v>
      </c>
      <c r="K515" t="n">
        <v>0</v>
      </c>
      <c r="L515" t="n">
        <v>0</v>
      </c>
      <c r="M515" t="n">
        <v>0</v>
      </c>
      <c r="N515" t="n">
        <v>0</v>
      </c>
      <c r="O515" t="n">
        <v>0</v>
      </c>
      <c r="P515" t="n">
        <v>0</v>
      </c>
      <c r="Q515" t="n">
        <v>0</v>
      </c>
      <c r="R515" s="2" t="inlineStr"/>
    </row>
    <row r="516" ht="15" customHeight="1">
      <c r="A516" t="inlineStr">
        <is>
          <t>A 39196-2025</t>
        </is>
      </c>
      <c r="B516" s="1" t="n">
        <v>45888.69388888889</v>
      </c>
      <c r="C516" s="1" t="n">
        <v>45910</v>
      </c>
      <c r="D516" t="inlineStr">
        <is>
          <t>VÄSTERBOTTENS LÄN</t>
        </is>
      </c>
      <c r="E516" t="inlineStr">
        <is>
          <t>ÅSELE</t>
        </is>
      </c>
      <c r="F516" t="inlineStr">
        <is>
          <t>Holmen skog AB</t>
        </is>
      </c>
      <c r="G516" t="n">
        <v>2.5</v>
      </c>
      <c r="H516" t="n">
        <v>0</v>
      </c>
      <c r="I516" t="n">
        <v>0</v>
      </c>
      <c r="J516" t="n">
        <v>0</v>
      </c>
      <c r="K516" t="n">
        <v>0</v>
      </c>
      <c r="L516" t="n">
        <v>0</v>
      </c>
      <c r="M516" t="n">
        <v>0</v>
      </c>
      <c r="N516" t="n">
        <v>0</v>
      </c>
      <c r="O516" t="n">
        <v>0</v>
      </c>
      <c r="P516" t="n">
        <v>0</v>
      </c>
      <c r="Q516" t="n">
        <v>0</v>
      </c>
      <c r="R516" s="2" t="inlineStr"/>
    </row>
    <row r="517" ht="15" customHeight="1">
      <c r="A517" t="inlineStr">
        <is>
          <t>A 46693-2023</t>
        </is>
      </c>
      <c r="B517" s="1" t="n">
        <v>45198</v>
      </c>
      <c r="C517" s="1" t="n">
        <v>45910</v>
      </c>
      <c r="D517" t="inlineStr">
        <is>
          <t>VÄSTERBOTTENS LÄN</t>
        </is>
      </c>
      <c r="E517" t="inlineStr">
        <is>
          <t>ÅSELE</t>
        </is>
      </c>
      <c r="F517" t="inlineStr">
        <is>
          <t>Sveaskog</t>
        </is>
      </c>
      <c r="G517" t="n">
        <v>14.8</v>
      </c>
      <c r="H517" t="n">
        <v>0</v>
      </c>
      <c r="I517" t="n">
        <v>0</v>
      </c>
      <c r="J517" t="n">
        <v>0</v>
      </c>
      <c r="K517" t="n">
        <v>0</v>
      </c>
      <c r="L517" t="n">
        <v>0</v>
      </c>
      <c r="M517" t="n">
        <v>0</v>
      </c>
      <c r="N517" t="n">
        <v>0</v>
      </c>
      <c r="O517" t="n">
        <v>0</v>
      </c>
      <c r="P517" t="n">
        <v>0</v>
      </c>
      <c r="Q517" t="n">
        <v>0</v>
      </c>
      <c r="R517" s="2" t="inlineStr"/>
    </row>
    <row r="518" ht="15" customHeight="1">
      <c r="A518" t="inlineStr">
        <is>
          <t>A 1225-2023</t>
        </is>
      </c>
      <c r="B518" s="1" t="n">
        <v>44935.97194444444</v>
      </c>
      <c r="C518" s="1" t="n">
        <v>45910</v>
      </c>
      <c r="D518" t="inlineStr">
        <is>
          <t>VÄSTERBOTTENS LÄN</t>
        </is>
      </c>
      <c r="E518" t="inlineStr">
        <is>
          <t>ÅSELE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39248-2025</t>
        </is>
      </c>
      <c r="B519" s="1" t="n">
        <v>45889.3547800926</v>
      </c>
      <c r="C519" s="1" t="n">
        <v>45910</v>
      </c>
      <c r="D519" t="inlineStr">
        <is>
          <t>VÄSTERBOTTENS LÄN</t>
        </is>
      </c>
      <c r="E519" t="inlineStr">
        <is>
          <t>ÅSELE</t>
        </is>
      </c>
      <c r="G519" t="n">
        <v>1.6</v>
      </c>
      <c r="H519" t="n">
        <v>0</v>
      </c>
      <c r="I519" t="n">
        <v>0</v>
      </c>
      <c r="J519" t="n">
        <v>0</v>
      </c>
      <c r="K519" t="n">
        <v>0</v>
      </c>
      <c r="L519" t="n">
        <v>0</v>
      </c>
      <c r="M519" t="n">
        <v>0</v>
      </c>
      <c r="N519" t="n">
        <v>0</v>
      </c>
      <c r="O519" t="n">
        <v>0</v>
      </c>
      <c r="P519" t="n">
        <v>0</v>
      </c>
      <c r="Q519" t="n">
        <v>0</v>
      </c>
      <c r="R519" s="2" t="inlineStr"/>
    </row>
    <row r="520" ht="15" customHeight="1">
      <c r="A520" t="inlineStr">
        <is>
          <t>A 39251-2025</t>
        </is>
      </c>
      <c r="B520" s="1" t="n">
        <v>45889.36145833333</v>
      </c>
      <c r="C520" s="1" t="n">
        <v>45910</v>
      </c>
      <c r="D520" t="inlineStr">
        <is>
          <t>VÄSTERBOTTENS LÄN</t>
        </is>
      </c>
      <c r="E520" t="inlineStr">
        <is>
          <t>ÅSELE</t>
        </is>
      </c>
      <c r="G520" t="n">
        <v>1.7</v>
      </c>
      <c r="H520" t="n">
        <v>0</v>
      </c>
      <c r="I520" t="n">
        <v>0</v>
      </c>
      <c r="J520" t="n">
        <v>0</v>
      </c>
      <c r="K520" t="n">
        <v>0</v>
      </c>
      <c r="L520" t="n">
        <v>0</v>
      </c>
      <c r="M520" t="n">
        <v>0</v>
      </c>
      <c r="N520" t="n">
        <v>0</v>
      </c>
      <c r="O520" t="n">
        <v>0</v>
      </c>
      <c r="P520" t="n">
        <v>0</v>
      </c>
      <c r="Q520" t="n">
        <v>0</v>
      </c>
      <c r="R520" s="2" t="inlineStr"/>
    </row>
    <row r="521" ht="15" customHeight="1">
      <c r="A521" t="inlineStr">
        <is>
          <t>A 34295-2025</t>
        </is>
      </c>
      <c r="B521" s="1" t="n">
        <v>45846.34438657408</v>
      </c>
      <c r="C521" s="1" t="n">
        <v>45910</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45311-2024</t>
        </is>
      </c>
      <c r="B522" s="1" t="n">
        <v>45576.43226851852</v>
      </c>
      <c r="C522" s="1" t="n">
        <v>45910</v>
      </c>
      <c r="D522" t="inlineStr">
        <is>
          <t>VÄSTERBOTTENS LÄN</t>
        </is>
      </c>
      <c r="E522" t="inlineStr">
        <is>
          <t>ÅSELE</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39431-2025</t>
        </is>
      </c>
      <c r="B523" s="1" t="n">
        <v>45889.67745370371</v>
      </c>
      <c r="C523" s="1" t="n">
        <v>45910</v>
      </c>
      <c r="D523" t="inlineStr">
        <is>
          <t>VÄSTERBOTTENS LÄN</t>
        </is>
      </c>
      <c r="E523" t="inlineStr">
        <is>
          <t>ÅSELE</t>
        </is>
      </c>
      <c r="F523" t="inlineStr">
        <is>
          <t>SCA</t>
        </is>
      </c>
      <c r="G523" t="n">
        <v>14.4</v>
      </c>
      <c r="H523" t="n">
        <v>0</v>
      </c>
      <c r="I523" t="n">
        <v>0</v>
      </c>
      <c r="J523" t="n">
        <v>0</v>
      </c>
      <c r="K523" t="n">
        <v>0</v>
      </c>
      <c r="L523" t="n">
        <v>0</v>
      </c>
      <c r="M523" t="n">
        <v>0</v>
      </c>
      <c r="N523" t="n">
        <v>0</v>
      </c>
      <c r="O523" t="n">
        <v>0</v>
      </c>
      <c r="P523" t="n">
        <v>0</v>
      </c>
      <c r="Q523" t="n">
        <v>0</v>
      </c>
      <c r="R523" s="2" t="inlineStr"/>
    </row>
    <row r="524" ht="15" customHeight="1">
      <c r="A524" t="inlineStr">
        <is>
          <t>A 39437-2025</t>
        </is>
      </c>
      <c r="B524" s="1" t="n">
        <v>45889.67877314815</v>
      </c>
      <c r="C524" s="1" t="n">
        <v>45910</v>
      </c>
      <c r="D524" t="inlineStr">
        <is>
          <t>VÄSTERBOTTENS LÄN</t>
        </is>
      </c>
      <c r="E524" t="inlineStr">
        <is>
          <t>ÅSELE</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39109-2025</t>
        </is>
      </c>
      <c r="B525" s="1" t="n">
        <v>45888.53960648148</v>
      </c>
      <c r="C525" s="1" t="n">
        <v>45910</v>
      </c>
      <c r="D525" t="inlineStr">
        <is>
          <t>VÄSTERBOTTENS LÄN</t>
        </is>
      </c>
      <c r="E525" t="inlineStr">
        <is>
          <t>ÅSELE</t>
        </is>
      </c>
      <c r="G525" t="n">
        <v>7.1</v>
      </c>
      <c r="H525" t="n">
        <v>0</v>
      </c>
      <c r="I525" t="n">
        <v>0</v>
      </c>
      <c r="J525" t="n">
        <v>0</v>
      </c>
      <c r="K525" t="n">
        <v>0</v>
      </c>
      <c r="L525" t="n">
        <v>0</v>
      </c>
      <c r="M525" t="n">
        <v>0</v>
      </c>
      <c r="N525" t="n">
        <v>0</v>
      </c>
      <c r="O525" t="n">
        <v>0</v>
      </c>
      <c r="P525" t="n">
        <v>0</v>
      </c>
      <c r="Q525" t="n">
        <v>0</v>
      </c>
      <c r="R525" s="2" t="inlineStr"/>
    </row>
    <row r="526" ht="15" customHeight="1">
      <c r="A526" t="inlineStr">
        <is>
          <t>A 39111-2025</t>
        </is>
      </c>
      <c r="B526" s="1" t="n">
        <v>45888.54513888889</v>
      </c>
      <c r="C526" s="1" t="n">
        <v>45910</v>
      </c>
      <c r="D526" t="inlineStr">
        <is>
          <t>VÄSTERBOTTENS LÄN</t>
        </is>
      </c>
      <c r="E526" t="inlineStr">
        <is>
          <t>ÅSELE</t>
        </is>
      </c>
      <c r="G526" t="n">
        <v>1.4</v>
      </c>
      <c r="H526" t="n">
        <v>0</v>
      </c>
      <c r="I526" t="n">
        <v>0</v>
      </c>
      <c r="J526" t="n">
        <v>0</v>
      </c>
      <c r="K526" t="n">
        <v>0</v>
      </c>
      <c r="L526" t="n">
        <v>0</v>
      </c>
      <c r="M526" t="n">
        <v>0</v>
      </c>
      <c r="N526" t="n">
        <v>0</v>
      </c>
      <c r="O526" t="n">
        <v>0</v>
      </c>
      <c r="P526" t="n">
        <v>0</v>
      </c>
      <c r="Q526" t="n">
        <v>0</v>
      </c>
      <c r="R526" s="2" t="inlineStr"/>
    </row>
    <row r="527" ht="15" customHeight="1">
      <c r="A527" t="inlineStr">
        <is>
          <t>A 37241-2024</t>
        </is>
      </c>
      <c r="B527" s="1" t="n">
        <v>45540.34417824074</v>
      </c>
      <c r="C527" s="1" t="n">
        <v>45910</v>
      </c>
      <c r="D527" t="inlineStr">
        <is>
          <t>VÄSTERBOTTENS LÄN</t>
        </is>
      </c>
      <c r="E527" t="inlineStr">
        <is>
          <t>ÅSELE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17285-2025</t>
        </is>
      </c>
      <c r="B528" s="1" t="n">
        <v>45756.57349537037</v>
      </c>
      <c r="C528" s="1" t="n">
        <v>45910</v>
      </c>
      <c r="D528" t="inlineStr">
        <is>
          <t>VÄSTERBOTTENS LÄN</t>
        </is>
      </c>
      <c r="E528" t="inlineStr">
        <is>
          <t>ÅSELE</t>
        </is>
      </c>
      <c r="F528" t="inlineStr">
        <is>
          <t>SCA</t>
        </is>
      </c>
      <c r="G528" t="n">
        <v>5.9</v>
      </c>
      <c r="H528" t="n">
        <v>0</v>
      </c>
      <c r="I528" t="n">
        <v>0</v>
      </c>
      <c r="J528" t="n">
        <v>0</v>
      </c>
      <c r="K528" t="n">
        <v>0</v>
      </c>
      <c r="L528" t="n">
        <v>0</v>
      </c>
      <c r="M528" t="n">
        <v>0</v>
      </c>
      <c r="N528" t="n">
        <v>0</v>
      </c>
      <c r="O528" t="n">
        <v>0</v>
      </c>
      <c r="P528" t="n">
        <v>0</v>
      </c>
      <c r="Q528" t="n">
        <v>0</v>
      </c>
      <c r="R528" s="2" t="inlineStr"/>
    </row>
    <row r="529" ht="15" customHeight="1">
      <c r="A529" t="inlineStr">
        <is>
          <t>A 61542-2024</t>
        </is>
      </c>
      <c r="B529" s="1" t="n">
        <v>45645</v>
      </c>
      <c r="C529" s="1" t="n">
        <v>45910</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40046-2024</t>
        </is>
      </c>
      <c r="B530" s="1" t="n">
        <v>45553.76251157407</v>
      </c>
      <c r="C530" s="1" t="n">
        <v>45910</v>
      </c>
      <c r="D530" t="inlineStr">
        <is>
          <t>VÄSTERBOTTENS LÄN</t>
        </is>
      </c>
      <c r="E530" t="inlineStr">
        <is>
          <t>ÅSELE</t>
        </is>
      </c>
      <c r="G530" t="n">
        <v>5.6</v>
      </c>
      <c r="H530" t="n">
        <v>0</v>
      </c>
      <c r="I530" t="n">
        <v>0</v>
      </c>
      <c r="J530" t="n">
        <v>0</v>
      </c>
      <c r="K530" t="n">
        <v>0</v>
      </c>
      <c r="L530" t="n">
        <v>0</v>
      </c>
      <c r="M530" t="n">
        <v>0</v>
      </c>
      <c r="N530" t="n">
        <v>0</v>
      </c>
      <c r="O530" t="n">
        <v>0</v>
      </c>
      <c r="P530" t="n">
        <v>0</v>
      </c>
      <c r="Q530" t="n">
        <v>0</v>
      </c>
      <c r="R530" s="2" t="inlineStr"/>
    </row>
    <row r="531" ht="15" customHeight="1">
      <c r="A531" t="inlineStr">
        <is>
          <t>A 50200-2023</t>
        </is>
      </c>
      <c r="B531" s="1" t="n">
        <v>45215.87696759259</v>
      </c>
      <c r="C531" s="1" t="n">
        <v>45910</v>
      </c>
      <c r="D531" t="inlineStr">
        <is>
          <t>VÄSTERBOTTENS LÄN</t>
        </is>
      </c>
      <c r="E531" t="inlineStr">
        <is>
          <t>ÅSELE</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4086-2023</t>
        </is>
      </c>
      <c r="B532" s="1" t="n">
        <v>44952</v>
      </c>
      <c r="C532" s="1" t="n">
        <v>45910</v>
      </c>
      <c r="D532" t="inlineStr">
        <is>
          <t>VÄSTERBOTTENS LÄN</t>
        </is>
      </c>
      <c r="E532" t="inlineStr">
        <is>
          <t>ÅSELE</t>
        </is>
      </c>
      <c r="G532" t="n">
        <v>5.3</v>
      </c>
      <c r="H532" t="n">
        <v>0</v>
      </c>
      <c r="I532" t="n">
        <v>0</v>
      </c>
      <c r="J532" t="n">
        <v>0</v>
      </c>
      <c r="K532" t="n">
        <v>0</v>
      </c>
      <c r="L532" t="n">
        <v>0</v>
      </c>
      <c r="M532" t="n">
        <v>0</v>
      </c>
      <c r="N532" t="n">
        <v>0</v>
      </c>
      <c r="O532" t="n">
        <v>0</v>
      </c>
      <c r="P532" t="n">
        <v>0</v>
      </c>
      <c r="Q532" t="n">
        <v>0</v>
      </c>
      <c r="R532" s="2" t="inlineStr"/>
    </row>
    <row r="533" ht="15" customHeight="1">
      <c r="A533" t="inlineStr">
        <is>
          <t>A 15777-2025</t>
        </is>
      </c>
      <c r="B533" s="1" t="n">
        <v>45748</v>
      </c>
      <c r="C533" s="1" t="n">
        <v>45910</v>
      </c>
      <c r="D533" t="inlineStr">
        <is>
          <t>VÄSTERBOTTENS LÄN</t>
        </is>
      </c>
      <c r="E533" t="inlineStr">
        <is>
          <t>ÅSELE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30588-2024</t>
        </is>
      </c>
      <c r="B534" s="1" t="n">
        <v>45492</v>
      </c>
      <c r="C534" s="1" t="n">
        <v>45910</v>
      </c>
      <c r="D534" t="inlineStr">
        <is>
          <t>VÄSTERBOTTENS LÄN</t>
        </is>
      </c>
      <c r="E534" t="inlineStr">
        <is>
          <t>ÅSELE</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36331-2024</t>
        </is>
      </c>
      <c r="B535" s="1" t="n">
        <v>45534.63957175926</v>
      </c>
      <c r="C535" s="1" t="n">
        <v>45910</v>
      </c>
      <c r="D535" t="inlineStr">
        <is>
          <t>VÄSTERBOTTENS LÄN</t>
        </is>
      </c>
      <c r="E535" t="inlineStr">
        <is>
          <t>ÅSELE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7621-2025</t>
        </is>
      </c>
      <c r="B536" s="1" t="n">
        <v>45705.71922453704</v>
      </c>
      <c r="C536" s="1" t="n">
        <v>45910</v>
      </c>
      <c r="D536" t="inlineStr">
        <is>
          <t>VÄSTERBOTTENS LÄN</t>
        </is>
      </c>
      <c r="E536" t="inlineStr">
        <is>
          <t>ÅSELE</t>
        </is>
      </c>
      <c r="G536" t="n">
        <v>5.9</v>
      </c>
      <c r="H536" t="n">
        <v>0</v>
      </c>
      <c r="I536" t="n">
        <v>0</v>
      </c>
      <c r="J536" t="n">
        <v>0</v>
      </c>
      <c r="K536" t="n">
        <v>0</v>
      </c>
      <c r="L536" t="n">
        <v>0</v>
      </c>
      <c r="M536" t="n">
        <v>0</v>
      </c>
      <c r="N536" t="n">
        <v>0</v>
      </c>
      <c r="O536" t="n">
        <v>0</v>
      </c>
      <c r="P536" t="n">
        <v>0</v>
      </c>
      <c r="Q536" t="n">
        <v>0</v>
      </c>
      <c r="R536" s="2" t="inlineStr"/>
    </row>
    <row r="537" ht="15" customHeight="1">
      <c r="A537" t="inlineStr">
        <is>
          <t>A 34852-2025</t>
        </is>
      </c>
      <c r="B537" s="1" t="n">
        <v>45849.42777777778</v>
      </c>
      <c r="C537" s="1" t="n">
        <v>45910</v>
      </c>
      <c r="D537" t="inlineStr">
        <is>
          <t>VÄSTERBOTTENS LÄN</t>
        </is>
      </c>
      <c r="E537" t="inlineStr">
        <is>
          <t>ÅSELE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34667-2025</t>
        </is>
      </c>
      <c r="B538" s="1" t="n">
        <v>45848.38278935185</v>
      </c>
      <c r="C538" s="1" t="n">
        <v>45910</v>
      </c>
      <c r="D538" t="inlineStr">
        <is>
          <t>VÄSTERBOTTENS LÄN</t>
        </is>
      </c>
      <c r="E538" t="inlineStr">
        <is>
          <t>ÅSELE</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12359-2024</t>
        </is>
      </c>
      <c r="B539" s="1" t="n">
        <v>45378.93795138889</v>
      </c>
      <c r="C539" s="1" t="n">
        <v>45910</v>
      </c>
      <c r="D539" t="inlineStr">
        <is>
          <t>VÄSTERBOTTENS LÄN</t>
        </is>
      </c>
      <c r="E539" t="inlineStr">
        <is>
          <t>ÅSELE</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8878-2024</t>
        </is>
      </c>
      <c r="B540" s="1" t="n">
        <v>45357</v>
      </c>
      <c r="C540" s="1" t="n">
        <v>45910</v>
      </c>
      <c r="D540" t="inlineStr">
        <is>
          <t>VÄSTERBOTTENS LÄN</t>
        </is>
      </c>
      <c r="E540" t="inlineStr">
        <is>
          <t>ÅSELE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42910-2024</t>
        </is>
      </c>
      <c r="B541" s="1" t="n">
        <v>45566.94626157408</v>
      </c>
      <c r="C541" s="1" t="n">
        <v>45910</v>
      </c>
      <c r="D541" t="inlineStr">
        <is>
          <t>VÄSTERBOTTENS LÄN</t>
        </is>
      </c>
      <c r="E541" t="inlineStr">
        <is>
          <t>ÅSELE</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42268-2024</t>
        </is>
      </c>
      <c r="B542" s="1" t="n">
        <v>45562.5971412037</v>
      </c>
      <c r="C542" s="1" t="n">
        <v>45910</v>
      </c>
      <c r="D542" t="inlineStr">
        <is>
          <t>VÄSTERBOTTENS LÄN</t>
        </is>
      </c>
      <c r="E542" t="inlineStr">
        <is>
          <t>ÅSELE</t>
        </is>
      </c>
      <c r="F542" t="inlineStr">
        <is>
          <t>Naturvårdsverket</t>
        </is>
      </c>
      <c r="G542" t="n">
        <v>1.6</v>
      </c>
      <c r="H542" t="n">
        <v>0</v>
      </c>
      <c r="I542" t="n">
        <v>0</v>
      </c>
      <c r="J542" t="n">
        <v>0</v>
      </c>
      <c r="K542" t="n">
        <v>0</v>
      </c>
      <c r="L542" t="n">
        <v>0</v>
      </c>
      <c r="M542" t="n">
        <v>0</v>
      </c>
      <c r="N542" t="n">
        <v>0</v>
      </c>
      <c r="O542" t="n">
        <v>0</v>
      </c>
      <c r="P542" t="n">
        <v>0</v>
      </c>
      <c r="Q542" t="n">
        <v>0</v>
      </c>
      <c r="R542" s="2" t="inlineStr"/>
    </row>
    <row r="543" ht="15" customHeight="1">
      <c r="A543" t="inlineStr">
        <is>
          <t>A 42301-2024</t>
        </is>
      </c>
      <c r="B543" s="1" t="n">
        <v>45562.62887731481</v>
      </c>
      <c r="C543" s="1" t="n">
        <v>45910</v>
      </c>
      <c r="D543" t="inlineStr">
        <is>
          <t>VÄSTERBOTTENS LÄN</t>
        </is>
      </c>
      <c r="E543" t="inlineStr">
        <is>
          <t>ÅSELE</t>
        </is>
      </c>
      <c r="F543" t="inlineStr">
        <is>
          <t>Holmen skog AB</t>
        </is>
      </c>
      <c r="G543" t="n">
        <v>6.2</v>
      </c>
      <c r="H543" t="n">
        <v>0</v>
      </c>
      <c r="I543" t="n">
        <v>0</v>
      </c>
      <c r="J543" t="n">
        <v>0</v>
      </c>
      <c r="K543" t="n">
        <v>0</v>
      </c>
      <c r="L543" t="n">
        <v>0</v>
      </c>
      <c r="M543" t="n">
        <v>0</v>
      </c>
      <c r="N543" t="n">
        <v>0</v>
      </c>
      <c r="O543" t="n">
        <v>0</v>
      </c>
      <c r="P543" t="n">
        <v>0</v>
      </c>
      <c r="Q543" t="n">
        <v>0</v>
      </c>
      <c r="R543" s="2" t="inlineStr"/>
    </row>
    <row r="544" ht="15" customHeight="1">
      <c r="A544" t="inlineStr">
        <is>
          <t>A 34808-2025</t>
        </is>
      </c>
      <c r="B544" s="1" t="n">
        <v>45849.34042824074</v>
      </c>
      <c r="C544" s="1" t="n">
        <v>45910</v>
      </c>
      <c r="D544" t="inlineStr">
        <is>
          <t>VÄSTERBOTTENS LÄN</t>
        </is>
      </c>
      <c r="E544" t="inlineStr">
        <is>
          <t>ÅSELE</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34883-2025</t>
        </is>
      </c>
      <c r="B545" s="1" t="n">
        <v>45849.46943287037</v>
      </c>
      <c r="C545" s="1" t="n">
        <v>45910</v>
      </c>
      <c r="D545" t="inlineStr">
        <is>
          <t>VÄSTERBOTTENS LÄN</t>
        </is>
      </c>
      <c r="E545" t="inlineStr">
        <is>
          <t>ÅSELE</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9259-2025</t>
        </is>
      </c>
      <c r="B546" s="1" t="n">
        <v>45714</v>
      </c>
      <c r="C546" s="1" t="n">
        <v>45910</v>
      </c>
      <c r="D546" t="inlineStr">
        <is>
          <t>VÄSTERBOTTENS LÄN</t>
        </is>
      </c>
      <c r="E546" t="inlineStr">
        <is>
          <t>ÅSELE</t>
        </is>
      </c>
      <c r="G546" t="n">
        <v>1.3</v>
      </c>
      <c r="H546" t="n">
        <v>0</v>
      </c>
      <c r="I546" t="n">
        <v>0</v>
      </c>
      <c r="J546" t="n">
        <v>0</v>
      </c>
      <c r="K546" t="n">
        <v>0</v>
      </c>
      <c r="L546" t="n">
        <v>0</v>
      </c>
      <c r="M546" t="n">
        <v>0</v>
      </c>
      <c r="N546" t="n">
        <v>0</v>
      </c>
      <c r="O546" t="n">
        <v>0</v>
      </c>
      <c r="P546" t="n">
        <v>0</v>
      </c>
      <c r="Q546" t="n">
        <v>0</v>
      </c>
      <c r="R546" s="2" t="inlineStr"/>
    </row>
    <row r="547" ht="15" customHeight="1">
      <c r="A547" t="inlineStr">
        <is>
          <t>A 39591-2025</t>
        </is>
      </c>
      <c r="B547" s="1" t="n">
        <v>45890.53163194445</v>
      </c>
      <c r="C547" s="1" t="n">
        <v>45910</v>
      </c>
      <c r="D547" t="inlineStr">
        <is>
          <t>VÄSTERBOTTENS LÄN</t>
        </is>
      </c>
      <c r="E547" t="inlineStr">
        <is>
          <t>ÅSELE</t>
        </is>
      </c>
      <c r="F547" t="inlineStr">
        <is>
          <t>SCA</t>
        </is>
      </c>
      <c r="G547" t="n">
        <v>13.5</v>
      </c>
      <c r="H547" t="n">
        <v>0</v>
      </c>
      <c r="I547" t="n">
        <v>0</v>
      </c>
      <c r="J547" t="n">
        <v>0</v>
      </c>
      <c r="K547" t="n">
        <v>0</v>
      </c>
      <c r="L547" t="n">
        <v>0</v>
      </c>
      <c r="M547" t="n">
        <v>0</v>
      </c>
      <c r="N547" t="n">
        <v>0</v>
      </c>
      <c r="O547" t="n">
        <v>0</v>
      </c>
      <c r="P547" t="n">
        <v>0</v>
      </c>
      <c r="Q547" t="n">
        <v>0</v>
      </c>
      <c r="R547" s="2" t="inlineStr"/>
    </row>
    <row r="548" ht="15" customHeight="1">
      <c r="A548" t="inlineStr">
        <is>
          <t>A 34659-2025</t>
        </is>
      </c>
      <c r="B548" s="1" t="n">
        <v>45848.36859953704</v>
      </c>
      <c r="C548" s="1" t="n">
        <v>45910</v>
      </c>
      <c r="D548" t="inlineStr">
        <is>
          <t>VÄSTERBOTTENS LÄN</t>
        </is>
      </c>
      <c r="E548" t="inlineStr">
        <is>
          <t>ÅSELE</t>
        </is>
      </c>
      <c r="G548" t="n">
        <v>2.6</v>
      </c>
      <c r="H548" t="n">
        <v>0</v>
      </c>
      <c r="I548" t="n">
        <v>0</v>
      </c>
      <c r="J548" t="n">
        <v>0</v>
      </c>
      <c r="K548" t="n">
        <v>0</v>
      </c>
      <c r="L548" t="n">
        <v>0</v>
      </c>
      <c r="M548" t="n">
        <v>0</v>
      </c>
      <c r="N548" t="n">
        <v>0</v>
      </c>
      <c r="O548" t="n">
        <v>0</v>
      </c>
      <c r="P548" t="n">
        <v>0</v>
      </c>
      <c r="Q548" t="n">
        <v>0</v>
      </c>
      <c r="R548" s="2" t="inlineStr"/>
    </row>
    <row r="549" ht="15" customHeight="1">
      <c r="A549" t="inlineStr">
        <is>
          <t>A 34661-2025</t>
        </is>
      </c>
      <c r="B549" s="1" t="n">
        <v>45848.3715625</v>
      </c>
      <c r="C549" s="1" t="n">
        <v>45910</v>
      </c>
      <c r="D549" t="inlineStr">
        <is>
          <t>VÄSTERBOTTENS LÄN</t>
        </is>
      </c>
      <c r="E549" t="inlineStr">
        <is>
          <t>ÅSELE</t>
        </is>
      </c>
      <c r="G549" t="n">
        <v>0.6</v>
      </c>
      <c r="H549" t="n">
        <v>0</v>
      </c>
      <c r="I549" t="n">
        <v>0</v>
      </c>
      <c r="J549" t="n">
        <v>0</v>
      </c>
      <c r="K549" t="n">
        <v>0</v>
      </c>
      <c r="L549" t="n">
        <v>0</v>
      </c>
      <c r="M549" t="n">
        <v>0</v>
      </c>
      <c r="N549" t="n">
        <v>0</v>
      </c>
      <c r="O549" t="n">
        <v>0</v>
      </c>
      <c r="P549" t="n">
        <v>0</v>
      </c>
      <c r="Q549" t="n">
        <v>0</v>
      </c>
      <c r="R549" s="2" t="inlineStr"/>
    </row>
    <row r="550" ht="15" customHeight="1">
      <c r="A550" t="inlineStr">
        <is>
          <t>A 38350-2024</t>
        </is>
      </c>
      <c r="B550" s="1" t="n">
        <v>45545</v>
      </c>
      <c r="C550" s="1" t="n">
        <v>45910</v>
      </c>
      <c r="D550" t="inlineStr">
        <is>
          <t>VÄSTERBOTTENS LÄN</t>
        </is>
      </c>
      <c r="E550" t="inlineStr">
        <is>
          <t>ÅSELE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39472-2025</t>
        </is>
      </c>
      <c r="B551" s="1" t="n">
        <v>45890.34418981482</v>
      </c>
      <c r="C551" s="1" t="n">
        <v>45910</v>
      </c>
      <c r="D551" t="inlineStr">
        <is>
          <t>VÄSTERBOTTENS LÄN</t>
        </is>
      </c>
      <c r="E551" t="inlineStr">
        <is>
          <t>ÅSELE</t>
        </is>
      </c>
      <c r="F551" t="inlineStr">
        <is>
          <t>SCA</t>
        </is>
      </c>
      <c r="G551" t="n">
        <v>8.6</v>
      </c>
      <c r="H551" t="n">
        <v>0</v>
      </c>
      <c r="I551" t="n">
        <v>0</v>
      </c>
      <c r="J551" t="n">
        <v>0</v>
      </c>
      <c r="K551" t="n">
        <v>0</v>
      </c>
      <c r="L551" t="n">
        <v>0</v>
      </c>
      <c r="M551" t="n">
        <v>0</v>
      </c>
      <c r="N551" t="n">
        <v>0</v>
      </c>
      <c r="O551" t="n">
        <v>0</v>
      </c>
      <c r="P551" t="n">
        <v>0</v>
      </c>
      <c r="Q551" t="n">
        <v>0</v>
      </c>
      <c r="R551" s="2" t="inlineStr"/>
    </row>
    <row r="552" ht="15" customHeight="1">
      <c r="A552" t="inlineStr">
        <is>
          <t>A 34301-2025</t>
        </is>
      </c>
      <c r="B552" s="1" t="n">
        <v>45846.34537037037</v>
      </c>
      <c r="C552" s="1" t="n">
        <v>45910</v>
      </c>
      <c r="D552" t="inlineStr">
        <is>
          <t>VÄSTERBOTTENS LÄN</t>
        </is>
      </c>
      <c r="E552" t="inlineStr">
        <is>
          <t>ÅSELE</t>
        </is>
      </c>
      <c r="F552" t="inlineStr">
        <is>
          <t>SCA</t>
        </is>
      </c>
      <c r="G552" t="n">
        <v>27.4</v>
      </c>
      <c r="H552" t="n">
        <v>0</v>
      </c>
      <c r="I552" t="n">
        <v>0</v>
      </c>
      <c r="J552" t="n">
        <v>0</v>
      </c>
      <c r="K552" t="n">
        <v>0</v>
      </c>
      <c r="L552" t="n">
        <v>0</v>
      </c>
      <c r="M552" t="n">
        <v>0</v>
      </c>
      <c r="N552" t="n">
        <v>0</v>
      </c>
      <c r="O552" t="n">
        <v>0</v>
      </c>
      <c r="P552" t="n">
        <v>0</v>
      </c>
      <c r="Q552" t="n">
        <v>0</v>
      </c>
      <c r="R552" s="2" t="inlineStr"/>
    </row>
    <row r="553" ht="15" customHeight="1">
      <c r="A553" t="inlineStr">
        <is>
          <t>A 34843-2025</t>
        </is>
      </c>
      <c r="B553" s="1" t="n">
        <v>45849.40900462963</v>
      </c>
      <c r="C553" s="1" t="n">
        <v>45910</v>
      </c>
      <c r="D553" t="inlineStr">
        <is>
          <t>VÄSTERBOTTENS LÄN</t>
        </is>
      </c>
      <c r="E553" t="inlineStr">
        <is>
          <t>ÅSELE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45477-2024</t>
        </is>
      </c>
      <c r="B554" s="1" t="n">
        <v>45576.83114583333</v>
      </c>
      <c r="C554" s="1" t="n">
        <v>45910</v>
      </c>
      <c r="D554" t="inlineStr">
        <is>
          <t>VÄSTERBOTTENS LÄN</t>
        </is>
      </c>
      <c r="E554" t="inlineStr">
        <is>
          <t>ÅSELE</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34900-2025</t>
        </is>
      </c>
      <c r="B555" s="1" t="n">
        <v>45849.5046875</v>
      </c>
      <c r="C555" s="1" t="n">
        <v>45910</v>
      </c>
      <c r="D555" t="inlineStr">
        <is>
          <t>VÄSTERBOTTENS LÄN</t>
        </is>
      </c>
      <c r="E555" t="inlineStr">
        <is>
          <t>ÅSELE</t>
        </is>
      </c>
      <c r="G555" t="n">
        <v>1.4</v>
      </c>
      <c r="H555" t="n">
        <v>0</v>
      </c>
      <c r="I555" t="n">
        <v>0</v>
      </c>
      <c r="J555" t="n">
        <v>0</v>
      </c>
      <c r="K555" t="n">
        <v>0</v>
      </c>
      <c r="L555" t="n">
        <v>0</v>
      </c>
      <c r="M555" t="n">
        <v>0</v>
      </c>
      <c r="N555" t="n">
        <v>0</v>
      </c>
      <c r="O555" t="n">
        <v>0</v>
      </c>
      <c r="P555" t="n">
        <v>0</v>
      </c>
      <c r="Q555" t="n">
        <v>0</v>
      </c>
      <c r="R555" s="2" t="inlineStr"/>
    </row>
    <row r="556" ht="15" customHeight="1">
      <c r="A556" t="inlineStr">
        <is>
          <t>A 34904-2025</t>
        </is>
      </c>
      <c r="B556" s="1" t="n">
        <v>45849.51297453704</v>
      </c>
      <c r="C556" s="1" t="n">
        <v>45910</v>
      </c>
      <c r="D556" t="inlineStr">
        <is>
          <t>VÄSTERBOTTENS LÄN</t>
        </is>
      </c>
      <c r="E556" t="inlineStr">
        <is>
          <t>ÅSELE</t>
        </is>
      </c>
      <c r="G556" t="n">
        <v>1.6</v>
      </c>
      <c r="H556" t="n">
        <v>0</v>
      </c>
      <c r="I556" t="n">
        <v>0</v>
      </c>
      <c r="J556" t="n">
        <v>0</v>
      </c>
      <c r="K556" t="n">
        <v>0</v>
      </c>
      <c r="L556" t="n">
        <v>0</v>
      </c>
      <c r="M556" t="n">
        <v>0</v>
      </c>
      <c r="N556" t="n">
        <v>0</v>
      </c>
      <c r="O556" t="n">
        <v>0</v>
      </c>
      <c r="P556" t="n">
        <v>0</v>
      </c>
      <c r="Q556" t="n">
        <v>0</v>
      </c>
      <c r="R556" s="2" t="inlineStr"/>
    </row>
    <row r="557" ht="15" customHeight="1">
      <c r="A557" t="inlineStr">
        <is>
          <t>A 61744-2024</t>
        </is>
      </c>
      <c r="B557" s="1" t="n">
        <v>45649</v>
      </c>
      <c r="C557" s="1" t="n">
        <v>45910</v>
      </c>
      <c r="D557" t="inlineStr">
        <is>
          <t>VÄSTERBOTTENS LÄN</t>
        </is>
      </c>
      <c r="E557" t="inlineStr">
        <is>
          <t>ÅSELE</t>
        </is>
      </c>
      <c r="G557" t="n">
        <v>6.6</v>
      </c>
      <c r="H557" t="n">
        <v>0</v>
      </c>
      <c r="I557" t="n">
        <v>0</v>
      </c>
      <c r="J557" t="n">
        <v>0</v>
      </c>
      <c r="K557" t="n">
        <v>0</v>
      </c>
      <c r="L557" t="n">
        <v>0</v>
      </c>
      <c r="M557" t="n">
        <v>0</v>
      </c>
      <c r="N557" t="n">
        <v>0</v>
      </c>
      <c r="O557" t="n">
        <v>0</v>
      </c>
      <c r="P557" t="n">
        <v>0</v>
      </c>
      <c r="Q557" t="n">
        <v>0</v>
      </c>
      <c r="R557" s="2" t="inlineStr"/>
    </row>
    <row r="558" ht="15" customHeight="1">
      <c r="A558" t="inlineStr">
        <is>
          <t>A 5012-2024</t>
        </is>
      </c>
      <c r="B558" s="1" t="n">
        <v>45329</v>
      </c>
      <c r="C558" s="1" t="n">
        <v>45910</v>
      </c>
      <c r="D558" t="inlineStr">
        <is>
          <t>VÄSTERBOTTENS LÄN</t>
        </is>
      </c>
      <c r="E558" t="inlineStr">
        <is>
          <t>ÅSELE</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40223-2025</t>
        </is>
      </c>
      <c r="B559" s="1" t="n">
        <v>45894.69829861111</v>
      </c>
      <c r="C559" s="1" t="n">
        <v>45910</v>
      </c>
      <c r="D559" t="inlineStr">
        <is>
          <t>VÄSTERBOTTENS LÄN</t>
        </is>
      </c>
      <c r="E559" t="inlineStr">
        <is>
          <t>ÅSELE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34779-2024</t>
        </is>
      </c>
      <c r="B560" s="1" t="n">
        <v>45526.63690972222</v>
      </c>
      <c r="C560" s="1" t="n">
        <v>45910</v>
      </c>
      <c r="D560" t="inlineStr">
        <is>
          <t>VÄSTERBOTTENS LÄN</t>
        </is>
      </c>
      <c r="E560" t="inlineStr">
        <is>
          <t>ÅSELE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39971-2025</t>
        </is>
      </c>
      <c r="B561" s="1" t="n">
        <v>45892.69835648148</v>
      </c>
      <c r="C561" s="1" t="n">
        <v>45910</v>
      </c>
      <c r="D561" t="inlineStr">
        <is>
          <t>VÄSTERBOTTENS LÄN</t>
        </is>
      </c>
      <c r="E561" t="inlineStr">
        <is>
          <t>ÅSELE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39978-2025</t>
        </is>
      </c>
      <c r="B562" s="1" t="n">
        <v>45893.69837962963</v>
      </c>
      <c r="C562" s="1" t="n">
        <v>45910</v>
      </c>
      <c r="D562" t="inlineStr">
        <is>
          <t>VÄSTERBOTTENS LÄN</t>
        </is>
      </c>
      <c r="E562" t="inlineStr">
        <is>
          <t>ÅSELE</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40125-2025</t>
        </is>
      </c>
      <c r="B563" s="1" t="n">
        <v>45894.53178240741</v>
      </c>
      <c r="C563" s="1" t="n">
        <v>45910</v>
      </c>
      <c r="D563" t="inlineStr">
        <is>
          <t>VÄSTERBOTTENS LÄN</t>
        </is>
      </c>
      <c r="E563" t="inlineStr">
        <is>
          <t>ÅSELE</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27939-2024</t>
        </is>
      </c>
      <c r="B564" s="1" t="n">
        <v>45476</v>
      </c>
      <c r="C564" s="1" t="n">
        <v>45910</v>
      </c>
      <c r="D564" t="inlineStr">
        <is>
          <t>VÄSTERBOTTENS LÄN</t>
        </is>
      </c>
      <c r="E564" t="inlineStr">
        <is>
          <t>ÅSELE</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40124-2025</t>
        </is>
      </c>
      <c r="B565" s="1" t="n">
        <v>45894.53172453704</v>
      </c>
      <c r="C565" s="1" t="n">
        <v>45910</v>
      </c>
      <c r="D565" t="inlineStr">
        <is>
          <t>VÄSTERBOTTENS LÄN</t>
        </is>
      </c>
      <c r="E565" t="inlineStr">
        <is>
          <t>ÅSELE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41583-2024</t>
        </is>
      </c>
      <c r="B566" s="1" t="n">
        <v>45560.55664351852</v>
      </c>
      <c r="C566" s="1" t="n">
        <v>45910</v>
      </c>
      <c r="D566" t="inlineStr">
        <is>
          <t>VÄSTERBOTTENS LÄN</t>
        </is>
      </c>
      <c r="E566" t="inlineStr">
        <is>
          <t>ÅSELE</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40479-2025</t>
        </is>
      </c>
      <c r="B567" s="1" t="n">
        <v>45895.72991898148</v>
      </c>
      <c r="C567" s="1" t="n">
        <v>45910</v>
      </c>
      <c r="D567" t="inlineStr">
        <is>
          <t>VÄSTERBOTTENS LÄN</t>
        </is>
      </c>
      <c r="E567" t="inlineStr">
        <is>
          <t>ÅSELE</t>
        </is>
      </c>
      <c r="F567" t="inlineStr">
        <is>
          <t>Naturvårdsverket</t>
        </is>
      </c>
      <c r="G567" t="n">
        <v>4.4</v>
      </c>
      <c r="H567" t="n">
        <v>0</v>
      </c>
      <c r="I567" t="n">
        <v>0</v>
      </c>
      <c r="J567" t="n">
        <v>0</v>
      </c>
      <c r="K567" t="n">
        <v>0</v>
      </c>
      <c r="L567" t="n">
        <v>0</v>
      </c>
      <c r="M567" t="n">
        <v>0</v>
      </c>
      <c r="N567" t="n">
        <v>0</v>
      </c>
      <c r="O567" t="n">
        <v>0</v>
      </c>
      <c r="P567" t="n">
        <v>0</v>
      </c>
      <c r="Q567" t="n">
        <v>0</v>
      </c>
      <c r="R567" s="2" t="inlineStr"/>
    </row>
    <row r="568" ht="15" customHeight="1">
      <c r="A568" t="inlineStr">
        <is>
          <t>A 16806-2025</t>
        </is>
      </c>
      <c r="B568" s="1" t="n">
        <v>45754.62675925926</v>
      </c>
      <c r="C568" s="1" t="n">
        <v>45910</v>
      </c>
      <c r="D568" t="inlineStr">
        <is>
          <t>VÄSTERBOTTENS LÄN</t>
        </is>
      </c>
      <c r="E568" t="inlineStr">
        <is>
          <t>ÅSELE</t>
        </is>
      </c>
      <c r="F568" t="inlineStr">
        <is>
          <t>Holmen skog AB</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40350-2025</t>
        </is>
      </c>
      <c r="B569" s="1" t="n">
        <v>45895.48373842592</v>
      </c>
      <c r="C569" s="1" t="n">
        <v>45910</v>
      </c>
      <c r="D569" t="inlineStr">
        <is>
          <t>VÄSTERBOTTENS LÄN</t>
        </is>
      </c>
      <c r="E569" t="inlineStr">
        <is>
          <t>ÅSELE</t>
        </is>
      </c>
      <c r="F569" t="inlineStr">
        <is>
          <t>Sveaskog</t>
        </is>
      </c>
      <c r="G569" t="n">
        <v>5.1</v>
      </c>
      <c r="H569" t="n">
        <v>0</v>
      </c>
      <c r="I569" t="n">
        <v>0</v>
      </c>
      <c r="J569" t="n">
        <v>0</v>
      </c>
      <c r="K569" t="n">
        <v>0</v>
      </c>
      <c r="L569" t="n">
        <v>0</v>
      </c>
      <c r="M569" t="n">
        <v>0</v>
      </c>
      <c r="N569" t="n">
        <v>0</v>
      </c>
      <c r="O569" t="n">
        <v>0</v>
      </c>
      <c r="P569" t="n">
        <v>0</v>
      </c>
      <c r="Q569" t="n">
        <v>0</v>
      </c>
      <c r="R569" s="2" t="inlineStr"/>
    </row>
    <row r="570" ht="15" customHeight="1">
      <c r="A570" t="inlineStr">
        <is>
          <t>A 40035-2025</t>
        </is>
      </c>
      <c r="B570" s="1" t="n">
        <v>45894.38201388889</v>
      </c>
      <c r="C570" s="1" t="n">
        <v>45910</v>
      </c>
      <c r="D570" t="inlineStr">
        <is>
          <t>VÄSTERBOTTENS LÄN</t>
        </is>
      </c>
      <c r="E570" t="inlineStr">
        <is>
          <t>ÅSELE</t>
        </is>
      </c>
      <c r="G570" t="n">
        <v>3.3</v>
      </c>
      <c r="H570" t="n">
        <v>0</v>
      </c>
      <c r="I570" t="n">
        <v>0</v>
      </c>
      <c r="J570" t="n">
        <v>0</v>
      </c>
      <c r="K570" t="n">
        <v>0</v>
      </c>
      <c r="L570" t="n">
        <v>0</v>
      </c>
      <c r="M570" t="n">
        <v>0</v>
      </c>
      <c r="N570" t="n">
        <v>0</v>
      </c>
      <c r="O570" t="n">
        <v>0</v>
      </c>
      <c r="P570" t="n">
        <v>0</v>
      </c>
      <c r="Q570" t="n">
        <v>0</v>
      </c>
      <c r="R570" s="2" t="inlineStr"/>
    </row>
    <row r="571" ht="15" customHeight="1">
      <c r="A571" t="inlineStr">
        <is>
          <t>A 14167-2024</t>
        </is>
      </c>
      <c r="B571" s="1" t="n">
        <v>45392</v>
      </c>
      <c r="C571" s="1" t="n">
        <v>45910</v>
      </c>
      <c r="D571" t="inlineStr">
        <is>
          <t>VÄSTERBOTTENS LÄN</t>
        </is>
      </c>
      <c r="E571" t="inlineStr">
        <is>
          <t>ÅSELE</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4921-2024</t>
        </is>
      </c>
      <c r="B572" s="1" t="n">
        <v>45329</v>
      </c>
      <c r="C572" s="1" t="n">
        <v>45910</v>
      </c>
      <c r="D572" t="inlineStr">
        <is>
          <t>VÄSTERBOTTENS LÄN</t>
        </is>
      </c>
      <c r="E572" t="inlineStr">
        <is>
          <t>ÅSELE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29300-2023</t>
        </is>
      </c>
      <c r="B573" s="1" t="n">
        <v>45105.86278935185</v>
      </c>
      <c r="C573" s="1" t="n">
        <v>45910</v>
      </c>
      <c r="D573" t="inlineStr">
        <is>
          <t>VÄSTERBOTTENS LÄN</t>
        </is>
      </c>
      <c r="E573" t="inlineStr">
        <is>
          <t>ÅSELE</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39731-2023</t>
        </is>
      </c>
      <c r="B574" s="1" t="n">
        <v>45167</v>
      </c>
      <c r="C574" s="1" t="n">
        <v>45910</v>
      </c>
      <c r="D574" t="inlineStr">
        <is>
          <t>VÄSTERBOTTENS LÄN</t>
        </is>
      </c>
      <c r="E574" t="inlineStr">
        <is>
          <t>ÅSELE</t>
        </is>
      </c>
      <c r="F574" t="inlineStr">
        <is>
          <t>Sveaskog</t>
        </is>
      </c>
      <c r="G574" t="n">
        <v>17.6</v>
      </c>
      <c r="H574" t="n">
        <v>0</v>
      </c>
      <c r="I574" t="n">
        <v>0</v>
      </c>
      <c r="J574" t="n">
        <v>0</v>
      </c>
      <c r="K574" t="n">
        <v>0</v>
      </c>
      <c r="L574" t="n">
        <v>0</v>
      </c>
      <c r="M574" t="n">
        <v>0</v>
      </c>
      <c r="N574" t="n">
        <v>0</v>
      </c>
      <c r="O574" t="n">
        <v>0</v>
      </c>
      <c r="P574" t="n">
        <v>0</v>
      </c>
      <c r="Q574" t="n">
        <v>0</v>
      </c>
      <c r="R574" s="2" t="inlineStr"/>
    </row>
    <row r="575" ht="15" customHeight="1">
      <c r="A575" t="inlineStr">
        <is>
          <t>A 40454-2025</t>
        </is>
      </c>
      <c r="B575" s="1" t="n">
        <v>45895.63664351852</v>
      </c>
      <c r="C575" s="1" t="n">
        <v>45910</v>
      </c>
      <c r="D575" t="inlineStr">
        <is>
          <t>VÄSTERBOTTENS LÄN</t>
        </is>
      </c>
      <c r="E575" t="inlineStr">
        <is>
          <t>ÅSELE</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40349-2025</t>
        </is>
      </c>
      <c r="B576" s="1" t="n">
        <v>45895.48251157408</v>
      </c>
      <c r="C576" s="1" t="n">
        <v>45910</v>
      </c>
      <c r="D576" t="inlineStr">
        <is>
          <t>VÄSTERBOTTENS LÄN</t>
        </is>
      </c>
      <c r="E576" t="inlineStr">
        <is>
          <t>ÅSELE</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40028-2025</t>
        </is>
      </c>
      <c r="B577" s="1" t="n">
        <v>45894.37039351852</v>
      </c>
      <c r="C577" s="1" t="n">
        <v>45910</v>
      </c>
      <c r="D577" t="inlineStr">
        <is>
          <t>VÄSTERBOTTENS LÄN</t>
        </is>
      </c>
      <c r="E577" t="inlineStr">
        <is>
          <t>ÅSELE</t>
        </is>
      </c>
      <c r="G577" t="n">
        <v>5.3</v>
      </c>
      <c r="H577" t="n">
        <v>0</v>
      </c>
      <c r="I577" t="n">
        <v>0</v>
      </c>
      <c r="J577" t="n">
        <v>0</v>
      </c>
      <c r="K577" t="n">
        <v>0</v>
      </c>
      <c r="L577" t="n">
        <v>0</v>
      </c>
      <c r="M577" t="n">
        <v>0</v>
      </c>
      <c r="N577" t="n">
        <v>0</v>
      </c>
      <c r="O577" t="n">
        <v>0</v>
      </c>
      <c r="P577" t="n">
        <v>0</v>
      </c>
      <c r="Q577" t="n">
        <v>0</v>
      </c>
      <c r="R577" s="2" t="inlineStr"/>
    </row>
    <row r="578" ht="15" customHeight="1">
      <c r="A578" t="inlineStr">
        <is>
          <t>A 1409-2023</t>
        </is>
      </c>
      <c r="B578" s="1" t="n">
        <v>44936.86325231481</v>
      </c>
      <c r="C578" s="1" t="n">
        <v>45910</v>
      </c>
      <c r="D578" t="inlineStr">
        <is>
          <t>VÄSTERBOTTENS LÄN</t>
        </is>
      </c>
      <c r="E578" t="inlineStr">
        <is>
          <t>ÅSELE</t>
        </is>
      </c>
      <c r="G578" t="n">
        <v>4.8</v>
      </c>
      <c r="H578" t="n">
        <v>0</v>
      </c>
      <c r="I578" t="n">
        <v>0</v>
      </c>
      <c r="J578" t="n">
        <v>0</v>
      </c>
      <c r="K578" t="n">
        <v>0</v>
      </c>
      <c r="L578" t="n">
        <v>0</v>
      </c>
      <c r="M578" t="n">
        <v>0</v>
      </c>
      <c r="N578" t="n">
        <v>0</v>
      </c>
      <c r="O578" t="n">
        <v>0</v>
      </c>
      <c r="P578" t="n">
        <v>0</v>
      </c>
      <c r="Q578" t="n">
        <v>0</v>
      </c>
      <c r="R578" s="2" t="inlineStr"/>
    </row>
    <row r="579" ht="15" customHeight="1">
      <c r="A579" t="inlineStr">
        <is>
          <t>A 44801-2023</t>
        </is>
      </c>
      <c r="B579" s="1" t="n">
        <v>45190.47796296296</v>
      </c>
      <c r="C579" s="1" t="n">
        <v>45910</v>
      </c>
      <c r="D579" t="inlineStr">
        <is>
          <t>VÄSTERBOTTENS LÄN</t>
        </is>
      </c>
      <c r="E579" t="inlineStr">
        <is>
          <t>ÅSELE</t>
        </is>
      </c>
      <c r="F579" t="inlineStr">
        <is>
          <t>Naturvårdsverket</t>
        </is>
      </c>
      <c r="G579" t="n">
        <v>2.4</v>
      </c>
      <c r="H579" t="n">
        <v>0</v>
      </c>
      <c r="I579" t="n">
        <v>0</v>
      </c>
      <c r="J579" t="n">
        <v>0</v>
      </c>
      <c r="K579" t="n">
        <v>0</v>
      </c>
      <c r="L579" t="n">
        <v>0</v>
      </c>
      <c r="M579" t="n">
        <v>0</v>
      </c>
      <c r="N579" t="n">
        <v>0</v>
      </c>
      <c r="O579" t="n">
        <v>0</v>
      </c>
      <c r="P579" t="n">
        <v>0</v>
      </c>
      <c r="Q579" t="n">
        <v>0</v>
      </c>
      <c r="R579" s="2" t="inlineStr"/>
    </row>
    <row r="580" ht="15" customHeight="1">
      <c r="A580" t="inlineStr">
        <is>
          <t>A 10760-2023</t>
        </is>
      </c>
      <c r="B580" s="1" t="n">
        <v>44988.92247685185</v>
      </c>
      <c r="C580" s="1" t="n">
        <v>45910</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10761-2023</t>
        </is>
      </c>
      <c r="B581" s="1" t="n">
        <v>44988.92252314815</v>
      </c>
      <c r="C581" s="1" t="n">
        <v>45910</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40922-2025</t>
        </is>
      </c>
      <c r="B582" s="1" t="n">
        <v>45897.63563657407</v>
      </c>
      <c r="C582" s="1" t="n">
        <v>45910</v>
      </c>
      <c r="D582" t="inlineStr">
        <is>
          <t>VÄSTERBOTTENS LÄN</t>
        </is>
      </c>
      <c r="E582" t="inlineStr">
        <is>
          <t>ÅSELE</t>
        </is>
      </c>
      <c r="F582" t="inlineStr">
        <is>
          <t>Holmen skog AB</t>
        </is>
      </c>
      <c r="G582" t="n">
        <v>2.9</v>
      </c>
      <c r="H582" t="n">
        <v>0</v>
      </c>
      <c r="I582" t="n">
        <v>0</v>
      </c>
      <c r="J582" t="n">
        <v>0</v>
      </c>
      <c r="K582" t="n">
        <v>0</v>
      </c>
      <c r="L582" t="n">
        <v>0</v>
      </c>
      <c r="M582" t="n">
        <v>0</v>
      </c>
      <c r="N582" t="n">
        <v>0</v>
      </c>
      <c r="O582" t="n">
        <v>0</v>
      </c>
      <c r="P582" t="n">
        <v>0</v>
      </c>
      <c r="Q582" t="n">
        <v>0</v>
      </c>
      <c r="R582" s="2" t="inlineStr"/>
    </row>
    <row r="583" ht="15" customHeight="1">
      <c r="A583" t="inlineStr">
        <is>
          <t>A 36042-2023</t>
        </is>
      </c>
      <c r="B583" s="1" t="n">
        <v>45149</v>
      </c>
      <c r="C583" s="1" t="n">
        <v>45910</v>
      </c>
      <c r="D583" t="inlineStr">
        <is>
          <t>VÄSTERBOTTENS LÄN</t>
        </is>
      </c>
      <c r="E583" t="inlineStr">
        <is>
          <t>ÅSELE</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35453-2025</t>
        </is>
      </c>
      <c r="B584" s="1" t="n">
        <v>45855</v>
      </c>
      <c r="C584" s="1" t="n">
        <v>45910</v>
      </c>
      <c r="D584" t="inlineStr">
        <is>
          <t>VÄSTERBOTTENS LÄN</t>
        </is>
      </c>
      <c r="E584" t="inlineStr">
        <is>
          <t>ÅSELE</t>
        </is>
      </c>
      <c r="G584" t="n">
        <v>7</v>
      </c>
      <c r="H584" t="n">
        <v>0</v>
      </c>
      <c r="I584" t="n">
        <v>0</v>
      </c>
      <c r="J584" t="n">
        <v>0</v>
      </c>
      <c r="K584" t="n">
        <v>0</v>
      </c>
      <c r="L584" t="n">
        <v>0</v>
      </c>
      <c r="M584" t="n">
        <v>0</v>
      </c>
      <c r="N584" t="n">
        <v>0</v>
      </c>
      <c r="O584" t="n">
        <v>0</v>
      </c>
      <c r="P584" t="n">
        <v>0</v>
      </c>
      <c r="Q584" t="n">
        <v>0</v>
      </c>
      <c r="R584" s="2" t="inlineStr"/>
    </row>
    <row r="585" ht="15" customHeight="1">
      <c r="A585" t="inlineStr">
        <is>
          <t>A 23604-2023</t>
        </is>
      </c>
      <c r="B585" s="1" t="n">
        <v>45077.45833333334</v>
      </c>
      <c r="C585" s="1" t="n">
        <v>45910</v>
      </c>
      <c r="D585" t="inlineStr">
        <is>
          <t>VÄSTERBOTTENS LÄN</t>
        </is>
      </c>
      <c r="E585" t="inlineStr">
        <is>
          <t>ÅSELE</t>
        </is>
      </c>
      <c r="F585" t="inlineStr">
        <is>
          <t>Holmen skog AB</t>
        </is>
      </c>
      <c r="G585" t="n">
        <v>5.8</v>
      </c>
      <c r="H585" t="n">
        <v>0</v>
      </c>
      <c r="I585" t="n">
        <v>0</v>
      </c>
      <c r="J585" t="n">
        <v>0</v>
      </c>
      <c r="K585" t="n">
        <v>0</v>
      </c>
      <c r="L585" t="n">
        <v>0</v>
      </c>
      <c r="M585" t="n">
        <v>0</v>
      </c>
      <c r="N585" t="n">
        <v>0</v>
      </c>
      <c r="O585" t="n">
        <v>0</v>
      </c>
      <c r="P585" t="n">
        <v>0</v>
      </c>
      <c r="Q585" t="n">
        <v>0</v>
      </c>
      <c r="R585" s="2" t="inlineStr"/>
    </row>
    <row r="586" ht="15" customHeight="1">
      <c r="A586" t="inlineStr">
        <is>
          <t>A 22093-2023</t>
        </is>
      </c>
      <c r="B586" s="1" t="n">
        <v>45068</v>
      </c>
      <c r="C586" s="1" t="n">
        <v>45910</v>
      </c>
      <c r="D586" t="inlineStr">
        <is>
          <t>VÄSTERBOTTENS LÄN</t>
        </is>
      </c>
      <c r="E586" t="inlineStr">
        <is>
          <t>ÅSELE</t>
        </is>
      </c>
      <c r="G586" t="n">
        <v>1.9</v>
      </c>
      <c r="H586" t="n">
        <v>0</v>
      </c>
      <c r="I586" t="n">
        <v>0</v>
      </c>
      <c r="J586" t="n">
        <v>0</v>
      </c>
      <c r="K586" t="n">
        <v>0</v>
      </c>
      <c r="L586" t="n">
        <v>0</v>
      </c>
      <c r="M586" t="n">
        <v>0</v>
      </c>
      <c r="N586" t="n">
        <v>0</v>
      </c>
      <c r="O586" t="n">
        <v>0</v>
      </c>
      <c r="P586" t="n">
        <v>0</v>
      </c>
      <c r="Q586" t="n">
        <v>0</v>
      </c>
      <c r="R586" s="2" t="inlineStr"/>
    </row>
    <row r="587" ht="15" customHeight="1">
      <c r="A587" t="inlineStr">
        <is>
          <t>A 13553-2024</t>
        </is>
      </c>
      <c r="B587" s="1" t="n">
        <v>45387.95421296296</v>
      </c>
      <c r="C587" s="1" t="n">
        <v>45910</v>
      </c>
      <c r="D587" t="inlineStr">
        <is>
          <t>VÄSTERBOTTENS LÄN</t>
        </is>
      </c>
      <c r="E587" t="inlineStr">
        <is>
          <t>ÅSELE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35281-2025</t>
        </is>
      </c>
      <c r="B588" s="1" t="n">
        <v>45854.33944444444</v>
      </c>
      <c r="C588" s="1" t="n">
        <v>45910</v>
      </c>
      <c r="D588" t="inlineStr">
        <is>
          <t>VÄSTERBOTTENS LÄN</t>
        </is>
      </c>
      <c r="E588" t="inlineStr">
        <is>
          <t>ÅSELE</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26006-2024</t>
        </is>
      </c>
      <c r="B589" s="1" t="n">
        <v>45467.95773148148</v>
      </c>
      <c r="C589" s="1" t="n">
        <v>45910</v>
      </c>
      <c r="D589" t="inlineStr">
        <is>
          <t>VÄSTERBOTTENS LÄN</t>
        </is>
      </c>
      <c r="E589" t="inlineStr">
        <is>
          <t>ÅSELE</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55920-2023</t>
        </is>
      </c>
      <c r="B590" s="1" t="n">
        <v>45239.96893518518</v>
      </c>
      <c r="C590" s="1" t="n">
        <v>45910</v>
      </c>
      <c r="D590" t="inlineStr">
        <is>
          <t>VÄSTERBOTTENS LÄN</t>
        </is>
      </c>
      <c r="E590" t="inlineStr">
        <is>
          <t>ÅSELE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28609-2021</t>
        </is>
      </c>
      <c r="B591" s="1" t="n">
        <v>44356.93478009259</v>
      </c>
      <c r="C591" s="1" t="n">
        <v>45910</v>
      </c>
      <c r="D591" t="inlineStr">
        <is>
          <t>VÄSTERBOTTENS LÄN</t>
        </is>
      </c>
      <c r="E591" t="inlineStr">
        <is>
          <t>ÅSELE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44209-2024</t>
        </is>
      </c>
      <c r="B592" s="1" t="n">
        <v>45573</v>
      </c>
      <c r="C592" s="1" t="n">
        <v>45910</v>
      </c>
      <c r="D592" t="inlineStr">
        <is>
          <t>VÄSTERBOTTENS LÄN</t>
        </is>
      </c>
      <c r="E592" t="inlineStr">
        <is>
          <t>ÅSELE</t>
        </is>
      </c>
      <c r="F592" t="inlineStr">
        <is>
          <t>Sveaskog</t>
        </is>
      </c>
      <c r="G592" t="n">
        <v>12.5</v>
      </c>
      <c r="H592" t="n">
        <v>0</v>
      </c>
      <c r="I592" t="n">
        <v>0</v>
      </c>
      <c r="J592" t="n">
        <v>0</v>
      </c>
      <c r="K592" t="n">
        <v>0</v>
      </c>
      <c r="L592" t="n">
        <v>0</v>
      </c>
      <c r="M592" t="n">
        <v>0</v>
      </c>
      <c r="N592" t="n">
        <v>0</v>
      </c>
      <c r="O592" t="n">
        <v>0</v>
      </c>
      <c r="P592" t="n">
        <v>0</v>
      </c>
      <c r="Q592" t="n">
        <v>0</v>
      </c>
      <c r="R592" s="2" t="inlineStr"/>
    </row>
    <row r="593" ht="15" customHeight="1">
      <c r="A593" t="inlineStr">
        <is>
          <t>A 35549-2025</t>
        </is>
      </c>
      <c r="B593" s="1" t="n">
        <v>45856.49295138889</v>
      </c>
      <c r="C593" s="1" t="n">
        <v>45910</v>
      </c>
      <c r="D593" t="inlineStr">
        <is>
          <t>VÄSTERBOTTENS LÄN</t>
        </is>
      </c>
      <c r="E593" t="inlineStr">
        <is>
          <t>ÅSELE</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32057-2024</t>
        </is>
      </c>
      <c r="B594" s="1" t="n">
        <v>45510</v>
      </c>
      <c r="C594" s="1" t="n">
        <v>45910</v>
      </c>
      <c r="D594" t="inlineStr">
        <is>
          <t>VÄSTERBOTTENS LÄN</t>
        </is>
      </c>
      <c r="E594" t="inlineStr">
        <is>
          <t>ÅSELE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29597-2024</t>
        </is>
      </c>
      <c r="B595" s="1" t="n">
        <v>45484.58983796297</v>
      </c>
      <c r="C595" s="1" t="n">
        <v>45910</v>
      </c>
      <c r="D595" t="inlineStr">
        <is>
          <t>VÄSTERBOTTENS LÄN</t>
        </is>
      </c>
      <c r="E595" t="inlineStr">
        <is>
          <t>ÅSELE</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29619-2024</t>
        </is>
      </c>
      <c r="B596" s="1" t="n">
        <v>45484.6541087963</v>
      </c>
      <c r="C596" s="1" t="n">
        <v>45910</v>
      </c>
      <c r="D596" t="inlineStr">
        <is>
          <t>VÄSTERBOTTENS LÄN</t>
        </is>
      </c>
      <c r="E596" t="inlineStr">
        <is>
          <t>ÅSELE</t>
        </is>
      </c>
      <c r="F596" t="inlineStr">
        <is>
          <t>Sveaskog</t>
        </is>
      </c>
      <c r="G596" t="n">
        <v>9.5</v>
      </c>
      <c r="H596" t="n">
        <v>0</v>
      </c>
      <c r="I596" t="n">
        <v>0</v>
      </c>
      <c r="J596" t="n">
        <v>0</v>
      </c>
      <c r="K596" t="n">
        <v>0</v>
      </c>
      <c r="L596" t="n">
        <v>0</v>
      </c>
      <c r="M596" t="n">
        <v>0</v>
      </c>
      <c r="N596" t="n">
        <v>0</v>
      </c>
      <c r="O596" t="n">
        <v>0</v>
      </c>
      <c r="P596" t="n">
        <v>0</v>
      </c>
      <c r="Q596" t="n">
        <v>0</v>
      </c>
      <c r="R596" s="2" t="inlineStr"/>
    </row>
    <row r="597" ht="15" customHeight="1">
      <c r="A597" t="inlineStr">
        <is>
          <t>A 31190-2023</t>
        </is>
      </c>
      <c r="B597" s="1" t="n">
        <v>45113.94958333333</v>
      </c>
      <c r="C597" s="1" t="n">
        <v>45910</v>
      </c>
      <c r="D597" t="inlineStr">
        <is>
          <t>VÄSTERBOTTENS LÄN</t>
        </is>
      </c>
      <c r="E597" t="inlineStr">
        <is>
          <t>ÅSELE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49382-2024</t>
        </is>
      </c>
      <c r="B598" s="1" t="n">
        <v>45595</v>
      </c>
      <c r="C598" s="1" t="n">
        <v>45910</v>
      </c>
      <c r="D598" t="inlineStr">
        <is>
          <t>VÄSTERBOTTENS LÄN</t>
        </is>
      </c>
      <c r="E598" t="inlineStr">
        <is>
          <t>ÅSELE</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36315-2025</t>
        </is>
      </c>
      <c r="B599" s="1" t="n">
        <v>45868</v>
      </c>
      <c r="C599" s="1" t="n">
        <v>45910</v>
      </c>
      <c r="D599" t="inlineStr">
        <is>
          <t>VÄSTERBOTTENS LÄN</t>
        </is>
      </c>
      <c r="E599" t="inlineStr">
        <is>
          <t>ÅSELE</t>
        </is>
      </c>
      <c r="G599" t="n">
        <v>1.6</v>
      </c>
      <c r="H599" t="n">
        <v>0</v>
      </c>
      <c r="I599" t="n">
        <v>0</v>
      </c>
      <c r="J599" t="n">
        <v>0</v>
      </c>
      <c r="K599" t="n">
        <v>0</v>
      </c>
      <c r="L599" t="n">
        <v>0</v>
      </c>
      <c r="M599" t="n">
        <v>0</v>
      </c>
      <c r="N599" t="n">
        <v>0</v>
      </c>
      <c r="O599" t="n">
        <v>0</v>
      </c>
      <c r="P599" t="n">
        <v>0</v>
      </c>
      <c r="Q599" t="n">
        <v>0</v>
      </c>
      <c r="R599" s="2" t="inlineStr"/>
    </row>
    <row r="600" ht="15" customHeight="1">
      <c r="A600" t="inlineStr">
        <is>
          <t>A 41160-2025</t>
        </is>
      </c>
      <c r="B600" s="1" t="n">
        <v>45898.53180555555</v>
      </c>
      <c r="C600" s="1" t="n">
        <v>45910</v>
      </c>
      <c r="D600" t="inlineStr">
        <is>
          <t>VÄSTERBOTTENS LÄN</t>
        </is>
      </c>
      <c r="E600" t="inlineStr">
        <is>
          <t>ÅSELE</t>
        </is>
      </c>
      <c r="F600" t="inlineStr">
        <is>
          <t>SCA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41177-2025</t>
        </is>
      </c>
      <c r="B601" s="1" t="n">
        <v>45898.55245370371</v>
      </c>
      <c r="C601" s="1" t="n">
        <v>45910</v>
      </c>
      <c r="D601" t="inlineStr">
        <is>
          <t>VÄSTERBOTTENS LÄN</t>
        </is>
      </c>
      <c r="E601" t="inlineStr">
        <is>
          <t>ÅSELE</t>
        </is>
      </c>
      <c r="F601" t="inlineStr">
        <is>
          <t>SCA</t>
        </is>
      </c>
      <c r="G601" t="n">
        <v>6.7</v>
      </c>
      <c r="H601" t="n">
        <v>0</v>
      </c>
      <c r="I601" t="n">
        <v>0</v>
      </c>
      <c r="J601" t="n">
        <v>0</v>
      </c>
      <c r="K601" t="n">
        <v>0</v>
      </c>
      <c r="L601" t="n">
        <v>0</v>
      </c>
      <c r="M601" t="n">
        <v>0</v>
      </c>
      <c r="N601" t="n">
        <v>0</v>
      </c>
      <c r="O601" t="n">
        <v>0</v>
      </c>
      <c r="P601" t="n">
        <v>0</v>
      </c>
      <c r="Q601" t="n">
        <v>0</v>
      </c>
      <c r="R601" s="2" t="inlineStr"/>
    </row>
    <row r="602" ht="15" customHeight="1">
      <c r="A602" t="inlineStr">
        <is>
          <t>A 41523-2025</t>
        </is>
      </c>
      <c r="B602" s="1" t="n">
        <v>45901.55246527777</v>
      </c>
      <c r="C602" s="1" t="n">
        <v>45910</v>
      </c>
      <c r="D602" t="inlineStr">
        <is>
          <t>VÄSTERBOTTENS LÄN</t>
        </is>
      </c>
      <c r="E602" t="inlineStr">
        <is>
          <t>ÅSELE</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41525-2025</t>
        </is>
      </c>
      <c r="B603" s="1" t="n">
        <v>45901.55268518518</v>
      </c>
      <c r="C603" s="1" t="n">
        <v>45910</v>
      </c>
      <c r="D603" t="inlineStr">
        <is>
          <t>VÄSTERBOTTENS LÄN</t>
        </is>
      </c>
      <c r="E603" t="inlineStr">
        <is>
          <t>ÅSELE</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41861-2024</t>
        </is>
      </c>
      <c r="B604" s="1" t="n">
        <v>45561</v>
      </c>
      <c r="C604" s="1" t="n">
        <v>45910</v>
      </c>
      <c r="D604" t="inlineStr">
        <is>
          <t>VÄSTERBOTTENS LÄN</t>
        </is>
      </c>
      <c r="E604" t="inlineStr">
        <is>
          <t>ÅSELE</t>
        </is>
      </c>
      <c r="G604" t="n">
        <v>0.3</v>
      </c>
      <c r="H604" t="n">
        <v>0</v>
      </c>
      <c r="I604" t="n">
        <v>0</v>
      </c>
      <c r="J604" t="n">
        <v>0</v>
      </c>
      <c r="K604" t="n">
        <v>0</v>
      </c>
      <c r="L604" t="n">
        <v>0</v>
      </c>
      <c r="M604" t="n">
        <v>0</v>
      </c>
      <c r="N604" t="n">
        <v>0</v>
      </c>
      <c r="O604" t="n">
        <v>0</v>
      </c>
      <c r="P604" t="n">
        <v>0</v>
      </c>
      <c r="Q604" t="n">
        <v>0</v>
      </c>
      <c r="R604" s="2" t="inlineStr"/>
    </row>
    <row r="605" ht="15" customHeight="1">
      <c r="A605" t="inlineStr">
        <is>
          <t>A 35556-2025</t>
        </is>
      </c>
      <c r="B605" s="1" t="n">
        <v>45856.52092592593</v>
      </c>
      <c r="C605" s="1" t="n">
        <v>45910</v>
      </c>
      <c r="D605" t="inlineStr">
        <is>
          <t>VÄSTERBOTTENS LÄN</t>
        </is>
      </c>
      <c r="E605" t="inlineStr">
        <is>
          <t>ÅSELE</t>
        </is>
      </c>
      <c r="F605" t="inlineStr">
        <is>
          <t>Naturvårdsverket</t>
        </is>
      </c>
      <c r="G605" t="n">
        <v>8.9</v>
      </c>
      <c r="H605" t="n">
        <v>0</v>
      </c>
      <c r="I605" t="n">
        <v>0</v>
      </c>
      <c r="J605" t="n">
        <v>0</v>
      </c>
      <c r="K605" t="n">
        <v>0</v>
      </c>
      <c r="L605" t="n">
        <v>0</v>
      </c>
      <c r="M605" t="n">
        <v>0</v>
      </c>
      <c r="N605" t="n">
        <v>0</v>
      </c>
      <c r="O605" t="n">
        <v>0</v>
      </c>
      <c r="P605" t="n">
        <v>0</v>
      </c>
      <c r="Q605" t="n">
        <v>0</v>
      </c>
      <c r="R605" s="2" t="inlineStr"/>
    </row>
    <row r="606" ht="15" customHeight="1">
      <c r="A606" t="inlineStr">
        <is>
          <t>A 58807-2024</t>
        </is>
      </c>
      <c r="B606" s="1" t="n">
        <v>45636</v>
      </c>
      <c r="C606" s="1" t="n">
        <v>45910</v>
      </c>
      <c r="D606" t="inlineStr">
        <is>
          <t>VÄSTERBOTTENS LÄN</t>
        </is>
      </c>
      <c r="E606" t="inlineStr">
        <is>
          <t>ÅSELE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28087-2023</t>
        </is>
      </c>
      <c r="B607" s="1" t="n">
        <v>45099</v>
      </c>
      <c r="C607" s="1" t="n">
        <v>45910</v>
      </c>
      <c r="D607" t="inlineStr">
        <is>
          <t>VÄSTERBOTTENS LÄN</t>
        </is>
      </c>
      <c r="E607" t="inlineStr">
        <is>
          <t>ÅSELE</t>
        </is>
      </c>
      <c r="F607" t="inlineStr">
        <is>
          <t>Holmen skog AB</t>
        </is>
      </c>
      <c r="G607" t="n">
        <v>2.3</v>
      </c>
      <c r="H607" t="n">
        <v>0</v>
      </c>
      <c r="I607" t="n">
        <v>0</v>
      </c>
      <c r="J607" t="n">
        <v>0</v>
      </c>
      <c r="K607" t="n">
        <v>0</v>
      </c>
      <c r="L607" t="n">
        <v>0</v>
      </c>
      <c r="M607" t="n">
        <v>0</v>
      </c>
      <c r="N607" t="n">
        <v>0</v>
      </c>
      <c r="O607" t="n">
        <v>0</v>
      </c>
      <c r="P607" t="n">
        <v>0</v>
      </c>
      <c r="Q607" t="n">
        <v>0</v>
      </c>
      <c r="R607" s="2" t="inlineStr"/>
    </row>
    <row r="608" ht="15" customHeight="1">
      <c r="A608" t="inlineStr">
        <is>
          <t>A 46224-2023</t>
        </is>
      </c>
      <c r="B608" s="1" t="n">
        <v>45196</v>
      </c>
      <c r="C608" s="1" t="n">
        <v>45910</v>
      </c>
      <c r="D608" t="inlineStr">
        <is>
          <t>VÄSTERBOTTENS LÄN</t>
        </is>
      </c>
      <c r="E608" t="inlineStr">
        <is>
          <t>ÅSELE</t>
        </is>
      </c>
      <c r="F608" t="inlineStr">
        <is>
          <t>Naturvårdsverket</t>
        </is>
      </c>
      <c r="G608" t="n">
        <v>3</v>
      </c>
      <c r="H608" t="n">
        <v>0</v>
      </c>
      <c r="I608" t="n">
        <v>0</v>
      </c>
      <c r="J608" t="n">
        <v>0</v>
      </c>
      <c r="K608" t="n">
        <v>0</v>
      </c>
      <c r="L608" t="n">
        <v>0</v>
      </c>
      <c r="M608" t="n">
        <v>0</v>
      </c>
      <c r="N608" t="n">
        <v>0</v>
      </c>
      <c r="O608" t="n">
        <v>0</v>
      </c>
      <c r="P608" t="n">
        <v>0</v>
      </c>
      <c r="Q608" t="n">
        <v>0</v>
      </c>
      <c r="R608" s="2" t="inlineStr"/>
    </row>
    <row r="609" ht="15" customHeight="1">
      <c r="A609" t="inlineStr">
        <is>
          <t>A 35554-2025</t>
        </is>
      </c>
      <c r="B609" s="1" t="n">
        <v>45856</v>
      </c>
      <c r="C609" s="1" t="n">
        <v>45910</v>
      </c>
      <c r="D609" t="inlineStr">
        <is>
          <t>VÄSTERBOTTENS LÄN</t>
        </is>
      </c>
      <c r="E609" t="inlineStr">
        <is>
          <t>ÅSELE</t>
        </is>
      </c>
      <c r="F609" t="inlineStr">
        <is>
          <t>Holmen skog AB</t>
        </is>
      </c>
      <c r="G609" t="n">
        <v>4.7</v>
      </c>
      <c r="H609" t="n">
        <v>0</v>
      </c>
      <c r="I609" t="n">
        <v>0</v>
      </c>
      <c r="J609" t="n">
        <v>0</v>
      </c>
      <c r="K609" t="n">
        <v>0</v>
      </c>
      <c r="L609" t="n">
        <v>0</v>
      </c>
      <c r="M609" t="n">
        <v>0</v>
      </c>
      <c r="N609" t="n">
        <v>0</v>
      </c>
      <c r="O609" t="n">
        <v>0</v>
      </c>
      <c r="P609" t="n">
        <v>0</v>
      </c>
      <c r="Q609" t="n">
        <v>0</v>
      </c>
      <c r="R609" s="2" t="inlineStr"/>
    </row>
    <row r="610" ht="15" customHeight="1">
      <c r="A610" t="inlineStr">
        <is>
          <t>A 25558-2024</t>
        </is>
      </c>
      <c r="B610" s="1" t="n">
        <v>45463.58045138889</v>
      </c>
      <c r="C610" s="1" t="n">
        <v>45910</v>
      </c>
      <c r="D610" t="inlineStr">
        <is>
          <t>VÄSTERBOTTENS LÄN</t>
        </is>
      </c>
      <c r="E610" t="inlineStr">
        <is>
          <t>ÅSELE</t>
        </is>
      </c>
      <c r="F610" t="inlineStr">
        <is>
          <t>Sveaskog</t>
        </is>
      </c>
      <c r="G610" t="n">
        <v>18.1</v>
      </c>
      <c r="H610" t="n">
        <v>0</v>
      </c>
      <c r="I610" t="n">
        <v>0</v>
      </c>
      <c r="J610" t="n">
        <v>0</v>
      </c>
      <c r="K610" t="n">
        <v>0</v>
      </c>
      <c r="L610" t="n">
        <v>0</v>
      </c>
      <c r="M610" t="n">
        <v>0</v>
      </c>
      <c r="N610" t="n">
        <v>0</v>
      </c>
      <c r="O610" t="n">
        <v>0</v>
      </c>
      <c r="P610" t="n">
        <v>0</v>
      </c>
      <c r="Q610" t="n">
        <v>0</v>
      </c>
      <c r="R610" s="2" t="inlineStr"/>
    </row>
    <row r="611" ht="15" customHeight="1">
      <c r="A611" t="inlineStr">
        <is>
          <t>A 39647-2025</t>
        </is>
      </c>
      <c r="B611" s="1" t="n">
        <v>45890.61501157407</v>
      </c>
      <c r="C611" s="1" t="n">
        <v>45910</v>
      </c>
      <c r="D611" t="inlineStr">
        <is>
          <t>VÄSTERBOTTENS LÄN</t>
        </is>
      </c>
      <c r="E611" t="inlineStr">
        <is>
          <t>ÅSELE</t>
        </is>
      </c>
      <c r="F611" t="inlineStr">
        <is>
          <t>SCA</t>
        </is>
      </c>
      <c r="G611" t="n">
        <v>11.4</v>
      </c>
      <c r="H611" t="n">
        <v>0</v>
      </c>
      <c r="I611" t="n">
        <v>0</v>
      </c>
      <c r="J611" t="n">
        <v>0</v>
      </c>
      <c r="K611" t="n">
        <v>0</v>
      </c>
      <c r="L611" t="n">
        <v>0</v>
      </c>
      <c r="M611" t="n">
        <v>0</v>
      </c>
      <c r="N611" t="n">
        <v>0</v>
      </c>
      <c r="O611" t="n">
        <v>0</v>
      </c>
      <c r="P611" t="n">
        <v>0</v>
      </c>
      <c r="Q611" t="n">
        <v>0</v>
      </c>
      <c r="R611" s="2" t="inlineStr"/>
    </row>
    <row r="612" ht="15" customHeight="1">
      <c r="A612" t="inlineStr">
        <is>
          <t>A 29054-2023</t>
        </is>
      </c>
      <c r="B612" s="1" t="n">
        <v>45104.92340277778</v>
      </c>
      <c r="C612" s="1" t="n">
        <v>45910</v>
      </c>
      <c r="D612" t="inlineStr">
        <is>
          <t>VÄSTERBOTTENS LÄN</t>
        </is>
      </c>
      <c r="E612" t="inlineStr">
        <is>
          <t>ÅSELE</t>
        </is>
      </c>
      <c r="G612" t="n">
        <v>1.9</v>
      </c>
      <c r="H612" t="n">
        <v>0</v>
      </c>
      <c r="I612" t="n">
        <v>0</v>
      </c>
      <c r="J612" t="n">
        <v>0</v>
      </c>
      <c r="K612" t="n">
        <v>0</v>
      </c>
      <c r="L612" t="n">
        <v>0</v>
      </c>
      <c r="M612" t="n">
        <v>0</v>
      </c>
      <c r="N612" t="n">
        <v>0</v>
      </c>
      <c r="O612" t="n">
        <v>0</v>
      </c>
      <c r="P612" t="n">
        <v>0</v>
      </c>
      <c r="Q612" t="n">
        <v>0</v>
      </c>
      <c r="R612" s="2" t="inlineStr"/>
    </row>
    <row r="613" ht="15" customHeight="1">
      <c r="A613" t="inlineStr">
        <is>
          <t>A 29055-2023</t>
        </is>
      </c>
      <c r="B613" s="1" t="n">
        <v>45104.9234375</v>
      </c>
      <c r="C613" s="1" t="n">
        <v>45910</v>
      </c>
      <c r="D613" t="inlineStr">
        <is>
          <t>VÄSTERBOTTENS LÄN</t>
        </is>
      </c>
      <c r="E613" t="inlineStr">
        <is>
          <t>ÅSELE</t>
        </is>
      </c>
      <c r="G613" t="n">
        <v>3.5</v>
      </c>
      <c r="H613" t="n">
        <v>0</v>
      </c>
      <c r="I613" t="n">
        <v>0</v>
      </c>
      <c r="J613" t="n">
        <v>0</v>
      </c>
      <c r="K613" t="n">
        <v>0</v>
      </c>
      <c r="L613" t="n">
        <v>0</v>
      </c>
      <c r="M613" t="n">
        <v>0</v>
      </c>
      <c r="N613" t="n">
        <v>0</v>
      </c>
      <c r="O613" t="n">
        <v>0</v>
      </c>
      <c r="P613" t="n">
        <v>0</v>
      </c>
      <c r="Q613" t="n">
        <v>0</v>
      </c>
      <c r="R613" s="2" t="inlineStr"/>
    </row>
    <row r="614" ht="15" customHeight="1">
      <c r="A614" t="inlineStr">
        <is>
          <t>A 20276-2025</t>
        </is>
      </c>
      <c r="B614" s="1" t="n">
        <v>45774.32366898148</v>
      </c>
      <c r="C614" s="1" t="n">
        <v>45910</v>
      </c>
      <c r="D614" t="inlineStr">
        <is>
          <t>VÄSTERBOTTENS LÄN</t>
        </is>
      </c>
      <c r="E614" t="inlineStr">
        <is>
          <t>ÅSELE</t>
        </is>
      </c>
      <c r="G614" t="n">
        <v>16.3</v>
      </c>
      <c r="H614" t="n">
        <v>0</v>
      </c>
      <c r="I614" t="n">
        <v>0</v>
      </c>
      <c r="J614" t="n">
        <v>0</v>
      </c>
      <c r="K614" t="n">
        <v>0</v>
      </c>
      <c r="L614" t="n">
        <v>0</v>
      </c>
      <c r="M614" t="n">
        <v>0</v>
      </c>
      <c r="N614" t="n">
        <v>0</v>
      </c>
      <c r="O614" t="n">
        <v>0</v>
      </c>
      <c r="P614" t="n">
        <v>0</v>
      </c>
      <c r="Q614" t="n">
        <v>0</v>
      </c>
      <c r="R614" s="2" t="inlineStr"/>
    </row>
    <row r="615" ht="15" customHeight="1">
      <c r="A615" t="inlineStr">
        <is>
          <t>A 39557-2025</t>
        </is>
      </c>
      <c r="B615" s="1" t="n">
        <v>45890</v>
      </c>
      <c r="C615" s="1" t="n">
        <v>45910</v>
      </c>
      <c r="D615" t="inlineStr">
        <is>
          <t>VÄSTERBOTTENS LÄN</t>
        </is>
      </c>
      <c r="E615" t="inlineStr">
        <is>
          <t>ÅSELE</t>
        </is>
      </c>
      <c r="F615" t="inlineStr">
        <is>
          <t>SCA</t>
        </is>
      </c>
      <c r="G615" t="n">
        <v>5.8</v>
      </c>
      <c r="H615" t="n">
        <v>0</v>
      </c>
      <c r="I615" t="n">
        <v>0</v>
      </c>
      <c r="J615" t="n">
        <v>0</v>
      </c>
      <c r="K615" t="n">
        <v>0</v>
      </c>
      <c r="L615" t="n">
        <v>0</v>
      </c>
      <c r="M615" t="n">
        <v>0</v>
      </c>
      <c r="N615" t="n">
        <v>0</v>
      </c>
      <c r="O615" t="n">
        <v>0</v>
      </c>
      <c r="P615" t="n">
        <v>0</v>
      </c>
      <c r="Q615" t="n">
        <v>0</v>
      </c>
      <c r="R615" s="2" t="inlineStr"/>
    </row>
    <row r="616" ht="15" customHeight="1">
      <c r="A616" t="inlineStr">
        <is>
          <t>A 1136-2025</t>
        </is>
      </c>
      <c r="B616" s="1" t="n">
        <v>45666</v>
      </c>
      <c r="C616" s="1" t="n">
        <v>45910</v>
      </c>
      <c r="D616" t="inlineStr">
        <is>
          <t>VÄSTERBOTTENS LÄN</t>
        </is>
      </c>
      <c r="E616" t="inlineStr">
        <is>
          <t>ÅSELE</t>
        </is>
      </c>
      <c r="G616" t="n">
        <v>18.6</v>
      </c>
      <c r="H616" t="n">
        <v>0</v>
      </c>
      <c r="I616" t="n">
        <v>0</v>
      </c>
      <c r="J616" t="n">
        <v>0</v>
      </c>
      <c r="K616" t="n">
        <v>0</v>
      </c>
      <c r="L616" t="n">
        <v>0</v>
      </c>
      <c r="M616" t="n">
        <v>0</v>
      </c>
      <c r="N616" t="n">
        <v>0</v>
      </c>
      <c r="O616" t="n">
        <v>0</v>
      </c>
      <c r="P616" t="n">
        <v>0</v>
      </c>
      <c r="Q616" t="n">
        <v>0</v>
      </c>
      <c r="R616" s="2" t="inlineStr"/>
    </row>
    <row r="617" ht="15" customHeight="1">
      <c r="A617" t="inlineStr">
        <is>
          <t>A 42066-2025</t>
        </is>
      </c>
      <c r="B617" s="1" t="n">
        <v>45903.65673611111</v>
      </c>
      <c r="C617" s="1" t="n">
        <v>45910</v>
      </c>
      <c r="D617" t="inlineStr">
        <is>
          <t>VÄSTERBOTTENS LÄN</t>
        </is>
      </c>
      <c r="E617" t="inlineStr">
        <is>
          <t>ÅSELE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42068-2025</t>
        </is>
      </c>
      <c r="B618" s="1" t="n">
        <v>45903.65695601852</v>
      </c>
      <c r="C618" s="1" t="n">
        <v>45910</v>
      </c>
      <c r="D618" t="inlineStr">
        <is>
          <t>VÄSTERBOTTENS LÄN</t>
        </is>
      </c>
      <c r="E618" t="inlineStr">
        <is>
          <t>ÅSELE</t>
        </is>
      </c>
      <c r="F618" t="inlineStr">
        <is>
          <t>SCA</t>
        </is>
      </c>
      <c r="G618" t="n">
        <v>13.5</v>
      </c>
      <c r="H618" t="n">
        <v>0</v>
      </c>
      <c r="I618" t="n">
        <v>0</v>
      </c>
      <c r="J618" t="n">
        <v>0</v>
      </c>
      <c r="K618" t="n">
        <v>0</v>
      </c>
      <c r="L618" t="n">
        <v>0</v>
      </c>
      <c r="M618" t="n">
        <v>0</v>
      </c>
      <c r="N618" t="n">
        <v>0</v>
      </c>
      <c r="O618" t="n">
        <v>0</v>
      </c>
      <c r="P618" t="n">
        <v>0</v>
      </c>
      <c r="Q618" t="n">
        <v>0</v>
      </c>
      <c r="R618" s="2" t="inlineStr"/>
    </row>
    <row r="619" ht="15" customHeight="1">
      <c r="A619" t="inlineStr">
        <is>
          <t>A 48250-2024</t>
        </is>
      </c>
      <c r="B619" s="1" t="n">
        <v>45590</v>
      </c>
      <c r="C619" s="1" t="n">
        <v>45910</v>
      </c>
      <c r="D619" t="inlineStr">
        <is>
          <t>VÄSTERBOTTENS LÄN</t>
        </is>
      </c>
      <c r="E619" t="inlineStr">
        <is>
          <t>ÅSELE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32993-2023</t>
        </is>
      </c>
      <c r="B620" s="1" t="n">
        <v>45113</v>
      </c>
      <c r="C620" s="1" t="n">
        <v>45910</v>
      </c>
      <c r="D620" t="inlineStr">
        <is>
          <t>VÄSTERBOTTENS LÄN</t>
        </is>
      </c>
      <c r="E620" t="inlineStr">
        <is>
          <t>ÅSELE</t>
        </is>
      </c>
      <c r="G620" t="n">
        <v>3.2</v>
      </c>
      <c r="H620" t="n">
        <v>0</v>
      </c>
      <c r="I620" t="n">
        <v>0</v>
      </c>
      <c r="J620" t="n">
        <v>0</v>
      </c>
      <c r="K620" t="n">
        <v>0</v>
      </c>
      <c r="L620" t="n">
        <v>0</v>
      </c>
      <c r="M620" t="n">
        <v>0</v>
      </c>
      <c r="N620" t="n">
        <v>0</v>
      </c>
      <c r="O620" t="n">
        <v>0</v>
      </c>
      <c r="P620" t="n">
        <v>0</v>
      </c>
      <c r="Q620" t="n">
        <v>0</v>
      </c>
      <c r="R620" s="2" t="inlineStr"/>
    </row>
    <row r="621" ht="15" customHeight="1">
      <c r="A621" t="inlineStr">
        <is>
          <t>A 20068-2022</t>
        </is>
      </c>
      <c r="B621" s="1" t="n">
        <v>44697</v>
      </c>
      <c r="C621" s="1" t="n">
        <v>45910</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41961-2025</t>
        </is>
      </c>
      <c r="B622" s="1" t="n">
        <v>45903.46939814815</v>
      </c>
      <c r="C622" s="1" t="n">
        <v>45910</v>
      </c>
      <c r="D622" t="inlineStr">
        <is>
          <t>VÄSTERBOTTENS LÄN</t>
        </is>
      </c>
      <c r="E622" t="inlineStr">
        <is>
          <t>ÅSELE</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48670-2023</t>
        </is>
      </c>
      <c r="B623" s="1" t="n">
        <v>45208.62702546296</v>
      </c>
      <c r="C623" s="1" t="n">
        <v>45910</v>
      </c>
      <c r="D623" t="inlineStr">
        <is>
          <t>VÄSTERBOTTENS LÄN</t>
        </is>
      </c>
      <c r="E623" t="inlineStr">
        <is>
          <t>ÅSELE</t>
        </is>
      </c>
      <c r="F623" t="inlineStr">
        <is>
          <t>Naturvårdsverket</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35983-2025</t>
        </is>
      </c>
      <c r="B624" s="1" t="n">
        <v>45863.44965277778</v>
      </c>
      <c r="C624" s="1" t="n">
        <v>45910</v>
      </c>
      <c r="D624" t="inlineStr">
        <is>
          <t>VÄSTERBOTTENS LÄN</t>
        </is>
      </c>
      <c r="E624" t="inlineStr">
        <is>
          <t>ÅSELE</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4901-2024</t>
        </is>
      </c>
      <c r="B625" s="1" t="n">
        <v>45329</v>
      </c>
      <c r="C625" s="1" t="n">
        <v>45910</v>
      </c>
      <c r="D625" t="inlineStr">
        <is>
          <t>VÄSTERBOTTENS LÄN</t>
        </is>
      </c>
      <c r="E625" t="inlineStr">
        <is>
          <t>ÅSELE</t>
        </is>
      </c>
      <c r="F625" t="inlineStr">
        <is>
          <t>Övriga Aktiebolag</t>
        </is>
      </c>
      <c r="G625" t="n">
        <v>3.9</v>
      </c>
      <c r="H625" t="n">
        <v>0</v>
      </c>
      <c r="I625" t="n">
        <v>0</v>
      </c>
      <c r="J625" t="n">
        <v>0</v>
      </c>
      <c r="K625" t="n">
        <v>0</v>
      </c>
      <c r="L625" t="n">
        <v>0</v>
      </c>
      <c r="M625" t="n">
        <v>0</v>
      </c>
      <c r="N625" t="n">
        <v>0</v>
      </c>
      <c r="O625" t="n">
        <v>0</v>
      </c>
      <c r="P625" t="n">
        <v>0</v>
      </c>
      <c r="Q625" t="n">
        <v>0</v>
      </c>
      <c r="R625" s="2" t="inlineStr"/>
    </row>
    <row r="626" ht="15" customHeight="1">
      <c r="A626" t="inlineStr">
        <is>
          <t>A 20036-2025</t>
        </is>
      </c>
      <c r="B626" s="1" t="n">
        <v>45772.36670138889</v>
      </c>
      <c r="C626" s="1" t="n">
        <v>45910</v>
      </c>
      <c r="D626" t="inlineStr">
        <is>
          <t>VÄSTERBOTTENS LÄN</t>
        </is>
      </c>
      <c r="E626" t="inlineStr">
        <is>
          <t>ÅSELE</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41411-2023</t>
        </is>
      </c>
      <c r="B627" s="1" t="n">
        <v>45174.93942129629</v>
      </c>
      <c r="C627" s="1" t="n">
        <v>45910</v>
      </c>
      <c r="D627" t="inlineStr">
        <is>
          <t>VÄSTERBOTTENS LÄN</t>
        </is>
      </c>
      <c r="E627" t="inlineStr">
        <is>
          <t>ÅSELE</t>
        </is>
      </c>
      <c r="F627" t="inlineStr">
        <is>
          <t>SCA</t>
        </is>
      </c>
      <c r="G627" t="n">
        <v>12.7</v>
      </c>
      <c r="H627" t="n">
        <v>0</v>
      </c>
      <c r="I627" t="n">
        <v>0</v>
      </c>
      <c r="J627" t="n">
        <v>0</v>
      </c>
      <c r="K627" t="n">
        <v>0</v>
      </c>
      <c r="L627" t="n">
        <v>0</v>
      </c>
      <c r="M627" t="n">
        <v>0</v>
      </c>
      <c r="N627" t="n">
        <v>0</v>
      </c>
      <c r="O627" t="n">
        <v>0</v>
      </c>
      <c r="P627" t="n">
        <v>0</v>
      </c>
      <c r="Q627" t="n">
        <v>0</v>
      </c>
      <c r="R627" s="2" t="inlineStr"/>
    </row>
    <row r="628" ht="15" customHeight="1">
      <c r="A628" t="inlineStr">
        <is>
          <t>A 42276-2025</t>
        </is>
      </c>
      <c r="B628" s="1" t="n">
        <v>45904.61506944444</v>
      </c>
      <c r="C628" s="1" t="n">
        <v>45910</v>
      </c>
      <c r="D628" t="inlineStr">
        <is>
          <t>VÄSTERBOTTENS LÄN</t>
        </is>
      </c>
      <c r="E628" t="inlineStr">
        <is>
          <t>ÅSELE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17447-2025</t>
        </is>
      </c>
      <c r="B629" s="1" t="n">
        <v>45757</v>
      </c>
      <c r="C629" s="1" t="n">
        <v>45910</v>
      </c>
      <c r="D629" t="inlineStr">
        <is>
          <t>VÄSTERBOTTENS LÄN</t>
        </is>
      </c>
      <c r="E629" t="inlineStr">
        <is>
          <t>ÅSELE</t>
        </is>
      </c>
      <c r="G629" t="n">
        <v>1.8</v>
      </c>
      <c r="H629" t="n">
        <v>0</v>
      </c>
      <c r="I629" t="n">
        <v>0</v>
      </c>
      <c r="J629" t="n">
        <v>0</v>
      </c>
      <c r="K629" t="n">
        <v>0</v>
      </c>
      <c r="L629" t="n">
        <v>0</v>
      </c>
      <c r="M629" t="n">
        <v>0</v>
      </c>
      <c r="N629" t="n">
        <v>0</v>
      </c>
      <c r="O629" t="n">
        <v>0</v>
      </c>
      <c r="P629" t="n">
        <v>0</v>
      </c>
      <c r="Q629" t="n">
        <v>0</v>
      </c>
      <c r="R629" s="2" t="inlineStr"/>
    </row>
    <row r="630" ht="15" customHeight="1">
      <c r="A630" t="inlineStr">
        <is>
          <t>A 8634-2023</t>
        </is>
      </c>
      <c r="B630" s="1" t="n">
        <v>44977.93446759259</v>
      </c>
      <c r="C630" s="1" t="n">
        <v>45910</v>
      </c>
      <c r="D630" t="inlineStr">
        <is>
          <t>VÄSTERBOTTENS LÄN</t>
        </is>
      </c>
      <c r="E630" t="inlineStr">
        <is>
          <t>ÅSELE</t>
        </is>
      </c>
      <c r="G630" t="n">
        <v>1</v>
      </c>
      <c r="H630" t="n">
        <v>0</v>
      </c>
      <c r="I630" t="n">
        <v>0</v>
      </c>
      <c r="J630" t="n">
        <v>0</v>
      </c>
      <c r="K630" t="n">
        <v>0</v>
      </c>
      <c r="L630" t="n">
        <v>0</v>
      </c>
      <c r="M630" t="n">
        <v>0</v>
      </c>
      <c r="N630" t="n">
        <v>0</v>
      </c>
      <c r="O630" t="n">
        <v>0</v>
      </c>
      <c r="P630" t="n">
        <v>0</v>
      </c>
      <c r="Q630" t="n">
        <v>0</v>
      </c>
      <c r="R630" s="2" t="inlineStr"/>
    </row>
    <row r="631" ht="15" customHeight="1">
      <c r="A631" t="inlineStr">
        <is>
          <t>A 35976-2025</t>
        </is>
      </c>
      <c r="B631" s="1" t="n">
        <v>45863.44001157407</v>
      </c>
      <c r="C631" s="1" t="n">
        <v>45910</v>
      </c>
      <c r="D631" t="inlineStr">
        <is>
          <t>VÄSTERBOTTENS LÄN</t>
        </is>
      </c>
      <c r="E631" t="inlineStr">
        <is>
          <t>ÅSELE</t>
        </is>
      </c>
      <c r="F631" t="inlineStr">
        <is>
          <t>Holmen skog AB</t>
        </is>
      </c>
      <c r="G631" t="n">
        <v>4.1</v>
      </c>
      <c r="H631" t="n">
        <v>0</v>
      </c>
      <c r="I631" t="n">
        <v>0</v>
      </c>
      <c r="J631" t="n">
        <v>0</v>
      </c>
      <c r="K631" t="n">
        <v>0</v>
      </c>
      <c r="L631" t="n">
        <v>0</v>
      </c>
      <c r="M631" t="n">
        <v>0</v>
      </c>
      <c r="N631" t="n">
        <v>0</v>
      </c>
      <c r="O631" t="n">
        <v>0</v>
      </c>
      <c r="P631" t="n">
        <v>0</v>
      </c>
      <c r="Q631" t="n">
        <v>0</v>
      </c>
      <c r="R631" s="2" t="inlineStr"/>
    </row>
    <row r="632" ht="15" customHeight="1">
      <c r="A632" t="inlineStr">
        <is>
          <t>A 39556-2025</t>
        </is>
      </c>
      <c r="B632" s="1" t="n">
        <v>45890</v>
      </c>
      <c r="C632" s="1" t="n">
        <v>45910</v>
      </c>
      <c r="D632" t="inlineStr">
        <is>
          <t>VÄSTERBOTTENS LÄN</t>
        </is>
      </c>
      <c r="E632" t="inlineStr">
        <is>
          <t>ÅSELE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26395-2023</t>
        </is>
      </c>
      <c r="B633" s="1" t="n">
        <v>45092.35770833334</v>
      </c>
      <c r="C633" s="1" t="n">
        <v>45910</v>
      </c>
      <c r="D633" t="inlineStr">
        <is>
          <t>VÄSTERBOTTENS LÄN</t>
        </is>
      </c>
      <c r="E633" t="inlineStr">
        <is>
          <t>ÅSELE</t>
        </is>
      </c>
      <c r="F633" t="inlineStr">
        <is>
          <t>Holmen skog AB</t>
        </is>
      </c>
      <c r="G633" t="n">
        <v>4.1</v>
      </c>
      <c r="H633" t="n">
        <v>0</v>
      </c>
      <c r="I633" t="n">
        <v>0</v>
      </c>
      <c r="J633" t="n">
        <v>0</v>
      </c>
      <c r="K633" t="n">
        <v>0</v>
      </c>
      <c r="L633" t="n">
        <v>0</v>
      </c>
      <c r="M633" t="n">
        <v>0</v>
      </c>
      <c r="N633" t="n">
        <v>0</v>
      </c>
      <c r="O633" t="n">
        <v>0</v>
      </c>
      <c r="P633" t="n">
        <v>0</v>
      </c>
      <c r="Q633" t="n">
        <v>0</v>
      </c>
      <c r="R633" s="2" t="inlineStr"/>
    </row>
    <row r="634" ht="15" customHeight="1">
      <c r="A634" t="inlineStr">
        <is>
          <t>A 19385-2025</t>
        </is>
      </c>
      <c r="B634" s="1" t="n">
        <v>45769.65708333333</v>
      </c>
      <c r="C634" s="1" t="n">
        <v>45910</v>
      </c>
      <c r="D634" t="inlineStr">
        <is>
          <t>VÄSTERBOTTENS LÄN</t>
        </is>
      </c>
      <c r="E634" t="inlineStr">
        <is>
          <t>ÅSELE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52280-2023</t>
        </is>
      </c>
      <c r="B635" s="1" t="n">
        <v>45224.57511574074</v>
      </c>
      <c r="C635" s="1" t="n">
        <v>45910</v>
      </c>
      <c r="D635" t="inlineStr">
        <is>
          <t>VÄSTERBOTTENS LÄN</t>
        </is>
      </c>
      <c r="E635" t="inlineStr">
        <is>
          <t>ÅSELE</t>
        </is>
      </c>
      <c r="F635" t="inlineStr">
        <is>
          <t>Holmen skog AB</t>
        </is>
      </c>
      <c r="G635" t="n">
        <v>15.4</v>
      </c>
      <c r="H635" t="n">
        <v>0</v>
      </c>
      <c r="I635" t="n">
        <v>0</v>
      </c>
      <c r="J635" t="n">
        <v>0</v>
      </c>
      <c r="K635" t="n">
        <v>0</v>
      </c>
      <c r="L635" t="n">
        <v>0</v>
      </c>
      <c r="M635" t="n">
        <v>0</v>
      </c>
      <c r="N635" t="n">
        <v>0</v>
      </c>
      <c r="O635" t="n">
        <v>0</v>
      </c>
      <c r="P635" t="n">
        <v>0</v>
      </c>
      <c r="Q635" t="n">
        <v>0</v>
      </c>
      <c r="R635" s="2" t="inlineStr"/>
    </row>
    <row r="636" ht="15" customHeight="1">
      <c r="A636" t="inlineStr">
        <is>
          <t>A 42560-2025</t>
        </is>
      </c>
      <c r="B636" s="1" t="n">
        <v>45905.59663194444</v>
      </c>
      <c r="C636" s="1" t="n">
        <v>45910</v>
      </c>
      <c r="D636" t="inlineStr">
        <is>
          <t>VÄSTERBOTTENS LÄN</t>
        </is>
      </c>
      <c r="E636" t="inlineStr">
        <is>
          <t>ÅSELE</t>
        </is>
      </c>
      <c r="G636" t="n">
        <v>6.3</v>
      </c>
      <c r="H636" t="n">
        <v>0</v>
      </c>
      <c r="I636" t="n">
        <v>0</v>
      </c>
      <c r="J636" t="n">
        <v>0</v>
      </c>
      <c r="K636" t="n">
        <v>0</v>
      </c>
      <c r="L636" t="n">
        <v>0</v>
      </c>
      <c r="M636" t="n">
        <v>0</v>
      </c>
      <c r="N636" t="n">
        <v>0</v>
      </c>
      <c r="O636" t="n">
        <v>0</v>
      </c>
      <c r="P636" t="n">
        <v>0</v>
      </c>
      <c r="Q636" t="n">
        <v>0</v>
      </c>
      <c r="R636" s="2" t="inlineStr"/>
    </row>
    <row r="637" ht="15" customHeight="1">
      <c r="A637" t="inlineStr">
        <is>
          <t>A 36370-2025</t>
        </is>
      </c>
      <c r="B637" s="1" t="n">
        <v>45867</v>
      </c>
      <c r="C637" s="1" t="n">
        <v>45910</v>
      </c>
      <c r="D637" t="inlineStr">
        <is>
          <t>VÄSTERBOTTENS LÄN</t>
        </is>
      </c>
      <c r="E637" t="inlineStr">
        <is>
          <t>ÅSELE</t>
        </is>
      </c>
      <c r="G637" t="n">
        <v>4.3</v>
      </c>
      <c r="H637" t="n">
        <v>0</v>
      </c>
      <c r="I637" t="n">
        <v>0</v>
      </c>
      <c r="J637" t="n">
        <v>0</v>
      </c>
      <c r="K637" t="n">
        <v>0</v>
      </c>
      <c r="L637" t="n">
        <v>0</v>
      </c>
      <c r="M637" t="n">
        <v>0</v>
      </c>
      <c r="N637" t="n">
        <v>0</v>
      </c>
      <c r="O637" t="n">
        <v>0</v>
      </c>
      <c r="P637" t="n">
        <v>0</v>
      </c>
      <c r="Q637" t="n">
        <v>0</v>
      </c>
      <c r="R637" s="2" t="inlineStr"/>
    </row>
    <row r="638" ht="15" customHeight="1">
      <c r="A638" t="inlineStr">
        <is>
          <t>A 41427-2024</t>
        </is>
      </c>
      <c r="B638" s="1" t="n">
        <v>45560.35121527778</v>
      </c>
      <c r="C638" s="1" t="n">
        <v>45910</v>
      </c>
      <c r="D638" t="inlineStr">
        <is>
          <t>VÄSTERBOTTENS LÄN</t>
        </is>
      </c>
      <c r="E638" t="inlineStr">
        <is>
          <t>ÅSELE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28939-2024</t>
        </is>
      </c>
      <c r="B639" s="1" t="n">
        <v>45481.37263888889</v>
      </c>
      <c r="C639" s="1" t="n">
        <v>45910</v>
      </c>
      <c r="D639" t="inlineStr">
        <is>
          <t>VÄSTERBOTTENS LÄN</t>
        </is>
      </c>
      <c r="E639" t="inlineStr">
        <is>
          <t>ÅSELE</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42935-2025</t>
        </is>
      </c>
      <c r="B640" s="1" t="n">
        <v>45909.32541666667</v>
      </c>
      <c r="C640" s="1" t="n">
        <v>45910</v>
      </c>
      <c r="D640" t="inlineStr">
        <is>
          <t>VÄSTERBOTTENS LÄN</t>
        </is>
      </c>
      <c r="E640" t="inlineStr">
        <is>
          <t>ÅSELE</t>
        </is>
      </c>
      <c r="G640" t="n">
        <v>0.8</v>
      </c>
      <c r="H640" t="n">
        <v>0</v>
      </c>
      <c r="I640" t="n">
        <v>0</v>
      </c>
      <c r="J640" t="n">
        <v>0</v>
      </c>
      <c r="K640" t="n">
        <v>0</v>
      </c>
      <c r="L640" t="n">
        <v>0</v>
      </c>
      <c r="M640" t="n">
        <v>0</v>
      </c>
      <c r="N640" t="n">
        <v>0</v>
      </c>
      <c r="O640" t="n">
        <v>0</v>
      </c>
      <c r="P640" t="n">
        <v>0</v>
      </c>
      <c r="Q640" t="n">
        <v>0</v>
      </c>
      <c r="R640" s="2" t="inlineStr"/>
    </row>
    <row r="641" ht="15" customHeight="1">
      <c r="A641" t="inlineStr">
        <is>
          <t>A 36275-2025</t>
        </is>
      </c>
      <c r="B641" s="1" t="n">
        <v>45867.63604166666</v>
      </c>
      <c r="C641" s="1" t="n">
        <v>45910</v>
      </c>
      <c r="D641" t="inlineStr">
        <is>
          <t>VÄSTERBOTTENS LÄN</t>
        </is>
      </c>
      <c r="E641" t="inlineStr">
        <is>
          <t>ÅSELE</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42286-2024</t>
        </is>
      </c>
      <c r="B642" s="1" t="n">
        <v>45562</v>
      </c>
      <c r="C642" s="1" t="n">
        <v>45910</v>
      </c>
      <c r="D642" t="inlineStr">
        <is>
          <t>VÄSTERBOTTENS LÄN</t>
        </is>
      </c>
      <c r="E642" t="inlineStr">
        <is>
          <t>ÅSELE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22113-2024</t>
        </is>
      </c>
      <c r="B643" s="1" t="n">
        <v>45443</v>
      </c>
      <c r="C643" s="1" t="n">
        <v>45910</v>
      </c>
      <c r="D643" t="inlineStr">
        <is>
          <t>VÄSTERBOTTENS LÄN</t>
        </is>
      </c>
      <c r="E643" t="inlineStr">
        <is>
          <t>ÅSELE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36278-2025</t>
        </is>
      </c>
      <c r="B644" s="1" t="n">
        <v>45867</v>
      </c>
      <c r="C644" s="1" t="n">
        <v>45910</v>
      </c>
      <c r="D644" t="inlineStr">
        <is>
          <t>VÄSTERBOTTENS LÄN</t>
        </is>
      </c>
      <c r="E644" t="inlineStr">
        <is>
          <t>ÅSELE</t>
        </is>
      </c>
      <c r="F644" t="inlineStr">
        <is>
          <t>SCA</t>
        </is>
      </c>
      <c r="G644" t="n">
        <v>11.3</v>
      </c>
      <c r="H644" t="n">
        <v>0</v>
      </c>
      <c r="I644" t="n">
        <v>0</v>
      </c>
      <c r="J644" t="n">
        <v>0</v>
      </c>
      <c r="K644" t="n">
        <v>0</v>
      </c>
      <c r="L644" t="n">
        <v>0</v>
      </c>
      <c r="M644" t="n">
        <v>0</v>
      </c>
      <c r="N644" t="n">
        <v>0</v>
      </c>
      <c r="O644" t="n">
        <v>0</v>
      </c>
      <c r="P644" t="n">
        <v>0</v>
      </c>
      <c r="Q644" t="n">
        <v>0</v>
      </c>
      <c r="R644" s="2" t="inlineStr"/>
    </row>
    <row r="645" ht="15" customHeight="1">
      <c r="A645" t="inlineStr">
        <is>
          <t>A 29962-2024</t>
        </is>
      </c>
      <c r="B645" s="1" t="n">
        <v>45488.46452546296</v>
      </c>
      <c r="C645" s="1" t="n">
        <v>45910</v>
      </c>
      <c r="D645" t="inlineStr">
        <is>
          <t>VÄSTERBOTTENS LÄN</t>
        </is>
      </c>
      <c r="E645" t="inlineStr">
        <is>
          <t>ÅSELE</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1407-2023</t>
        </is>
      </c>
      <c r="B646" s="1" t="n">
        <v>44936</v>
      </c>
      <c r="C646" s="1" t="n">
        <v>45910</v>
      </c>
      <c r="D646" t="inlineStr">
        <is>
          <t>VÄSTERBOTTENS LÄN</t>
        </is>
      </c>
      <c r="E646" t="inlineStr">
        <is>
          <t>ÅSELE</t>
        </is>
      </c>
      <c r="G646" t="n">
        <v>11.5</v>
      </c>
      <c r="H646" t="n">
        <v>0</v>
      </c>
      <c r="I646" t="n">
        <v>0</v>
      </c>
      <c r="J646" t="n">
        <v>0</v>
      </c>
      <c r="K646" t="n">
        <v>0</v>
      </c>
      <c r="L646" t="n">
        <v>0</v>
      </c>
      <c r="M646" t="n">
        <v>0</v>
      </c>
      <c r="N646" t="n">
        <v>0</v>
      </c>
      <c r="O646" t="n">
        <v>0</v>
      </c>
      <c r="P646" t="n">
        <v>0</v>
      </c>
      <c r="Q646" t="n">
        <v>0</v>
      </c>
      <c r="R646" s="2" t="inlineStr"/>
    </row>
    <row r="647" ht="15" customHeight="1">
      <c r="A647" t="inlineStr">
        <is>
          <t>A 36174-2025</t>
        </is>
      </c>
      <c r="B647" s="1" t="n">
        <v>45867.39787037037</v>
      </c>
      <c r="C647" s="1" t="n">
        <v>45910</v>
      </c>
      <c r="D647" t="inlineStr">
        <is>
          <t>VÄSTERBOTTENS LÄN</t>
        </is>
      </c>
      <c r="E647" t="inlineStr">
        <is>
          <t>ÅSELE</t>
        </is>
      </c>
      <c r="F647" t="inlineStr">
        <is>
          <t>Holmen skog AB</t>
        </is>
      </c>
      <c r="G647" t="n">
        <v>4.5</v>
      </c>
      <c r="H647" t="n">
        <v>0</v>
      </c>
      <c r="I647" t="n">
        <v>0</v>
      </c>
      <c r="J647" t="n">
        <v>0</v>
      </c>
      <c r="K647" t="n">
        <v>0</v>
      </c>
      <c r="L647" t="n">
        <v>0</v>
      </c>
      <c r="M647" t="n">
        <v>0</v>
      </c>
      <c r="N647" t="n">
        <v>0</v>
      </c>
      <c r="O647" t="n">
        <v>0</v>
      </c>
      <c r="P647" t="n">
        <v>0</v>
      </c>
      <c r="Q647" t="n">
        <v>0</v>
      </c>
      <c r="R647" s="2" t="inlineStr"/>
    </row>
    <row r="648" ht="15" customHeight="1">
      <c r="A648" t="inlineStr">
        <is>
          <t>A 56646-2022</t>
        </is>
      </c>
      <c r="B648" s="1" t="n">
        <v>44888</v>
      </c>
      <c r="C648" s="1" t="n">
        <v>45910</v>
      </c>
      <c r="D648" t="inlineStr">
        <is>
          <t>VÄSTERBOTTENS LÄN</t>
        </is>
      </c>
      <c r="E648" t="inlineStr">
        <is>
          <t>ÅSELE</t>
        </is>
      </c>
      <c r="G648" t="n">
        <v>5.1</v>
      </c>
      <c r="H648" t="n">
        <v>0</v>
      </c>
      <c r="I648" t="n">
        <v>0</v>
      </c>
      <c r="J648" t="n">
        <v>0</v>
      </c>
      <c r="K648" t="n">
        <v>0</v>
      </c>
      <c r="L648" t="n">
        <v>0</v>
      </c>
      <c r="M648" t="n">
        <v>0</v>
      </c>
      <c r="N648" t="n">
        <v>0</v>
      </c>
      <c r="O648" t="n">
        <v>0</v>
      </c>
      <c r="P648" t="n">
        <v>0</v>
      </c>
      <c r="Q648" t="n">
        <v>0</v>
      </c>
      <c r="R648" s="2" t="inlineStr"/>
    </row>
    <row r="649" ht="15" customHeight="1">
      <c r="A649" t="inlineStr">
        <is>
          <t>A 36296-2025</t>
        </is>
      </c>
      <c r="B649" s="1" t="n">
        <v>45867.68413194444</v>
      </c>
      <c r="C649" s="1" t="n">
        <v>45910</v>
      </c>
      <c r="D649" t="inlineStr">
        <is>
          <t>VÄSTERBOTTENS LÄN</t>
        </is>
      </c>
      <c r="E649" t="inlineStr">
        <is>
          <t>ÅSELE</t>
        </is>
      </c>
      <c r="F649" t="inlineStr">
        <is>
          <t>Holmen skog AB</t>
        </is>
      </c>
      <c r="G649" t="n">
        <v>3.4</v>
      </c>
      <c r="H649" t="n">
        <v>0</v>
      </c>
      <c r="I649" t="n">
        <v>0</v>
      </c>
      <c r="J649" t="n">
        <v>0</v>
      </c>
      <c r="K649" t="n">
        <v>0</v>
      </c>
      <c r="L649" t="n">
        <v>0</v>
      </c>
      <c r="M649" t="n">
        <v>0</v>
      </c>
      <c r="N649" t="n">
        <v>0</v>
      </c>
      <c r="O649" t="n">
        <v>0</v>
      </c>
      <c r="P649" t="n">
        <v>0</v>
      </c>
      <c r="Q649" t="n">
        <v>0</v>
      </c>
      <c r="R649" s="2" t="inlineStr"/>
    </row>
    <row r="650" ht="15" customHeight="1">
      <c r="A650" t="inlineStr">
        <is>
          <t>A 61351-2024</t>
        </is>
      </c>
      <c r="B650" s="1" t="n">
        <v>45646</v>
      </c>
      <c r="C650" s="1" t="n">
        <v>45910</v>
      </c>
      <c r="D650" t="inlineStr">
        <is>
          <t>VÄSTERBOTTENS LÄN</t>
        </is>
      </c>
      <c r="E650" t="inlineStr">
        <is>
          <t>ÅSELE</t>
        </is>
      </c>
      <c r="G650" t="n">
        <v>9.6</v>
      </c>
      <c r="H650" t="n">
        <v>0</v>
      </c>
      <c r="I650" t="n">
        <v>0</v>
      </c>
      <c r="J650" t="n">
        <v>0</v>
      </c>
      <c r="K650" t="n">
        <v>0</v>
      </c>
      <c r="L650" t="n">
        <v>0</v>
      </c>
      <c r="M650" t="n">
        <v>0</v>
      </c>
      <c r="N650" t="n">
        <v>0</v>
      </c>
      <c r="O650" t="n">
        <v>0</v>
      </c>
      <c r="P650" t="n">
        <v>0</v>
      </c>
      <c r="Q650" t="n">
        <v>0</v>
      </c>
      <c r="R650" s="2" t="inlineStr"/>
    </row>
    <row r="651" ht="15" customHeight="1">
      <c r="A651" t="inlineStr">
        <is>
          <t>A 8964-2025</t>
        </is>
      </c>
      <c r="B651" s="1" t="n">
        <v>45713</v>
      </c>
      <c r="C651" s="1" t="n">
        <v>45910</v>
      </c>
      <c r="D651" t="inlineStr">
        <is>
          <t>VÄSTERBOTTENS LÄN</t>
        </is>
      </c>
      <c r="E651" t="inlineStr">
        <is>
          <t>ÅSELE</t>
        </is>
      </c>
      <c r="F651" t="inlineStr">
        <is>
          <t>SCA</t>
        </is>
      </c>
      <c r="G651" t="n">
        <v>20.5</v>
      </c>
      <c r="H651" t="n">
        <v>0</v>
      </c>
      <c r="I651" t="n">
        <v>0</v>
      </c>
      <c r="J651" t="n">
        <v>0</v>
      </c>
      <c r="K651" t="n">
        <v>0</v>
      </c>
      <c r="L651" t="n">
        <v>0</v>
      </c>
      <c r="M651" t="n">
        <v>0</v>
      </c>
      <c r="N651" t="n">
        <v>0</v>
      </c>
      <c r="O651" t="n">
        <v>0</v>
      </c>
      <c r="P651" t="n">
        <v>0</v>
      </c>
      <c r="Q651" t="n">
        <v>0</v>
      </c>
      <c r="R651" s="2" t="inlineStr"/>
    </row>
    <row r="652" ht="15" customHeight="1">
      <c r="A652" t="inlineStr">
        <is>
          <t>A 36198-2025</t>
        </is>
      </c>
      <c r="B652" s="1" t="n">
        <v>45867.43743055555</v>
      </c>
      <c r="C652" s="1" t="n">
        <v>45910</v>
      </c>
      <c r="D652" t="inlineStr">
        <is>
          <t>VÄSTERBOTTENS LÄN</t>
        </is>
      </c>
      <c r="E652" t="inlineStr">
        <is>
          <t>ÅSELE</t>
        </is>
      </c>
      <c r="F652" t="inlineStr">
        <is>
          <t>Holmen skog AB</t>
        </is>
      </c>
      <c r="G652" t="n">
        <v>14.9</v>
      </c>
      <c r="H652" t="n">
        <v>0</v>
      </c>
      <c r="I652" t="n">
        <v>0</v>
      </c>
      <c r="J652" t="n">
        <v>0</v>
      </c>
      <c r="K652" t="n">
        <v>0</v>
      </c>
      <c r="L652" t="n">
        <v>0</v>
      </c>
      <c r="M652" t="n">
        <v>0</v>
      </c>
      <c r="N652" t="n">
        <v>0</v>
      </c>
      <c r="O652" t="n">
        <v>0</v>
      </c>
      <c r="P652" t="n">
        <v>0</v>
      </c>
      <c r="Q652" t="n">
        <v>0</v>
      </c>
      <c r="R652" s="2" t="inlineStr"/>
    </row>
    <row r="653" ht="15" customHeight="1">
      <c r="A653" t="inlineStr">
        <is>
          <t>A 36220-2025</t>
        </is>
      </c>
      <c r="B653" s="1" t="n">
        <v>45867.505</v>
      </c>
      <c r="C653" s="1" t="n">
        <v>45910</v>
      </c>
      <c r="D653" t="inlineStr">
        <is>
          <t>VÄSTERBOTTENS LÄN</t>
        </is>
      </c>
      <c r="E653" t="inlineStr">
        <is>
          <t>ÅSELE</t>
        </is>
      </c>
      <c r="F653" t="inlineStr">
        <is>
          <t>Holmen skog AB</t>
        </is>
      </c>
      <c r="G653" t="n">
        <v>5.6</v>
      </c>
      <c r="H653" t="n">
        <v>0</v>
      </c>
      <c r="I653" t="n">
        <v>0</v>
      </c>
      <c r="J653" t="n">
        <v>0</v>
      </c>
      <c r="K653" t="n">
        <v>0</v>
      </c>
      <c r="L653" t="n">
        <v>0</v>
      </c>
      <c r="M653" t="n">
        <v>0</v>
      </c>
      <c r="N653" t="n">
        <v>0</v>
      </c>
      <c r="O653" t="n">
        <v>0</v>
      </c>
      <c r="P653" t="n">
        <v>0</v>
      </c>
      <c r="Q653" t="n">
        <v>0</v>
      </c>
      <c r="R653" s="2" t="inlineStr"/>
    </row>
    <row r="654" ht="15" customHeight="1">
      <c r="A654" t="inlineStr">
        <is>
          <t>A 36154-2025</t>
        </is>
      </c>
      <c r="B654" s="1" t="n">
        <v>45867.34443287037</v>
      </c>
      <c r="C654" s="1" t="n">
        <v>45910</v>
      </c>
      <c r="D654" t="inlineStr">
        <is>
          <t>VÄSTERBOTTENS LÄN</t>
        </is>
      </c>
      <c r="E654" t="inlineStr">
        <is>
          <t>ÅSELE</t>
        </is>
      </c>
      <c r="F654" t="inlineStr">
        <is>
          <t>SCA</t>
        </is>
      </c>
      <c r="G654" t="n">
        <v>19.9</v>
      </c>
      <c r="H654" t="n">
        <v>0</v>
      </c>
      <c r="I654" t="n">
        <v>0</v>
      </c>
      <c r="J654" t="n">
        <v>0</v>
      </c>
      <c r="K654" t="n">
        <v>0</v>
      </c>
      <c r="L654" t="n">
        <v>0</v>
      </c>
      <c r="M654" t="n">
        <v>0</v>
      </c>
      <c r="N654" t="n">
        <v>0</v>
      </c>
      <c r="O654" t="n">
        <v>0</v>
      </c>
      <c r="P654" t="n">
        <v>0</v>
      </c>
      <c r="Q654" t="n">
        <v>0</v>
      </c>
      <c r="R654" s="2" t="inlineStr"/>
    </row>
    <row r="655" ht="15" customHeight="1">
      <c r="A655" t="inlineStr">
        <is>
          <t>A 36372-2025</t>
        </is>
      </c>
      <c r="B655" s="1" t="n">
        <v>45867</v>
      </c>
      <c r="C655" s="1" t="n">
        <v>45910</v>
      </c>
      <c r="D655" t="inlineStr">
        <is>
          <t>VÄSTERBOTTENS LÄN</t>
        </is>
      </c>
      <c r="E655" t="inlineStr">
        <is>
          <t>ÅSELE</t>
        </is>
      </c>
      <c r="G655" t="n">
        <v>4.3</v>
      </c>
      <c r="H655" t="n">
        <v>0</v>
      </c>
      <c r="I655" t="n">
        <v>0</v>
      </c>
      <c r="J655" t="n">
        <v>0</v>
      </c>
      <c r="K655" t="n">
        <v>0</v>
      </c>
      <c r="L655" t="n">
        <v>0</v>
      </c>
      <c r="M655" t="n">
        <v>0</v>
      </c>
      <c r="N655" t="n">
        <v>0</v>
      </c>
      <c r="O655" t="n">
        <v>0</v>
      </c>
      <c r="P655" t="n">
        <v>0</v>
      </c>
      <c r="Q655" t="n">
        <v>0</v>
      </c>
      <c r="R655" s="2" t="inlineStr"/>
    </row>
    <row r="656" ht="15" customHeight="1">
      <c r="A656" t="inlineStr">
        <is>
          <t>A 42883-2025</t>
        </is>
      </c>
      <c r="B656" s="1" t="n">
        <v>45908.6425</v>
      </c>
      <c r="C656" s="1" t="n">
        <v>45910</v>
      </c>
      <c r="D656" t="inlineStr">
        <is>
          <t>VÄSTERBOTTENS LÄN</t>
        </is>
      </c>
      <c r="E656" t="inlineStr">
        <is>
          <t>ÅSELE</t>
        </is>
      </c>
      <c r="G656" t="n">
        <v>1.8</v>
      </c>
      <c r="H656" t="n">
        <v>0</v>
      </c>
      <c r="I656" t="n">
        <v>0</v>
      </c>
      <c r="J656" t="n">
        <v>0</v>
      </c>
      <c r="K656" t="n">
        <v>0</v>
      </c>
      <c r="L656" t="n">
        <v>0</v>
      </c>
      <c r="M656" t="n">
        <v>0</v>
      </c>
      <c r="N656" t="n">
        <v>0</v>
      </c>
      <c r="O656" t="n">
        <v>0</v>
      </c>
      <c r="P656" t="n">
        <v>0</v>
      </c>
      <c r="Q656" t="n">
        <v>0</v>
      </c>
      <c r="R656" s="2" t="inlineStr"/>
    </row>
    <row r="657" ht="15" customHeight="1">
      <c r="A657" t="inlineStr">
        <is>
          <t>A 10176-2024</t>
        </is>
      </c>
      <c r="B657" s="1" t="n">
        <v>45364</v>
      </c>
      <c r="C657" s="1" t="n">
        <v>45910</v>
      </c>
      <c r="D657" t="inlineStr">
        <is>
          <t>VÄSTERBOTTENS LÄN</t>
        </is>
      </c>
      <c r="E657" t="inlineStr">
        <is>
          <t>ÅSELE</t>
        </is>
      </c>
      <c r="G657" t="n">
        <v>4.2</v>
      </c>
      <c r="H657" t="n">
        <v>0</v>
      </c>
      <c r="I657" t="n">
        <v>0</v>
      </c>
      <c r="J657" t="n">
        <v>0</v>
      </c>
      <c r="K657" t="n">
        <v>0</v>
      </c>
      <c r="L657" t="n">
        <v>0</v>
      </c>
      <c r="M657" t="n">
        <v>0</v>
      </c>
      <c r="N657" t="n">
        <v>0</v>
      </c>
      <c r="O657" t="n">
        <v>0</v>
      </c>
      <c r="P657" t="n">
        <v>0</v>
      </c>
      <c r="Q657" t="n">
        <v>0</v>
      </c>
      <c r="R657" s="2" t="inlineStr"/>
    </row>
    <row r="658" ht="15" customHeight="1">
      <c r="A658" t="inlineStr">
        <is>
          <t>A 14925-2023</t>
        </is>
      </c>
      <c r="B658" s="1" t="n">
        <v>45014</v>
      </c>
      <c r="C658" s="1" t="n">
        <v>45910</v>
      </c>
      <c r="D658" t="inlineStr">
        <is>
          <t>VÄSTERBOTTENS LÄN</t>
        </is>
      </c>
      <c r="E658" t="inlineStr">
        <is>
          <t>ÅSELE</t>
        </is>
      </c>
      <c r="G658" t="n">
        <v>9.4</v>
      </c>
      <c r="H658" t="n">
        <v>0</v>
      </c>
      <c r="I658" t="n">
        <v>0</v>
      </c>
      <c r="J658" t="n">
        <v>0</v>
      </c>
      <c r="K658" t="n">
        <v>0</v>
      </c>
      <c r="L658" t="n">
        <v>0</v>
      </c>
      <c r="M658" t="n">
        <v>0</v>
      </c>
      <c r="N658" t="n">
        <v>0</v>
      </c>
      <c r="O658" t="n">
        <v>0</v>
      </c>
      <c r="P658" t="n">
        <v>0</v>
      </c>
      <c r="Q658" t="n">
        <v>0</v>
      </c>
      <c r="R658" s="2" t="inlineStr"/>
    </row>
    <row r="659" ht="15" customHeight="1">
      <c r="A659" t="inlineStr">
        <is>
          <t>A 36301-2025</t>
        </is>
      </c>
      <c r="B659" s="1" t="n">
        <v>45867.70578703703</v>
      </c>
      <c r="C659" s="1" t="n">
        <v>45910</v>
      </c>
      <c r="D659" t="inlineStr">
        <is>
          <t>VÄSTERBOTTENS LÄN</t>
        </is>
      </c>
      <c r="E659" t="inlineStr">
        <is>
          <t>ÅSELE</t>
        </is>
      </c>
      <c r="F659" t="inlineStr">
        <is>
          <t>Holmen skog AB</t>
        </is>
      </c>
      <c r="G659" t="n">
        <v>3.5</v>
      </c>
      <c r="H659" t="n">
        <v>0</v>
      </c>
      <c r="I659" t="n">
        <v>0</v>
      </c>
      <c r="J659" t="n">
        <v>0</v>
      </c>
      <c r="K659" t="n">
        <v>0</v>
      </c>
      <c r="L659" t="n">
        <v>0</v>
      </c>
      <c r="M659" t="n">
        <v>0</v>
      </c>
      <c r="N659" t="n">
        <v>0</v>
      </c>
      <c r="O659" t="n">
        <v>0</v>
      </c>
      <c r="P659" t="n">
        <v>0</v>
      </c>
      <c r="Q659" t="n">
        <v>0</v>
      </c>
      <c r="R659" s="2" t="inlineStr"/>
    </row>
    <row r="660" ht="15" customHeight="1">
      <c r="A660" t="inlineStr">
        <is>
          <t>A 743-2025</t>
        </is>
      </c>
      <c r="B660" s="1" t="n">
        <v>45665.4312037037</v>
      </c>
      <c r="C660" s="1" t="n">
        <v>45910</v>
      </c>
      <c r="D660" t="inlineStr">
        <is>
          <t>VÄSTERBOTTENS LÄN</t>
        </is>
      </c>
      <c r="E660" t="inlineStr">
        <is>
          <t>ÅSELE</t>
        </is>
      </c>
      <c r="F660" t="inlineStr">
        <is>
          <t>Naturvårdsverket</t>
        </is>
      </c>
      <c r="G660" t="n">
        <v>2</v>
      </c>
      <c r="H660" t="n">
        <v>0</v>
      </c>
      <c r="I660" t="n">
        <v>0</v>
      </c>
      <c r="J660" t="n">
        <v>0</v>
      </c>
      <c r="K660" t="n">
        <v>0</v>
      </c>
      <c r="L660" t="n">
        <v>0</v>
      </c>
      <c r="M660" t="n">
        <v>0</v>
      </c>
      <c r="N660" t="n">
        <v>0</v>
      </c>
      <c r="O660" t="n">
        <v>0</v>
      </c>
      <c r="P660" t="n">
        <v>0</v>
      </c>
      <c r="Q660" t="n">
        <v>0</v>
      </c>
      <c r="R660" s="2" t="inlineStr"/>
    </row>
    <row r="661" ht="15" customHeight="1">
      <c r="A661" t="inlineStr">
        <is>
          <t>A 49926-2023</t>
        </is>
      </c>
      <c r="B661" s="1" t="n">
        <v>45214.87300925926</v>
      </c>
      <c r="C661" s="1" t="n">
        <v>45910</v>
      </c>
      <c r="D661" t="inlineStr">
        <is>
          <t>VÄSTERBOTTENS LÄN</t>
        </is>
      </c>
      <c r="E661" t="inlineStr">
        <is>
          <t>ÅSELE</t>
        </is>
      </c>
      <c r="F661" t="inlineStr">
        <is>
          <t>Holmen skog AB</t>
        </is>
      </c>
      <c r="G661" t="n">
        <v>3.5</v>
      </c>
      <c r="H661" t="n">
        <v>0</v>
      </c>
      <c r="I661" t="n">
        <v>0</v>
      </c>
      <c r="J661" t="n">
        <v>0</v>
      </c>
      <c r="K661" t="n">
        <v>0</v>
      </c>
      <c r="L661" t="n">
        <v>0</v>
      </c>
      <c r="M661" t="n">
        <v>0</v>
      </c>
      <c r="N661" t="n">
        <v>0</v>
      </c>
      <c r="O661" t="n">
        <v>0</v>
      </c>
      <c r="P661" t="n">
        <v>0</v>
      </c>
      <c r="Q661" t="n">
        <v>0</v>
      </c>
      <c r="R661" s="2" t="inlineStr"/>
    </row>
    <row r="662" ht="15" customHeight="1">
      <c r="A662" t="inlineStr">
        <is>
          <t>A 49928-2023</t>
        </is>
      </c>
      <c r="B662" s="1" t="n">
        <v>45214.93665509259</v>
      </c>
      <c r="C662" s="1" t="n">
        <v>45910</v>
      </c>
      <c r="D662" t="inlineStr">
        <is>
          <t>VÄSTERBOTTENS LÄN</t>
        </is>
      </c>
      <c r="E662" t="inlineStr">
        <is>
          <t>ÅSELE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18936-2025</t>
        </is>
      </c>
      <c r="B663" s="1" t="n">
        <v>45764.48995370371</v>
      </c>
      <c r="C663" s="1" t="n">
        <v>45910</v>
      </c>
      <c r="D663" t="inlineStr">
        <is>
          <t>VÄSTERBOTTENS LÄN</t>
        </is>
      </c>
      <c r="E663" t="inlineStr">
        <is>
          <t>ÅSELE</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54957-2024</t>
        </is>
      </c>
      <c r="B664" s="1" t="n">
        <v>45619</v>
      </c>
      <c r="C664" s="1" t="n">
        <v>45910</v>
      </c>
      <c r="D664" t="inlineStr">
        <is>
          <t>VÄSTERBOTTENS LÄN</t>
        </is>
      </c>
      <c r="E664" t="inlineStr">
        <is>
          <t>ÅSELE</t>
        </is>
      </c>
      <c r="F664" t="inlineStr">
        <is>
          <t>SCA</t>
        </is>
      </c>
      <c r="G664" t="n">
        <v>17.4</v>
      </c>
      <c r="H664" t="n">
        <v>0</v>
      </c>
      <c r="I664" t="n">
        <v>0</v>
      </c>
      <c r="J664" t="n">
        <v>0</v>
      </c>
      <c r="K664" t="n">
        <v>0</v>
      </c>
      <c r="L664" t="n">
        <v>0</v>
      </c>
      <c r="M664" t="n">
        <v>0</v>
      </c>
      <c r="N664" t="n">
        <v>0</v>
      </c>
      <c r="O664" t="n">
        <v>0</v>
      </c>
      <c r="P664" t="n">
        <v>0</v>
      </c>
      <c r="Q664" t="n">
        <v>0</v>
      </c>
      <c r="R664" s="2" t="inlineStr"/>
    </row>
    <row r="665" ht="15" customHeight="1">
      <c r="A665" t="inlineStr">
        <is>
          <t>A 48299-2024</t>
        </is>
      </c>
      <c r="B665" s="1" t="n">
        <v>45590</v>
      </c>
      <c r="C665" s="1" t="n">
        <v>45910</v>
      </c>
      <c r="D665" t="inlineStr">
        <is>
          <t>VÄSTERBOTTENS LÄN</t>
        </is>
      </c>
      <c r="E665" t="inlineStr">
        <is>
          <t>ÅSELE</t>
        </is>
      </c>
      <c r="G665" t="n">
        <v>0.9</v>
      </c>
      <c r="H665" t="n">
        <v>0</v>
      </c>
      <c r="I665" t="n">
        <v>0</v>
      </c>
      <c r="J665" t="n">
        <v>0</v>
      </c>
      <c r="K665" t="n">
        <v>0</v>
      </c>
      <c r="L665" t="n">
        <v>0</v>
      </c>
      <c r="M665" t="n">
        <v>0</v>
      </c>
      <c r="N665" t="n">
        <v>0</v>
      </c>
      <c r="O665" t="n">
        <v>0</v>
      </c>
      <c r="P665" t="n">
        <v>0</v>
      </c>
      <c r="Q665" t="n">
        <v>0</v>
      </c>
      <c r="R665" s="2" t="inlineStr"/>
    </row>
    <row r="666" ht="15" customHeight="1">
      <c r="A666" t="inlineStr">
        <is>
          <t>A 59690-2024</t>
        </is>
      </c>
      <c r="B666" s="1" t="n">
        <v>45639.40667824074</v>
      </c>
      <c r="C666" s="1" t="n">
        <v>45910</v>
      </c>
      <c r="D666" t="inlineStr">
        <is>
          <t>VÄSTERBOTTENS LÄN</t>
        </is>
      </c>
      <c r="E666" t="inlineStr">
        <is>
          <t>ÅSELE</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62748-2022</t>
        </is>
      </c>
      <c r="B667" s="1" t="n">
        <v>44925.93875</v>
      </c>
      <c r="C667" s="1" t="n">
        <v>45910</v>
      </c>
      <c r="D667" t="inlineStr">
        <is>
          <t>VÄSTERBOTTENS LÄN</t>
        </is>
      </c>
      <c r="E667" t="inlineStr">
        <is>
          <t>ÅSELE</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7512-2023</t>
        </is>
      </c>
      <c r="B668" s="1" t="n">
        <v>44971.93078703704</v>
      </c>
      <c r="C668" s="1" t="n">
        <v>45910</v>
      </c>
      <c r="D668" t="inlineStr">
        <is>
          <t>VÄSTERBOTTENS LÄN</t>
        </is>
      </c>
      <c r="E668" t="inlineStr">
        <is>
          <t>ÅSELE</t>
        </is>
      </c>
      <c r="G668" t="n">
        <v>0.8</v>
      </c>
      <c r="H668" t="n">
        <v>0</v>
      </c>
      <c r="I668" t="n">
        <v>0</v>
      </c>
      <c r="J668" t="n">
        <v>0</v>
      </c>
      <c r="K668" t="n">
        <v>0</v>
      </c>
      <c r="L668" t="n">
        <v>0</v>
      </c>
      <c r="M668" t="n">
        <v>0</v>
      </c>
      <c r="N668" t="n">
        <v>0</v>
      </c>
      <c r="O668" t="n">
        <v>0</v>
      </c>
      <c r="P668" t="n">
        <v>0</v>
      </c>
      <c r="Q668" t="n">
        <v>0</v>
      </c>
      <c r="R668" s="2" t="inlineStr"/>
    </row>
    <row r="669" ht="15" customHeight="1">
      <c r="A669" t="inlineStr">
        <is>
          <t>A 28731-2023</t>
        </is>
      </c>
      <c r="B669" s="1" t="n">
        <v>45103</v>
      </c>
      <c r="C669" s="1" t="n">
        <v>45910</v>
      </c>
      <c r="D669" t="inlineStr">
        <is>
          <t>VÄSTERBOTTENS LÄN</t>
        </is>
      </c>
      <c r="E669" t="inlineStr">
        <is>
          <t>ÅSELE</t>
        </is>
      </c>
      <c r="F669" t="inlineStr">
        <is>
          <t>Sveaskog</t>
        </is>
      </c>
      <c r="G669" t="n">
        <v>4.9</v>
      </c>
      <c r="H669" t="n">
        <v>0</v>
      </c>
      <c r="I669" t="n">
        <v>0</v>
      </c>
      <c r="J669" t="n">
        <v>0</v>
      </c>
      <c r="K669" t="n">
        <v>0</v>
      </c>
      <c r="L669" t="n">
        <v>0</v>
      </c>
      <c r="M669" t="n">
        <v>0</v>
      </c>
      <c r="N669" t="n">
        <v>0</v>
      </c>
      <c r="O669" t="n">
        <v>0</v>
      </c>
      <c r="P669" t="n">
        <v>0</v>
      </c>
      <c r="Q669" t="n">
        <v>0</v>
      </c>
      <c r="R669" s="2" t="inlineStr"/>
    </row>
    <row r="670" ht="15" customHeight="1">
      <c r="A670" t="inlineStr">
        <is>
          <t>A 42180-2021</t>
        </is>
      </c>
      <c r="B670" s="1" t="n">
        <v>44426.68600694444</v>
      </c>
      <c r="C670" s="1" t="n">
        <v>45910</v>
      </c>
      <c r="D670" t="inlineStr">
        <is>
          <t>VÄSTERBOTTENS LÄN</t>
        </is>
      </c>
      <c r="E670" t="inlineStr">
        <is>
          <t>ÅSELE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43133-2023</t>
        </is>
      </c>
      <c r="B671" s="1" t="n">
        <v>45182</v>
      </c>
      <c r="C671" s="1" t="n">
        <v>45910</v>
      </c>
      <c r="D671" t="inlineStr">
        <is>
          <t>VÄSTERBOTTENS LÄN</t>
        </is>
      </c>
      <c r="E671" t="inlineStr">
        <is>
          <t>ÅSELE</t>
        </is>
      </c>
      <c r="F671" t="inlineStr">
        <is>
          <t>SCA</t>
        </is>
      </c>
      <c r="G671" t="n">
        <v>14.1</v>
      </c>
      <c r="H671" t="n">
        <v>0</v>
      </c>
      <c r="I671" t="n">
        <v>0</v>
      </c>
      <c r="J671" t="n">
        <v>0</v>
      </c>
      <c r="K671" t="n">
        <v>0</v>
      </c>
      <c r="L671" t="n">
        <v>0</v>
      </c>
      <c r="M671" t="n">
        <v>0</v>
      </c>
      <c r="N671" t="n">
        <v>0</v>
      </c>
      <c r="O671" t="n">
        <v>0</v>
      </c>
      <c r="P671" t="n">
        <v>0</v>
      </c>
      <c r="Q671" t="n">
        <v>0</v>
      </c>
      <c r="R671" s="2" t="inlineStr"/>
    </row>
    <row r="672" ht="15" customHeight="1">
      <c r="A672" t="inlineStr">
        <is>
          <t>A 1640-2025</t>
        </is>
      </c>
      <c r="B672" s="1" t="n">
        <v>45670</v>
      </c>
      <c r="C672" s="1" t="n">
        <v>45910</v>
      </c>
      <c r="D672" t="inlineStr">
        <is>
          <t>VÄSTERBOTTENS LÄN</t>
        </is>
      </c>
      <c r="E672" t="inlineStr">
        <is>
          <t>ÅSELE</t>
        </is>
      </c>
      <c r="G672" t="n">
        <v>2.9</v>
      </c>
      <c r="H672" t="n">
        <v>0</v>
      </c>
      <c r="I672" t="n">
        <v>0</v>
      </c>
      <c r="J672" t="n">
        <v>0</v>
      </c>
      <c r="K672" t="n">
        <v>0</v>
      </c>
      <c r="L672" t="n">
        <v>0</v>
      </c>
      <c r="M672" t="n">
        <v>0</v>
      </c>
      <c r="N672" t="n">
        <v>0</v>
      </c>
      <c r="O672" t="n">
        <v>0</v>
      </c>
      <c r="P672" t="n">
        <v>0</v>
      </c>
      <c r="Q672" t="n">
        <v>0</v>
      </c>
      <c r="R672" s="2" t="inlineStr"/>
    </row>
    <row r="673" ht="15" customHeight="1">
      <c r="A673" t="inlineStr">
        <is>
          <t>A 42206-2024</t>
        </is>
      </c>
      <c r="B673" s="1" t="n">
        <v>45562.52640046296</v>
      </c>
      <c r="C673" s="1" t="n">
        <v>45910</v>
      </c>
      <c r="D673" t="inlineStr">
        <is>
          <t>VÄSTERBOTTENS LÄN</t>
        </is>
      </c>
      <c r="E673" t="inlineStr">
        <is>
          <t>ÅSELE</t>
        </is>
      </c>
      <c r="F673" t="inlineStr">
        <is>
          <t>Holmen skog AB</t>
        </is>
      </c>
      <c r="G673" t="n">
        <v>6.7</v>
      </c>
      <c r="H673" t="n">
        <v>0</v>
      </c>
      <c r="I673" t="n">
        <v>0</v>
      </c>
      <c r="J673" t="n">
        <v>0</v>
      </c>
      <c r="K673" t="n">
        <v>0</v>
      </c>
      <c r="L673" t="n">
        <v>0</v>
      </c>
      <c r="M673" t="n">
        <v>0</v>
      </c>
      <c r="N673" t="n">
        <v>0</v>
      </c>
      <c r="O673" t="n">
        <v>0</v>
      </c>
      <c r="P673" t="n">
        <v>0</v>
      </c>
      <c r="Q673" t="n">
        <v>0</v>
      </c>
      <c r="R673" s="2" t="inlineStr"/>
    </row>
    <row r="674" ht="15" customHeight="1">
      <c r="A674" t="inlineStr">
        <is>
          <t>A 36037-2024</t>
        </is>
      </c>
      <c r="B674" s="1" t="n">
        <v>45533.5966087963</v>
      </c>
      <c r="C674" s="1" t="n">
        <v>45910</v>
      </c>
      <c r="D674" t="inlineStr">
        <is>
          <t>VÄSTERBOTTENS LÄN</t>
        </is>
      </c>
      <c r="E674" t="inlineStr">
        <is>
          <t>ÅSELE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20305-2025</t>
        </is>
      </c>
      <c r="B675" s="1" t="n">
        <v>45774.81648148148</v>
      </c>
      <c r="C675" s="1" t="n">
        <v>45910</v>
      </c>
      <c r="D675" t="inlineStr">
        <is>
          <t>VÄSTERBOTTENS LÄN</t>
        </is>
      </c>
      <c r="E675" t="inlineStr">
        <is>
          <t>ÅSELE</t>
        </is>
      </c>
      <c r="G675" t="n">
        <v>5.4</v>
      </c>
      <c r="H675" t="n">
        <v>0</v>
      </c>
      <c r="I675" t="n">
        <v>0</v>
      </c>
      <c r="J675" t="n">
        <v>0</v>
      </c>
      <c r="K675" t="n">
        <v>0</v>
      </c>
      <c r="L675" t="n">
        <v>0</v>
      </c>
      <c r="M675" t="n">
        <v>0</v>
      </c>
      <c r="N675" t="n">
        <v>0</v>
      </c>
      <c r="O675" t="n">
        <v>0</v>
      </c>
      <c r="P675" t="n">
        <v>0</v>
      </c>
      <c r="Q675" t="n">
        <v>0</v>
      </c>
      <c r="R675" s="2" t="inlineStr"/>
    </row>
    <row r="676" ht="15" customHeight="1">
      <c r="A676" t="inlineStr">
        <is>
          <t>A 44677-2023</t>
        </is>
      </c>
      <c r="B676" s="1" t="n">
        <v>45189</v>
      </c>
      <c r="C676" s="1" t="n">
        <v>45910</v>
      </c>
      <c r="D676" t="inlineStr">
        <is>
          <t>VÄSTERBOTTENS LÄN</t>
        </is>
      </c>
      <c r="E676" t="inlineStr">
        <is>
          <t>ÅSELE</t>
        </is>
      </c>
      <c r="G676" t="n">
        <v>7.9</v>
      </c>
      <c r="H676" t="n">
        <v>0</v>
      </c>
      <c r="I676" t="n">
        <v>0</v>
      </c>
      <c r="J676" t="n">
        <v>0</v>
      </c>
      <c r="K676" t="n">
        <v>0</v>
      </c>
      <c r="L676" t="n">
        <v>0</v>
      </c>
      <c r="M676" t="n">
        <v>0</v>
      </c>
      <c r="N676" t="n">
        <v>0</v>
      </c>
      <c r="O676" t="n">
        <v>0</v>
      </c>
      <c r="P676" t="n">
        <v>0</v>
      </c>
      <c r="Q676" t="n">
        <v>0</v>
      </c>
      <c r="R676" s="2" t="inlineStr"/>
    </row>
    <row r="677" ht="15" customHeight="1">
      <c r="A677" t="inlineStr">
        <is>
          <t>A 36959-2024</t>
        </is>
      </c>
      <c r="B677" s="1" t="n">
        <v>45538</v>
      </c>
      <c r="C677" s="1" t="n">
        <v>45910</v>
      </c>
      <c r="D677" t="inlineStr">
        <is>
          <t>VÄSTERBOTTENS LÄN</t>
        </is>
      </c>
      <c r="E677" t="inlineStr">
        <is>
          <t>ÅSELE</t>
        </is>
      </c>
      <c r="F677" t="inlineStr">
        <is>
          <t>Naturvårdsverket</t>
        </is>
      </c>
      <c r="G677" t="n">
        <v>13.4</v>
      </c>
      <c r="H677" t="n">
        <v>0</v>
      </c>
      <c r="I677" t="n">
        <v>0</v>
      </c>
      <c r="J677" t="n">
        <v>0</v>
      </c>
      <c r="K677" t="n">
        <v>0</v>
      </c>
      <c r="L677" t="n">
        <v>0</v>
      </c>
      <c r="M677" t="n">
        <v>0</v>
      </c>
      <c r="N677" t="n">
        <v>0</v>
      </c>
      <c r="O677" t="n">
        <v>0</v>
      </c>
      <c r="P677" t="n">
        <v>0</v>
      </c>
      <c r="Q677" t="n">
        <v>0</v>
      </c>
      <c r="R677" s="2" t="inlineStr"/>
    </row>
    <row r="678" ht="15" customHeight="1">
      <c r="A678" t="inlineStr">
        <is>
          <t>A 64949-2023</t>
        </is>
      </c>
      <c r="B678" s="1" t="n">
        <v>45282.94709490741</v>
      </c>
      <c r="C678" s="1" t="n">
        <v>45910</v>
      </c>
      <c r="D678" t="inlineStr">
        <is>
          <t>VÄSTERBOTTENS LÄN</t>
        </is>
      </c>
      <c r="E678" t="inlineStr">
        <is>
          <t>ÅSELE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4342-2023</t>
        </is>
      </c>
      <c r="B679" s="1" t="n">
        <v>44953.97421296296</v>
      </c>
      <c r="C679" s="1" t="n">
        <v>45910</v>
      </c>
      <c r="D679" t="inlineStr">
        <is>
          <t>VÄSTERBOTTENS LÄN</t>
        </is>
      </c>
      <c r="E679" t="inlineStr">
        <is>
          <t>ÅSELE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18301-2025</t>
        </is>
      </c>
      <c r="B680" s="1" t="n">
        <v>45762.43146990741</v>
      </c>
      <c r="C680" s="1" t="n">
        <v>45910</v>
      </c>
      <c r="D680" t="inlineStr">
        <is>
          <t>VÄSTERBOTTENS LÄN</t>
        </is>
      </c>
      <c r="E680" t="inlineStr">
        <is>
          <t>ÅSELE</t>
        </is>
      </c>
      <c r="G680" t="n">
        <v>7.1</v>
      </c>
      <c r="H680" t="n">
        <v>0</v>
      </c>
      <c r="I680" t="n">
        <v>0</v>
      </c>
      <c r="J680" t="n">
        <v>0</v>
      </c>
      <c r="K680" t="n">
        <v>0</v>
      </c>
      <c r="L680" t="n">
        <v>0</v>
      </c>
      <c r="M680" t="n">
        <v>0</v>
      </c>
      <c r="N680" t="n">
        <v>0</v>
      </c>
      <c r="O680" t="n">
        <v>0</v>
      </c>
      <c r="P680" t="n">
        <v>0</v>
      </c>
      <c r="Q680" t="n">
        <v>0</v>
      </c>
      <c r="R680" s="2" t="inlineStr"/>
    </row>
    <row r="681" ht="15" customHeight="1">
      <c r="A681" t="inlineStr">
        <is>
          <t>A 58596-2024</t>
        </is>
      </c>
      <c r="B681" s="1" t="n">
        <v>45635</v>
      </c>
      <c r="C681" s="1" t="n">
        <v>45910</v>
      </c>
      <c r="D681" t="inlineStr">
        <is>
          <t>VÄSTERBOTTENS LÄN</t>
        </is>
      </c>
      <c r="E681" t="inlineStr">
        <is>
          <t>ÅSELE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28943-2024</t>
        </is>
      </c>
      <c r="B682" s="1" t="n">
        <v>45481</v>
      </c>
      <c r="C682" s="1" t="n">
        <v>45910</v>
      </c>
      <c r="D682" t="inlineStr">
        <is>
          <t>VÄSTERBOTTENS LÄN</t>
        </is>
      </c>
      <c r="E682" t="inlineStr">
        <is>
          <t>ÅSELE</t>
        </is>
      </c>
      <c r="F682" t="inlineStr">
        <is>
          <t>Sveaskog</t>
        </is>
      </c>
      <c r="G682" t="n">
        <v>24.2</v>
      </c>
      <c r="H682" t="n">
        <v>0</v>
      </c>
      <c r="I682" t="n">
        <v>0</v>
      </c>
      <c r="J682" t="n">
        <v>0</v>
      </c>
      <c r="K682" t="n">
        <v>0</v>
      </c>
      <c r="L682" t="n">
        <v>0</v>
      </c>
      <c r="M682" t="n">
        <v>0</v>
      </c>
      <c r="N682" t="n">
        <v>0</v>
      </c>
      <c r="O682" t="n">
        <v>0</v>
      </c>
      <c r="P682" t="n">
        <v>0</v>
      </c>
      <c r="Q682" t="n">
        <v>0</v>
      </c>
      <c r="R682" s="2" t="inlineStr"/>
    </row>
    <row r="683" ht="15" customHeight="1">
      <c r="A683" t="inlineStr">
        <is>
          <t>A 60868-2022</t>
        </is>
      </c>
      <c r="B683" s="1" t="n">
        <v>44908</v>
      </c>
      <c r="C683" s="1" t="n">
        <v>45910</v>
      </c>
      <c r="D683" t="inlineStr">
        <is>
          <t>VÄSTERBOTTENS LÄN</t>
        </is>
      </c>
      <c r="E683" t="inlineStr">
        <is>
          <t>ÅSELE</t>
        </is>
      </c>
      <c r="G683" t="n">
        <v>2</v>
      </c>
      <c r="H683" t="n">
        <v>0</v>
      </c>
      <c r="I683" t="n">
        <v>0</v>
      </c>
      <c r="J683" t="n">
        <v>0</v>
      </c>
      <c r="K683" t="n">
        <v>0</v>
      </c>
      <c r="L683" t="n">
        <v>0</v>
      </c>
      <c r="M683" t="n">
        <v>0</v>
      </c>
      <c r="N683" t="n">
        <v>0</v>
      </c>
      <c r="O683" t="n">
        <v>0</v>
      </c>
      <c r="P683" t="n">
        <v>0</v>
      </c>
      <c r="Q683" t="n">
        <v>0</v>
      </c>
      <c r="R683" s="2" t="inlineStr"/>
    </row>
    <row r="684" ht="15" customHeight="1">
      <c r="A684" t="inlineStr">
        <is>
          <t>A 8851-2024</t>
        </is>
      </c>
      <c r="B684" s="1" t="n">
        <v>45356</v>
      </c>
      <c r="C684" s="1" t="n">
        <v>45910</v>
      </c>
      <c r="D684" t="inlineStr">
        <is>
          <t>VÄSTERBOTTENS LÄN</t>
        </is>
      </c>
      <c r="E684" t="inlineStr">
        <is>
          <t>ÅSELE</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42897-2024</t>
        </is>
      </c>
      <c r="B685" s="1" t="n">
        <v>45566.85192129629</v>
      </c>
      <c r="C685" s="1" t="n">
        <v>45910</v>
      </c>
      <c r="D685" t="inlineStr">
        <is>
          <t>VÄSTERBOTTENS LÄN</t>
        </is>
      </c>
      <c r="E685" t="inlineStr">
        <is>
          <t>ÅSELE</t>
        </is>
      </c>
      <c r="F685" t="inlineStr">
        <is>
          <t>Holmen skog AB</t>
        </is>
      </c>
      <c r="G685" t="n">
        <v>3.7</v>
      </c>
      <c r="H685" t="n">
        <v>0</v>
      </c>
      <c r="I685" t="n">
        <v>0</v>
      </c>
      <c r="J685" t="n">
        <v>0</v>
      </c>
      <c r="K685" t="n">
        <v>0</v>
      </c>
      <c r="L685" t="n">
        <v>0</v>
      </c>
      <c r="M685" t="n">
        <v>0</v>
      </c>
      <c r="N685" t="n">
        <v>0</v>
      </c>
      <c r="O685" t="n">
        <v>0</v>
      </c>
      <c r="P685" t="n">
        <v>0</v>
      </c>
      <c r="Q685" t="n">
        <v>0</v>
      </c>
      <c r="R685" s="2" t="inlineStr"/>
    </row>
    <row r="686" ht="15" customHeight="1">
      <c r="A686" t="inlineStr">
        <is>
          <t>A 18034-2025</t>
        </is>
      </c>
      <c r="B686" s="1" t="n">
        <v>45761</v>
      </c>
      <c r="C686" s="1" t="n">
        <v>45910</v>
      </c>
      <c r="D686" t="inlineStr">
        <is>
          <t>VÄSTERBOTTENS LÄN</t>
        </is>
      </c>
      <c r="E686" t="inlineStr">
        <is>
          <t>ÅSELE</t>
        </is>
      </c>
      <c r="G686" t="n">
        <v>6.7</v>
      </c>
      <c r="H686" t="n">
        <v>0</v>
      </c>
      <c r="I686" t="n">
        <v>0</v>
      </c>
      <c r="J686" t="n">
        <v>0</v>
      </c>
      <c r="K686" t="n">
        <v>0</v>
      </c>
      <c r="L686" t="n">
        <v>0</v>
      </c>
      <c r="M686" t="n">
        <v>0</v>
      </c>
      <c r="N686" t="n">
        <v>0</v>
      </c>
      <c r="O686" t="n">
        <v>0</v>
      </c>
      <c r="P686" t="n">
        <v>0</v>
      </c>
      <c r="Q686" t="n">
        <v>0</v>
      </c>
      <c r="R686" s="2" t="inlineStr"/>
    </row>
    <row r="687" ht="15" customHeight="1">
      <c r="A687" t="inlineStr">
        <is>
          <t>A 43768-2023</t>
        </is>
      </c>
      <c r="B687" s="1" t="n">
        <v>45187.50721064815</v>
      </c>
      <c r="C687" s="1" t="n">
        <v>45910</v>
      </c>
      <c r="D687" t="inlineStr">
        <is>
          <t>VÄSTERBOTTENS LÄN</t>
        </is>
      </c>
      <c r="E687" t="inlineStr">
        <is>
          <t>ÅSELE</t>
        </is>
      </c>
      <c r="G687" t="n">
        <v>1.7</v>
      </c>
      <c r="H687" t="n">
        <v>0</v>
      </c>
      <c r="I687" t="n">
        <v>0</v>
      </c>
      <c r="J687" t="n">
        <v>0</v>
      </c>
      <c r="K687" t="n">
        <v>0</v>
      </c>
      <c r="L687" t="n">
        <v>0</v>
      </c>
      <c r="M687" t="n">
        <v>0</v>
      </c>
      <c r="N687" t="n">
        <v>0</v>
      </c>
      <c r="O687" t="n">
        <v>0</v>
      </c>
      <c r="P687" t="n">
        <v>0</v>
      </c>
      <c r="Q687" t="n">
        <v>0</v>
      </c>
      <c r="R687" s="2" t="inlineStr"/>
    </row>
    <row r="688" ht="15" customHeight="1">
      <c r="A688" t="inlineStr">
        <is>
          <t>A 21107-2023</t>
        </is>
      </c>
      <c r="B688" s="1" t="n">
        <v>45061</v>
      </c>
      <c r="C688" s="1" t="n">
        <v>45910</v>
      </c>
      <c r="D688" t="inlineStr">
        <is>
          <t>VÄSTERBOTTENS LÄN</t>
        </is>
      </c>
      <c r="E688" t="inlineStr">
        <is>
          <t>ÅSELE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33990-2024</t>
        </is>
      </c>
      <c r="B689" s="1" t="n">
        <v>45523.53366898148</v>
      </c>
      <c r="C689" s="1" t="n">
        <v>45910</v>
      </c>
      <c r="D689" t="inlineStr">
        <is>
          <t>VÄSTERBOTTENS LÄN</t>
        </is>
      </c>
      <c r="E689" t="inlineStr">
        <is>
          <t>ÅSELE</t>
        </is>
      </c>
      <c r="F689" t="inlineStr">
        <is>
          <t>Sveaskog</t>
        </is>
      </c>
      <c r="G689" t="n">
        <v>6.2</v>
      </c>
      <c r="H689" t="n">
        <v>0</v>
      </c>
      <c r="I689" t="n">
        <v>0</v>
      </c>
      <c r="J689" t="n">
        <v>0</v>
      </c>
      <c r="K689" t="n">
        <v>0</v>
      </c>
      <c r="L689" t="n">
        <v>0</v>
      </c>
      <c r="M689" t="n">
        <v>0</v>
      </c>
      <c r="N689" t="n">
        <v>0</v>
      </c>
      <c r="O689" t="n">
        <v>0</v>
      </c>
      <c r="P689" t="n">
        <v>0</v>
      </c>
      <c r="Q689" t="n">
        <v>0</v>
      </c>
      <c r="R689" s="2" t="inlineStr"/>
    </row>
    <row r="690" ht="15" customHeight="1">
      <c r="A690" t="inlineStr">
        <is>
          <t>A 6283-2025</t>
        </is>
      </c>
      <c r="B690" s="1" t="n">
        <v>45698.63582175926</v>
      </c>
      <c r="C690" s="1" t="n">
        <v>45910</v>
      </c>
      <c r="D690" t="inlineStr">
        <is>
          <t>VÄSTERBOTTENS LÄN</t>
        </is>
      </c>
      <c r="E690" t="inlineStr">
        <is>
          <t>ÅSELE</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18605-2023</t>
        </is>
      </c>
      <c r="B691" s="1" t="n">
        <v>45041</v>
      </c>
      <c r="C691" s="1" t="n">
        <v>45910</v>
      </c>
      <c r="D691" t="inlineStr">
        <is>
          <t>VÄSTERBOTTENS LÄN</t>
        </is>
      </c>
      <c r="E691" t="inlineStr">
        <is>
          <t>ÅSELE</t>
        </is>
      </c>
      <c r="G691" t="n">
        <v>4.2</v>
      </c>
      <c r="H691" t="n">
        <v>0</v>
      </c>
      <c r="I691" t="n">
        <v>0</v>
      </c>
      <c r="J691" t="n">
        <v>0</v>
      </c>
      <c r="K691" t="n">
        <v>0</v>
      </c>
      <c r="L691" t="n">
        <v>0</v>
      </c>
      <c r="M691" t="n">
        <v>0</v>
      </c>
      <c r="N691" t="n">
        <v>0</v>
      </c>
      <c r="O691" t="n">
        <v>0</v>
      </c>
      <c r="P691" t="n">
        <v>0</v>
      </c>
      <c r="Q691" t="n">
        <v>0</v>
      </c>
      <c r="R691" s="2" t="inlineStr"/>
    </row>
    <row r="692" ht="15" customHeight="1">
      <c r="A692" t="inlineStr">
        <is>
          <t>A 28954-2024</t>
        </is>
      </c>
      <c r="B692" s="1" t="n">
        <v>45481.40775462963</v>
      </c>
      <c r="C692" s="1" t="n">
        <v>45910</v>
      </c>
      <c r="D692" t="inlineStr">
        <is>
          <t>VÄSTERBOTTENS LÄN</t>
        </is>
      </c>
      <c r="E692" t="inlineStr">
        <is>
          <t>ÅSELE</t>
        </is>
      </c>
      <c r="F692" t="inlineStr">
        <is>
          <t>Sveaskog</t>
        </is>
      </c>
      <c r="G692" t="n">
        <v>7.1</v>
      </c>
      <c r="H692" t="n">
        <v>0</v>
      </c>
      <c r="I692" t="n">
        <v>0</v>
      </c>
      <c r="J692" t="n">
        <v>0</v>
      </c>
      <c r="K692" t="n">
        <v>0</v>
      </c>
      <c r="L692" t="n">
        <v>0</v>
      </c>
      <c r="M692" t="n">
        <v>0</v>
      </c>
      <c r="N692" t="n">
        <v>0</v>
      </c>
      <c r="O692" t="n">
        <v>0</v>
      </c>
      <c r="P692" t="n">
        <v>0</v>
      </c>
      <c r="Q692" t="n">
        <v>0</v>
      </c>
      <c r="R692" s="2" t="inlineStr"/>
    </row>
    <row r="693" ht="15" customHeight="1">
      <c r="A693" t="inlineStr">
        <is>
          <t>A 31474-2024</t>
        </is>
      </c>
      <c r="B693" s="1" t="n">
        <v>45505.95200231481</v>
      </c>
      <c r="C693" s="1" t="n">
        <v>45910</v>
      </c>
      <c r="D693" t="inlineStr">
        <is>
          <t>VÄSTERBOTTENS LÄN</t>
        </is>
      </c>
      <c r="E693" t="inlineStr">
        <is>
          <t>ÅSELE</t>
        </is>
      </c>
      <c r="F693" t="inlineStr">
        <is>
          <t>SCA</t>
        </is>
      </c>
      <c r="G693" t="n">
        <v>6.3</v>
      </c>
      <c r="H693" t="n">
        <v>0</v>
      </c>
      <c r="I693" t="n">
        <v>0</v>
      </c>
      <c r="J693" t="n">
        <v>0</v>
      </c>
      <c r="K693" t="n">
        <v>0</v>
      </c>
      <c r="L693" t="n">
        <v>0</v>
      </c>
      <c r="M693" t="n">
        <v>0</v>
      </c>
      <c r="N693" t="n">
        <v>0</v>
      </c>
      <c r="O693" t="n">
        <v>0</v>
      </c>
      <c r="P693" t="n">
        <v>0</v>
      </c>
      <c r="Q693" t="n">
        <v>0</v>
      </c>
      <c r="R693" s="2" t="inlineStr"/>
    </row>
    <row r="694" ht="15" customHeight="1">
      <c r="A694" t="inlineStr">
        <is>
          <t>A 5013-2024</t>
        </is>
      </c>
      <c r="B694" s="1" t="n">
        <v>45329</v>
      </c>
      <c r="C694" s="1" t="n">
        <v>45910</v>
      </c>
      <c r="D694" t="inlineStr">
        <is>
          <t>VÄSTERBOTTENS LÄN</t>
        </is>
      </c>
      <c r="E694" t="inlineStr">
        <is>
          <t>ÅSELE</t>
        </is>
      </c>
      <c r="F694" t="inlineStr">
        <is>
          <t>Övriga Aktiebolag</t>
        </is>
      </c>
      <c r="G694" t="n">
        <v>5</v>
      </c>
      <c r="H694" t="n">
        <v>0</v>
      </c>
      <c r="I694" t="n">
        <v>0</v>
      </c>
      <c r="J694" t="n">
        <v>0</v>
      </c>
      <c r="K694" t="n">
        <v>0</v>
      </c>
      <c r="L694" t="n">
        <v>0</v>
      </c>
      <c r="M694" t="n">
        <v>0</v>
      </c>
      <c r="N694" t="n">
        <v>0</v>
      </c>
      <c r="O694" t="n">
        <v>0</v>
      </c>
      <c r="P694" t="n">
        <v>0</v>
      </c>
      <c r="Q694" t="n">
        <v>0</v>
      </c>
      <c r="R694" s="2" t="inlineStr"/>
    </row>
    <row r="695" ht="15" customHeight="1">
      <c r="A695" t="inlineStr">
        <is>
          <t>A 31348-2023</t>
        </is>
      </c>
      <c r="B695" s="1" t="n">
        <v>45114.4889699074</v>
      </c>
      <c r="C695" s="1" t="n">
        <v>45910</v>
      </c>
      <c r="D695" t="inlineStr">
        <is>
          <t>VÄSTERBOTTENS LÄN</t>
        </is>
      </c>
      <c r="E695" t="inlineStr">
        <is>
          <t>ÅSELE</t>
        </is>
      </c>
      <c r="F695" t="inlineStr">
        <is>
          <t>Holmen skog AB</t>
        </is>
      </c>
      <c r="G695" t="n">
        <v>5.8</v>
      </c>
      <c r="H695" t="n">
        <v>0</v>
      </c>
      <c r="I695" t="n">
        <v>0</v>
      </c>
      <c r="J695" t="n">
        <v>0</v>
      </c>
      <c r="K695" t="n">
        <v>0</v>
      </c>
      <c r="L695" t="n">
        <v>0</v>
      </c>
      <c r="M695" t="n">
        <v>0</v>
      </c>
      <c r="N695" t="n">
        <v>0</v>
      </c>
      <c r="O695" t="n">
        <v>0</v>
      </c>
      <c r="P695" t="n">
        <v>0</v>
      </c>
      <c r="Q695" t="n">
        <v>0</v>
      </c>
      <c r="R695" s="2" t="inlineStr"/>
    </row>
    <row r="696" ht="15" customHeight="1">
      <c r="A696" t="inlineStr">
        <is>
          <t>A 27868-2023</t>
        </is>
      </c>
      <c r="B696" s="1" t="n">
        <v>45098</v>
      </c>
      <c r="C696" s="1" t="n">
        <v>45910</v>
      </c>
      <c r="D696" t="inlineStr">
        <is>
          <t>VÄSTERBOTTENS LÄN</t>
        </is>
      </c>
      <c r="E696" t="inlineStr">
        <is>
          <t>ÅSELE</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48073-2023</t>
        </is>
      </c>
      <c r="B697" s="1" t="n">
        <v>45204</v>
      </c>
      <c r="C697" s="1" t="n">
        <v>45910</v>
      </c>
      <c r="D697" t="inlineStr">
        <is>
          <t>VÄSTERBOTTENS LÄN</t>
        </is>
      </c>
      <c r="E697" t="inlineStr">
        <is>
          <t>ÅSELE</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70186-2021</t>
        </is>
      </c>
      <c r="B698" s="1" t="n">
        <v>44533.94483796296</v>
      </c>
      <c r="C698" s="1" t="n">
        <v>45910</v>
      </c>
      <c r="D698" t="inlineStr">
        <is>
          <t>VÄSTERBOTTENS LÄN</t>
        </is>
      </c>
      <c r="E698" t="inlineStr">
        <is>
          <t>ÅSELE</t>
        </is>
      </c>
      <c r="F698" t="inlineStr">
        <is>
          <t>SCA</t>
        </is>
      </c>
      <c r="G698" t="n">
        <v>6.4</v>
      </c>
      <c r="H698" t="n">
        <v>0</v>
      </c>
      <c r="I698" t="n">
        <v>0</v>
      </c>
      <c r="J698" t="n">
        <v>0</v>
      </c>
      <c r="K698" t="n">
        <v>0</v>
      </c>
      <c r="L698" t="n">
        <v>0</v>
      </c>
      <c r="M698" t="n">
        <v>0</v>
      </c>
      <c r="N698" t="n">
        <v>0</v>
      </c>
      <c r="O698" t="n">
        <v>0</v>
      </c>
      <c r="P698" t="n">
        <v>0</v>
      </c>
      <c r="Q698" t="n">
        <v>0</v>
      </c>
      <c r="R698" s="2" t="inlineStr"/>
    </row>
    <row r="699" ht="15" customHeight="1">
      <c r="A699" t="inlineStr">
        <is>
          <t>A 30385-2024</t>
        </is>
      </c>
      <c r="B699" s="1" t="n">
        <v>45491.4734375</v>
      </c>
      <c r="C699" s="1" t="n">
        <v>45910</v>
      </c>
      <c r="D699" t="inlineStr">
        <is>
          <t>VÄSTERBOTTENS LÄN</t>
        </is>
      </c>
      <c r="E699" t="inlineStr">
        <is>
          <t>ÅSELE</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29511-2024</t>
        </is>
      </c>
      <c r="B700" s="1" t="n">
        <v>45484</v>
      </c>
      <c r="C700" s="1" t="n">
        <v>45910</v>
      </c>
      <c r="D700" t="inlineStr">
        <is>
          <t>VÄSTERBOTTENS LÄN</t>
        </is>
      </c>
      <c r="E700" t="inlineStr">
        <is>
          <t>ÅSELE</t>
        </is>
      </c>
      <c r="G700" t="n">
        <v>0.2</v>
      </c>
      <c r="H700" t="n">
        <v>0</v>
      </c>
      <c r="I700" t="n">
        <v>0</v>
      </c>
      <c r="J700" t="n">
        <v>0</v>
      </c>
      <c r="K700" t="n">
        <v>0</v>
      </c>
      <c r="L700" t="n">
        <v>0</v>
      </c>
      <c r="M700" t="n">
        <v>0</v>
      </c>
      <c r="N700" t="n">
        <v>0</v>
      </c>
      <c r="O700" t="n">
        <v>0</v>
      </c>
      <c r="P700" t="n">
        <v>0</v>
      </c>
      <c r="Q700" t="n">
        <v>0</v>
      </c>
      <c r="R700" s="2" t="inlineStr"/>
    </row>
    <row r="701" ht="15" customHeight="1">
      <c r="A701" t="inlineStr">
        <is>
          <t>A 29517-2024</t>
        </is>
      </c>
      <c r="B701" s="1" t="n">
        <v>45484</v>
      </c>
      <c r="C701" s="1" t="n">
        <v>45910</v>
      </c>
      <c r="D701" t="inlineStr">
        <is>
          <t>VÄSTERBOTTENS LÄN</t>
        </is>
      </c>
      <c r="E701" t="inlineStr">
        <is>
          <t>ÅSELE</t>
        </is>
      </c>
      <c r="G701" t="n">
        <v>0.7</v>
      </c>
      <c r="H701" t="n">
        <v>0</v>
      </c>
      <c r="I701" t="n">
        <v>0</v>
      </c>
      <c r="J701" t="n">
        <v>0</v>
      </c>
      <c r="K701" t="n">
        <v>0</v>
      </c>
      <c r="L701" t="n">
        <v>0</v>
      </c>
      <c r="M701" t="n">
        <v>0</v>
      </c>
      <c r="N701" t="n">
        <v>0</v>
      </c>
      <c r="O701" t="n">
        <v>0</v>
      </c>
      <c r="P701" t="n">
        <v>0</v>
      </c>
      <c r="Q701" t="n">
        <v>0</v>
      </c>
      <c r="R701" s="2" t="inlineStr"/>
    </row>
    <row r="702" ht="15" customHeight="1">
      <c r="A702" t="inlineStr">
        <is>
          <t>A 42399-2024</t>
        </is>
      </c>
      <c r="B702" s="1" t="n">
        <v>45565.33832175926</v>
      </c>
      <c r="C702" s="1" t="n">
        <v>45910</v>
      </c>
      <c r="D702" t="inlineStr">
        <is>
          <t>VÄSTERBOTTENS LÄN</t>
        </is>
      </c>
      <c r="E702" t="inlineStr">
        <is>
          <t>ÅSELE</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8724-2025</t>
        </is>
      </c>
      <c r="B703" s="1" t="n">
        <v>45712.51121527778</v>
      </c>
      <c r="C703" s="1" t="n">
        <v>45910</v>
      </c>
      <c r="D703" t="inlineStr">
        <is>
          <t>VÄSTERBOTTENS LÄN</t>
        </is>
      </c>
      <c r="E703" t="inlineStr">
        <is>
          <t>ÅSELE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50151-2024</t>
        </is>
      </c>
      <c r="B704" s="1" t="n">
        <v>45600.45456018519</v>
      </c>
      <c r="C704" s="1" t="n">
        <v>45910</v>
      </c>
      <c r="D704" t="inlineStr">
        <is>
          <t>VÄSTERBOTTENS LÄN</t>
        </is>
      </c>
      <c r="E704" t="inlineStr">
        <is>
          <t>ÅSELE</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39989-2023</t>
        </is>
      </c>
      <c r="B705" s="1" t="n">
        <v>45167</v>
      </c>
      <c r="C705" s="1" t="n">
        <v>45910</v>
      </c>
      <c r="D705" t="inlineStr">
        <is>
          <t>VÄSTERBOTTENS LÄN</t>
        </is>
      </c>
      <c r="E705" t="inlineStr">
        <is>
          <t>ÅSELE</t>
        </is>
      </c>
      <c r="G705" t="n">
        <v>5.2</v>
      </c>
      <c r="H705" t="n">
        <v>0</v>
      </c>
      <c r="I705" t="n">
        <v>0</v>
      </c>
      <c r="J705" t="n">
        <v>0</v>
      </c>
      <c r="K705" t="n">
        <v>0</v>
      </c>
      <c r="L705" t="n">
        <v>0</v>
      </c>
      <c r="M705" t="n">
        <v>0</v>
      </c>
      <c r="N705" t="n">
        <v>0</v>
      </c>
      <c r="O705" t="n">
        <v>0</v>
      </c>
      <c r="P705" t="n">
        <v>0</v>
      </c>
      <c r="Q705" t="n">
        <v>0</v>
      </c>
      <c r="R705" s="2" t="inlineStr"/>
    </row>
    <row r="706" ht="15" customHeight="1">
      <c r="A706" t="inlineStr">
        <is>
          <t>A 31118-2024</t>
        </is>
      </c>
      <c r="B706" s="1" t="n">
        <v>45502</v>
      </c>
      <c r="C706" s="1" t="n">
        <v>45910</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6011-2021</t>
        </is>
      </c>
      <c r="B707" s="1" t="n">
        <v>44231</v>
      </c>
      <c r="C707" s="1" t="n">
        <v>45910</v>
      </c>
      <c r="D707" t="inlineStr">
        <is>
          <t>VÄSTERBOTTENS LÄN</t>
        </is>
      </c>
      <c r="E707" t="inlineStr">
        <is>
          <t>ÅSELE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8855-2025</t>
        </is>
      </c>
      <c r="B708" s="1" t="n">
        <v>45713</v>
      </c>
      <c r="C708" s="1" t="n">
        <v>45910</v>
      </c>
      <c r="D708" t="inlineStr">
        <is>
          <t>VÄSTERBOTTENS LÄN</t>
        </is>
      </c>
      <c r="E708" t="inlineStr">
        <is>
          <t>ÅSELE</t>
        </is>
      </c>
      <c r="G708" t="n">
        <v>23.5</v>
      </c>
      <c r="H708" t="n">
        <v>0</v>
      </c>
      <c r="I708" t="n">
        <v>0</v>
      </c>
      <c r="J708" t="n">
        <v>0</v>
      </c>
      <c r="K708" t="n">
        <v>0</v>
      </c>
      <c r="L708" t="n">
        <v>0</v>
      </c>
      <c r="M708" t="n">
        <v>0</v>
      </c>
      <c r="N708" t="n">
        <v>0</v>
      </c>
      <c r="O708" t="n">
        <v>0</v>
      </c>
      <c r="P708" t="n">
        <v>0</v>
      </c>
      <c r="Q708" t="n">
        <v>0</v>
      </c>
      <c r="R708" s="2" t="inlineStr"/>
    </row>
    <row r="709" ht="15" customHeight="1">
      <c r="A709" t="inlineStr">
        <is>
          <t>A 28697-2024</t>
        </is>
      </c>
      <c r="B709" s="1" t="n">
        <v>45478</v>
      </c>
      <c r="C709" s="1" t="n">
        <v>45910</v>
      </c>
      <c r="D709" t="inlineStr">
        <is>
          <t>VÄSTERBOTTENS LÄN</t>
        </is>
      </c>
      <c r="E709" t="inlineStr">
        <is>
          <t>ÅSELE</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23179-2024</t>
        </is>
      </c>
      <c r="B710" s="1" t="n">
        <v>45450</v>
      </c>
      <c r="C710" s="1" t="n">
        <v>45910</v>
      </c>
      <c r="D710" t="inlineStr">
        <is>
          <t>VÄSTERBOTTENS LÄN</t>
        </is>
      </c>
      <c r="E710" t="inlineStr">
        <is>
          <t>ÅSELE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45297-2024</t>
        </is>
      </c>
      <c r="B711" s="1" t="n">
        <v>45576.40248842593</v>
      </c>
      <c r="C711" s="1" t="n">
        <v>45910</v>
      </c>
      <c r="D711" t="inlineStr">
        <is>
          <t>VÄSTERBOTTENS LÄN</t>
        </is>
      </c>
      <c r="E711" t="inlineStr">
        <is>
          <t>ÅSELE</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35520-2023</t>
        </is>
      </c>
      <c r="B712" s="1" t="n">
        <v>45147.32908564815</v>
      </c>
      <c r="C712" s="1" t="n">
        <v>45910</v>
      </c>
      <c r="D712" t="inlineStr">
        <is>
          <t>VÄSTERBOTTENS LÄN</t>
        </is>
      </c>
      <c r="E712" t="inlineStr">
        <is>
          <t>ÅSELE</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53681-2024</t>
        </is>
      </c>
      <c r="B713" s="1" t="n">
        <v>45615</v>
      </c>
      <c r="C713" s="1" t="n">
        <v>45910</v>
      </c>
      <c r="D713" t="inlineStr">
        <is>
          <t>VÄSTERBOTTENS LÄN</t>
        </is>
      </c>
      <c r="E713" t="inlineStr">
        <is>
          <t>ÅSELE</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30618-2023</t>
        </is>
      </c>
      <c r="B714" s="1" t="n">
        <v>45112.41425925926</v>
      </c>
      <c r="C714" s="1" t="n">
        <v>45910</v>
      </c>
      <c r="D714" t="inlineStr">
        <is>
          <t>VÄSTERBOTTENS LÄN</t>
        </is>
      </c>
      <c r="E714" t="inlineStr">
        <is>
          <t>ÅSELE</t>
        </is>
      </c>
      <c r="F714" t="inlineStr">
        <is>
          <t>Sveaskog</t>
        </is>
      </c>
      <c r="G714" t="n">
        <v>18.7</v>
      </c>
      <c r="H714" t="n">
        <v>0</v>
      </c>
      <c r="I714" t="n">
        <v>0</v>
      </c>
      <c r="J714" t="n">
        <v>0</v>
      </c>
      <c r="K714" t="n">
        <v>0</v>
      </c>
      <c r="L714" t="n">
        <v>0</v>
      </c>
      <c r="M714" t="n">
        <v>0</v>
      </c>
      <c r="N714" t="n">
        <v>0</v>
      </c>
      <c r="O714" t="n">
        <v>0</v>
      </c>
      <c r="P714" t="n">
        <v>0</v>
      </c>
      <c r="Q714" t="n">
        <v>0</v>
      </c>
      <c r="R714" s="2" t="inlineStr"/>
    </row>
    <row r="715" ht="15" customHeight="1">
      <c r="A715" t="inlineStr">
        <is>
          <t>A 36115-2024</t>
        </is>
      </c>
      <c r="B715" s="1" t="n">
        <v>45534.30681712963</v>
      </c>
      <c r="C715" s="1" t="n">
        <v>45910</v>
      </c>
      <c r="D715" t="inlineStr">
        <is>
          <t>VÄSTERBOTTENS LÄN</t>
        </is>
      </c>
      <c r="E715" t="inlineStr">
        <is>
          <t>ÅSELE</t>
        </is>
      </c>
      <c r="F715" t="inlineStr">
        <is>
          <t>Sveaskog</t>
        </is>
      </c>
      <c r="G715" t="n">
        <v>6.4</v>
      </c>
      <c r="H715" t="n">
        <v>0</v>
      </c>
      <c r="I715" t="n">
        <v>0</v>
      </c>
      <c r="J715" t="n">
        <v>0</v>
      </c>
      <c r="K715" t="n">
        <v>0</v>
      </c>
      <c r="L715" t="n">
        <v>0</v>
      </c>
      <c r="M715" t="n">
        <v>0</v>
      </c>
      <c r="N715" t="n">
        <v>0</v>
      </c>
      <c r="O715" t="n">
        <v>0</v>
      </c>
      <c r="P715" t="n">
        <v>0</v>
      </c>
      <c r="Q715" t="n">
        <v>0</v>
      </c>
      <c r="R715" s="2" t="inlineStr"/>
    </row>
    <row r="716" ht="15" customHeight="1">
      <c r="A716" t="inlineStr">
        <is>
          <t>A 54729-2024</t>
        </is>
      </c>
      <c r="B716" s="1" t="n">
        <v>45618.43826388889</v>
      </c>
      <c r="C716" s="1" t="n">
        <v>45910</v>
      </c>
      <c r="D716" t="inlineStr">
        <is>
          <t>VÄSTERBOTTENS LÄN</t>
        </is>
      </c>
      <c r="E716" t="inlineStr">
        <is>
          <t>ÅSELE</t>
        </is>
      </c>
      <c r="F716" t="inlineStr">
        <is>
          <t>SCA</t>
        </is>
      </c>
      <c r="G716" t="n">
        <v>5.6</v>
      </c>
      <c r="H716" t="n">
        <v>0</v>
      </c>
      <c r="I716" t="n">
        <v>0</v>
      </c>
      <c r="J716" t="n">
        <v>0</v>
      </c>
      <c r="K716" t="n">
        <v>0</v>
      </c>
      <c r="L716" t="n">
        <v>0</v>
      </c>
      <c r="M716" t="n">
        <v>0</v>
      </c>
      <c r="N716" t="n">
        <v>0</v>
      </c>
      <c r="O716" t="n">
        <v>0</v>
      </c>
      <c r="P716" t="n">
        <v>0</v>
      </c>
      <c r="Q716" t="n">
        <v>0</v>
      </c>
      <c r="R716" s="2" t="inlineStr"/>
    </row>
    <row r="717" ht="15" customHeight="1">
      <c r="A717" t="inlineStr">
        <is>
          <t>A 28980-2024</t>
        </is>
      </c>
      <c r="B717" s="1" t="n">
        <v>45481.47248842593</v>
      </c>
      <c r="C717" s="1" t="n">
        <v>45910</v>
      </c>
      <c r="D717" t="inlineStr">
        <is>
          <t>VÄSTERBOTTENS LÄN</t>
        </is>
      </c>
      <c r="E717" t="inlineStr">
        <is>
          <t>ÅSELE</t>
        </is>
      </c>
      <c r="F717" t="inlineStr">
        <is>
          <t>Sveaskog</t>
        </is>
      </c>
      <c r="G717" t="n">
        <v>9</v>
      </c>
      <c r="H717" t="n">
        <v>0</v>
      </c>
      <c r="I717" t="n">
        <v>0</v>
      </c>
      <c r="J717" t="n">
        <v>0</v>
      </c>
      <c r="K717" t="n">
        <v>0</v>
      </c>
      <c r="L717" t="n">
        <v>0</v>
      </c>
      <c r="M717" t="n">
        <v>0</v>
      </c>
      <c r="N717" t="n">
        <v>0</v>
      </c>
      <c r="O717" t="n">
        <v>0</v>
      </c>
      <c r="P717" t="n">
        <v>0</v>
      </c>
      <c r="Q717" t="n">
        <v>0</v>
      </c>
      <c r="R717" s="2" t="inlineStr"/>
    </row>
    <row r="718" ht="15" customHeight="1">
      <c r="A718" t="inlineStr">
        <is>
          <t>A 43048-2024</t>
        </is>
      </c>
      <c r="B718" s="1" t="n">
        <v>45567</v>
      </c>
      <c r="C718" s="1" t="n">
        <v>45910</v>
      </c>
      <c r="D718" t="inlineStr">
        <is>
          <t>VÄSTERBOTTENS LÄN</t>
        </is>
      </c>
      <c r="E718" t="inlineStr">
        <is>
          <t>ÅSELE</t>
        </is>
      </c>
      <c r="G718" t="n">
        <v>4.8</v>
      </c>
      <c r="H718" t="n">
        <v>0</v>
      </c>
      <c r="I718" t="n">
        <v>0</v>
      </c>
      <c r="J718" t="n">
        <v>0</v>
      </c>
      <c r="K718" t="n">
        <v>0</v>
      </c>
      <c r="L718" t="n">
        <v>0</v>
      </c>
      <c r="M718" t="n">
        <v>0</v>
      </c>
      <c r="N718" t="n">
        <v>0</v>
      </c>
      <c r="O718" t="n">
        <v>0</v>
      </c>
      <c r="P718" t="n">
        <v>0</v>
      </c>
      <c r="Q718" t="n">
        <v>0</v>
      </c>
      <c r="R718" s="2" t="inlineStr"/>
    </row>
    <row r="719" ht="15" customHeight="1">
      <c r="A719" t="inlineStr">
        <is>
          <t>A 36880-2023</t>
        </is>
      </c>
      <c r="B719" s="1" t="n">
        <v>45154.58393518518</v>
      </c>
      <c r="C719" s="1" t="n">
        <v>45910</v>
      </c>
      <c r="D719" t="inlineStr">
        <is>
          <t>VÄSTERBOTTENS LÄN</t>
        </is>
      </c>
      <c r="E719" t="inlineStr">
        <is>
          <t>ÅSELE</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29599-2024</t>
        </is>
      </c>
      <c r="B720" s="1" t="n">
        <v>45484.59297453704</v>
      </c>
      <c r="C720" s="1" t="n">
        <v>45910</v>
      </c>
      <c r="D720" t="inlineStr">
        <is>
          <t>VÄSTERBOTTENS LÄN</t>
        </is>
      </c>
      <c r="E720" t="inlineStr">
        <is>
          <t>ÅSELE</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47616-2023</t>
        </is>
      </c>
      <c r="B721" s="1" t="n">
        <v>45198</v>
      </c>
      <c r="C721" s="1" t="n">
        <v>45910</v>
      </c>
      <c r="D721" t="inlineStr">
        <is>
          <t>VÄSTERBOTTENS LÄN</t>
        </is>
      </c>
      <c r="E721" t="inlineStr">
        <is>
          <t>ÅSELE</t>
        </is>
      </c>
      <c r="G721" t="n">
        <v>1.5</v>
      </c>
      <c r="H721" t="n">
        <v>0</v>
      </c>
      <c r="I721" t="n">
        <v>0</v>
      </c>
      <c r="J721" t="n">
        <v>0</v>
      </c>
      <c r="K721" t="n">
        <v>0</v>
      </c>
      <c r="L721" t="n">
        <v>0</v>
      </c>
      <c r="M721" t="n">
        <v>0</v>
      </c>
      <c r="N721" t="n">
        <v>0</v>
      </c>
      <c r="O721" t="n">
        <v>0</v>
      </c>
      <c r="P721" t="n">
        <v>0</v>
      </c>
      <c r="Q721" t="n">
        <v>0</v>
      </c>
      <c r="R721" s="2" t="inlineStr"/>
    </row>
    <row r="722" ht="15" customHeight="1">
      <c r="A722" t="inlineStr">
        <is>
          <t>A 17805-2025</t>
        </is>
      </c>
      <c r="B722" s="1" t="n">
        <v>45758.5525462963</v>
      </c>
      <c r="C722" s="1" t="n">
        <v>45910</v>
      </c>
      <c r="D722" t="inlineStr">
        <is>
          <t>VÄSTERBOTTENS LÄN</t>
        </is>
      </c>
      <c r="E722" t="inlineStr">
        <is>
          <t>ÅSELE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4084-2023</t>
        </is>
      </c>
      <c r="B723" s="1" t="n">
        <v>44952</v>
      </c>
      <c r="C723" s="1" t="n">
        <v>45910</v>
      </c>
      <c r="D723" t="inlineStr">
        <is>
          <t>VÄSTERBOTTENS LÄN</t>
        </is>
      </c>
      <c r="E723" t="inlineStr">
        <is>
          <t>ÅSELE</t>
        </is>
      </c>
      <c r="G723" t="n">
        <v>4.5</v>
      </c>
      <c r="H723" t="n">
        <v>0</v>
      </c>
      <c r="I723" t="n">
        <v>0</v>
      </c>
      <c r="J723" t="n">
        <v>0</v>
      </c>
      <c r="K723" t="n">
        <v>0</v>
      </c>
      <c r="L723" t="n">
        <v>0</v>
      </c>
      <c r="M723" t="n">
        <v>0</v>
      </c>
      <c r="N723" t="n">
        <v>0</v>
      </c>
      <c r="O723" t="n">
        <v>0</v>
      </c>
      <c r="P723" t="n">
        <v>0</v>
      </c>
      <c r="Q723" t="n">
        <v>0</v>
      </c>
      <c r="R723" s="2" t="inlineStr"/>
    </row>
    <row r="724" ht="15" customHeight="1">
      <c r="A724" t="inlineStr">
        <is>
          <t>A 5006-2024</t>
        </is>
      </c>
      <c r="B724" s="1" t="n">
        <v>45329</v>
      </c>
      <c r="C724" s="1" t="n">
        <v>45910</v>
      </c>
      <c r="D724" t="inlineStr">
        <is>
          <t>VÄSTERBOTTENS LÄN</t>
        </is>
      </c>
      <c r="E724" t="inlineStr">
        <is>
          <t>ÅSELE</t>
        </is>
      </c>
      <c r="F724" t="inlineStr">
        <is>
          <t>Övriga Aktiebolag</t>
        </is>
      </c>
      <c r="G724" t="n">
        <v>0.8</v>
      </c>
      <c r="H724" t="n">
        <v>0</v>
      </c>
      <c r="I724" t="n">
        <v>0</v>
      </c>
      <c r="J724" t="n">
        <v>0</v>
      </c>
      <c r="K724" t="n">
        <v>0</v>
      </c>
      <c r="L724" t="n">
        <v>0</v>
      </c>
      <c r="M724" t="n">
        <v>0</v>
      </c>
      <c r="N724" t="n">
        <v>0</v>
      </c>
      <c r="O724" t="n">
        <v>0</v>
      </c>
      <c r="P724" t="n">
        <v>0</v>
      </c>
      <c r="Q724" t="n">
        <v>0</v>
      </c>
      <c r="R724" s="2" t="inlineStr"/>
    </row>
    <row r="725" ht="15" customHeight="1">
      <c r="A725" t="inlineStr">
        <is>
          <t>A 63062-2023</t>
        </is>
      </c>
      <c r="B725" s="1" t="n">
        <v>45272</v>
      </c>
      <c r="C725" s="1" t="n">
        <v>45910</v>
      </c>
      <c r="D725" t="inlineStr">
        <is>
          <t>VÄSTERBOTTENS LÄN</t>
        </is>
      </c>
      <c r="E725" t="inlineStr">
        <is>
          <t>ÅSELE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8094-2023</t>
        </is>
      </c>
      <c r="B726" s="1" t="n">
        <v>44970</v>
      </c>
      <c r="C726" s="1" t="n">
        <v>45910</v>
      </c>
      <c r="D726" t="inlineStr">
        <is>
          <t>VÄSTERBOTTENS LÄN</t>
        </is>
      </c>
      <c r="E726" t="inlineStr">
        <is>
          <t>ÅSELE</t>
        </is>
      </c>
      <c r="G726" t="n">
        <v>3.4</v>
      </c>
      <c r="H726" t="n">
        <v>0</v>
      </c>
      <c r="I726" t="n">
        <v>0</v>
      </c>
      <c r="J726" t="n">
        <v>0</v>
      </c>
      <c r="K726" t="n">
        <v>0</v>
      </c>
      <c r="L726" t="n">
        <v>0</v>
      </c>
      <c r="M726" t="n">
        <v>0</v>
      </c>
      <c r="N726" t="n">
        <v>0</v>
      </c>
      <c r="O726" t="n">
        <v>0</v>
      </c>
      <c r="P726" t="n">
        <v>0</v>
      </c>
      <c r="Q726" t="n">
        <v>0</v>
      </c>
      <c r="R726" s="2" t="inlineStr"/>
    </row>
    <row r="727" ht="15" customHeight="1">
      <c r="A727" t="inlineStr">
        <is>
          <t>A 17284-2025</t>
        </is>
      </c>
      <c r="B727" s="1" t="n">
        <v>45756.57346064815</v>
      </c>
      <c r="C727" s="1" t="n">
        <v>45910</v>
      </c>
      <c r="D727" t="inlineStr">
        <is>
          <t>VÄSTERBOTTENS LÄN</t>
        </is>
      </c>
      <c r="E727" t="inlineStr">
        <is>
          <t>ÅSELE</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17885-2023</t>
        </is>
      </c>
      <c r="B728" s="1" t="n">
        <v>45037</v>
      </c>
      <c r="C728" s="1" t="n">
        <v>45910</v>
      </c>
      <c r="D728" t="inlineStr">
        <is>
          <t>VÄSTERBOTTENS LÄN</t>
        </is>
      </c>
      <c r="E728" t="inlineStr">
        <is>
          <t>ÅSELE</t>
        </is>
      </c>
      <c r="G728" t="n">
        <v>7.6</v>
      </c>
      <c r="H728" t="n">
        <v>0</v>
      </c>
      <c r="I728" t="n">
        <v>0</v>
      </c>
      <c r="J728" t="n">
        <v>0</v>
      </c>
      <c r="K728" t="n">
        <v>0</v>
      </c>
      <c r="L728" t="n">
        <v>0</v>
      </c>
      <c r="M728" t="n">
        <v>0</v>
      </c>
      <c r="N728" t="n">
        <v>0</v>
      </c>
      <c r="O728" t="n">
        <v>0</v>
      </c>
      <c r="P728" t="n">
        <v>0</v>
      </c>
      <c r="Q728" t="n">
        <v>0</v>
      </c>
      <c r="R728" s="2" t="inlineStr"/>
    </row>
    <row r="729" ht="15" customHeight="1">
      <c r="A729" t="inlineStr">
        <is>
          <t>A 28610-2021</t>
        </is>
      </c>
      <c r="B729" s="1" t="n">
        <v>44356.93482638889</v>
      </c>
      <c r="C729" s="1" t="n">
        <v>45910</v>
      </c>
      <c r="D729" t="inlineStr">
        <is>
          <t>VÄSTERBOTTENS LÄN</t>
        </is>
      </c>
      <c r="E729" t="inlineStr">
        <is>
          <t>ÅSELE</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13879-2025</t>
        </is>
      </c>
      <c r="B730" s="1" t="n">
        <v>45737</v>
      </c>
      <c r="C730" s="1" t="n">
        <v>45910</v>
      </c>
      <c r="D730" t="inlineStr">
        <is>
          <t>VÄSTERBOTTENS LÄN</t>
        </is>
      </c>
      <c r="E730" t="inlineStr">
        <is>
          <t>ÅSELE</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2608-2024</t>
        </is>
      </c>
      <c r="B731" s="1" t="n">
        <v>45313.76722222222</v>
      </c>
      <c r="C731" s="1" t="n">
        <v>45910</v>
      </c>
      <c r="D731" t="inlineStr">
        <is>
          <t>VÄSTERBOTTENS LÄN</t>
        </is>
      </c>
      <c r="E731" t="inlineStr">
        <is>
          <t>ÅSELE</t>
        </is>
      </c>
      <c r="F731" t="inlineStr">
        <is>
          <t>Övriga Aktiebolag</t>
        </is>
      </c>
      <c r="G731" t="n">
        <v>20.6</v>
      </c>
      <c r="H731" t="n">
        <v>0</v>
      </c>
      <c r="I731" t="n">
        <v>0</v>
      </c>
      <c r="J731" t="n">
        <v>0</v>
      </c>
      <c r="K731" t="n">
        <v>0</v>
      </c>
      <c r="L731" t="n">
        <v>0</v>
      </c>
      <c r="M731" t="n">
        <v>0</v>
      </c>
      <c r="N731" t="n">
        <v>0</v>
      </c>
      <c r="O731" t="n">
        <v>0</v>
      </c>
      <c r="P731" t="n">
        <v>0</v>
      </c>
      <c r="Q731" t="n">
        <v>0</v>
      </c>
      <c r="R731" s="2" t="inlineStr"/>
    </row>
    <row r="732" ht="15" customHeight="1">
      <c r="A732" t="inlineStr">
        <is>
          <t>A 917-2025</t>
        </is>
      </c>
      <c r="B732" s="1" t="n">
        <v>45665.77418981482</v>
      </c>
      <c r="C732" s="1" t="n">
        <v>45910</v>
      </c>
      <c r="D732" t="inlineStr">
        <is>
          <t>VÄSTERBOTTENS LÄN</t>
        </is>
      </c>
      <c r="E732" t="inlineStr">
        <is>
          <t>ÅSELE</t>
        </is>
      </c>
      <c r="G732" t="n">
        <v>1.8</v>
      </c>
      <c r="H732" t="n">
        <v>0</v>
      </c>
      <c r="I732" t="n">
        <v>0</v>
      </c>
      <c r="J732" t="n">
        <v>0</v>
      </c>
      <c r="K732" t="n">
        <v>0</v>
      </c>
      <c r="L732" t="n">
        <v>0</v>
      </c>
      <c r="M732" t="n">
        <v>0</v>
      </c>
      <c r="N732" t="n">
        <v>0</v>
      </c>
      <c r="O732" t="n">
        <v>0</v>
      </c>
      <c r="P732" t="n">
        <v>0</v>
      </c>
      <c r="Q732" t="n">
        <v>0</v>
      </c>
      <c r="R732" s="2" t="inlineStr"/>
    </row>
    <row r="733" ht="15" customHeight="1">
      <c r="A733" t="inlineStr">
        <is>
          <t>A 6682-2024</t>
        </is>
      </c>
      <c r="B733" s="1" t="n">
        <v>45341.92533564815</v>
      </c>
      <c r="C733" s="1" t="n">
        <v>45910</v>
      </c>
      <c r="D733" t="inlineStr">
        <is>
          <t>VÄSTERBOTTENS LÄN</t>
        </is>
      </c>
      <c r="E733" t="inlineStr">
        <is>
          <t>ÅSELE</t>
        </is>
      </c>
      <c r="G733" t="n">
        <v>0.4</v>
      </c>
      <c r="H733" t="n">
        <v>0</v>
      </c>
      <c r="I733" t="n">
        <v>0</v>
      </c>
      <c r="J733" t="n">
        <v>0</v>
      </c>
      <c r="K733" t="n">
        <v>0</v>
      </c>
      <c r="L733" t="n">
        <v>0</v>
      </c>
      <c r="M733" t="n">
        <v>0</v>
      </c>
      <c r="N733" t="n">
        <v>0</v>
      </c>
      <c r="O733" t="n">
        <v>0</v>
      </c>
      <c r="P733" t="n">
        <v>0</v>
      </c>
      <c r="Q733" t="n">
        <v>0</v>
      </c>
      <c r="R733" s="2" t="inlineStr"/>
    </row>
    <row r="734" ht="15" customHeight="1">
      <c r="A734" t="inlineStr">
        <is>
          <t>A 57498-2024</t>
        </is>
      </c>
      <c r="B734" s="1" t="n">
        <v>45629</v>
      </c>
      <c r="C734" s="1" t="n">
        <v>45910</v>
      </c>
      <c r="D734" t="inlineStr">
        <is>
          <t>VÄSTERBOTTENS LÄN</t>
        </is>
      </c>
      <c r="E734" t="inlineStr">
        <is>
          <t>ÅSELE</t>
        </is>
      </c>
      <c r="G734" t="n">
        <v>3.5</v>
      </c>
      <c r="H734" t="n">
        <v>0</v>
      </c>
      <c r="I734" t="n">
        <v>0</v>
      </c>
      <c r="J734" t="n">
        <v>0</v>
      </c>
      <c r="K734" t="n">
        <v>0</v>
      </c>
      <c r="L734" t="n">
        <v>0</v>
      </c>
      <c r="M734" t="n">
        <v>0</v>
      </c>
      <c r="N734" t="n">
        <v>0</v>
      </c>
      <c r="O734" t="n">
        <v>0</v>
      </c>
      <c r="P734" t="n">
        <v>0</v>
      </c>
      <c r="Q734" t="n">
        <v>0</v>
      </c>
      <c r="R734" s="2" t="inlineStr"/>
    </row>
    <row r="735" ht="15" customHeight="1">
      <c r="A735" t="inlineStr">
        <is>
          <t>A 32058-2024</t>
        </is>
      </c>
      <c r="B735" s="1" t="n">
        <v>45510</v>
      </c>
      <c r="C735" s="1" t="n">
        <v>45910</v>
      </c>
      <c r="D735" t="inlineStr">
        <is>
          <t>VÄSTERBOTTENS LÄN</t>
        </is>
      </c>
      <c r="E735" t="inlineStr">
        <is>
          <t>ÅSELE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55615-2024</t>
        </is>
      </c>
      <c r="B736" s="1" t="n">
        <v>45622.58969907407</v>
      </c>
      <c r="C736" s="1" t="n">
        <v>45910</v>
      </c>
      <c r="D736" t="inlineStr">
        <is>
          <t>VÄSTERBOTTENS LÄN</t>
        </is>
      </c>
      <c r="E736" t="inlineStr">
        <is>
          <t>ÅSELE</t>
        </is>
      </c>
      <c r="G736" t="n">
        <v>1.2</v>
      </c>
      <c r="H736" t="n">
        <v>0</v>
      </c>
      <c r="I736" t="n">
        <v>0</v>
      </c>
      <c r="J736" t="n">
        <v>0</v>
      </c>
      <c r="K736" t="n">
        <v>0</v>
      </c>
      <c r="L736" t="n">
        <v>0</v>
      </c>
      <c r="M736" t="n">
        <v>0</v>
      </c>
      <c r="N736" t="n">
        <v>0</v>
      </c>
      <c r="O736" t="n">
        <v>0</v>
      </c>
      <c r="P736" t="n">
        <v>0</v>
      </c>
      <c r="Q736" t="n">
        <v>0</v>
      </c>
      <c r="R736" s="2" t="inlineStr"/>
    </row>
    <row r="737" ht="15" customHeight="1">
      <c r="A737" t="inlineStr">
        <is>
          <t>A 55623-2024</t>
        </is>
      </c>
      <c r="B737" s="1" t="n">
        <v>45622.59480324074</v>
      </c>
      <c r="C737" s="1" t="n">
        <v>45910</v>
      </c>
      <c r="D737" t="inlineStr">
        <is>
          <t>VÄSTERBOTTENS LÄN</t>
        </is>
      </c>
      <c r="E737" t="inlineStr">
        <is>
          <t>ÅSELE</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61530-2024</t>
        </is>
      </c>
      <c r="B738" s="1" t="n">
        <v>45645</v>
      </c>
      <c r="C738" s="1" t="n">
        <v>45910</v>
      </c>
      <c r="D738" t="inlineStr">
        <is>
          <t>VÄSTERBOTTENS LÄN</t>
        </is>
      </c>
      <c r="E738" t="inlineStr">
        <is>
          <t>ÅSELE</t>
        </is>
      </c>
      <c r="G738" t="n">
        <v>1.2</v>
      </c>
      <c r="H738" t="n">
        <v>0</v>
      </c>
      <c r="I738" t="n">
        <v>0</v>
      </c>
      <c r="J738" t="n">
        <v>0</v>
      </c>
      <c r="K738" t="n">
        <v>0</v>
      </c>
      <c r="L738" t="n">
        <v>0</v>
      </c>
      <c r="M738" t="n">
        <v>0</v>
      </c>
      <c r="N738" t="n">
        <v>0</v>
      </c>
      <c r="O738" t="n">
        <v>0</v>
      </c>
      <c r="P738" t="n">
        <v>0</v>
      </c>
      <c r="Q738" t="n">
        <v>0</v>
      </c>
      <c r="R738" s="2" t="inlineStr"/>
    </row>
    <row r="739" ht="15" customHeight="1">
      <c r="A739" t="inlineStr">
        <is>
          <t>A 49840-2020</t>
        </is>
      </c>
      <c r="B739" s="1" t="n">
        <v>44106</v>
      </c>
      <c r="C739" s="1" t="n">
        <v>45910</v>
      </c>
      <c r="D739" t="inlineStr">
        <is>
          <t>VÄSTERBOTTENS LÄN</t>
        </is>
      </c>
      <c r="E739" t="inlineStr">
        <is>
          <t>ÅSELE</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3111-2024</t>
        </is>
      </c>
      <c r="B740" s="1" t="n">
        <v>45316</v>
      </c>
      <c r="C740" s="1" t="n">
        <v>45910</v>
      </c>
      <c r="D740" t="inlineStr">
        <is>
          <t>VÄSTERBOTTENS LÄN</t>
        </is>
      </c>
      <c r="E740" t="inlineStr">
        <is>
          <t>ÅSELE</t>
        </is>
      </c>
      <c r="G740" t="n">
        <v>1.6</v>
      </c>
      <c r="H740" t="n">
        <v>0</v>
      </c>
      <c r="I740" t="n">
        <v>0</v>
      </c>
      <c r="J740" t="n">
        <v>0</v>
      </c>
      <c r="K740" t="n">
        <v>0</v>
      </c>
      <c r="L740" t="n">
        <v>0</v>
      </c>
      <c r="M740" t="n">
        <v>0</v>
      </c>
      <c r="N740" t="n">
        <v>0</v>
      </c>
      <c r="O740" t="n">
        <v>0</v>
      </c>
      <c r="P740" t="n">
        <v>0</v>
      </c>
      <c r="Q740" t="n">
        <v>0</v>
      </c>
      <c r="R740" s="2" t="inlineStr"/>
    </row>
    <row r="741" ht="15" customHeight="1">
      <c r="A741" t="inlineStr">
        <is>
          <t>A 36164-2024</t>
        </is>
      </c>
      <c r="B741" s="1" t="n">
        <v>45534.3956712963</v>
      </c>
      <c r="C741" s="1" t="n">
        <v>45910</v>
      </c>
      <c r="D741" t="inlineStr">
        <is>
          <t>VÄSTERBOTTENS LÄN</t>
        </is>
      </c>
      <c r="E741" t="inlineStr">
        <is>
          <t>ÅSELE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26980-2024</t>
        </is>
      </c>
      <c r="B742" s="1" t="n">
        <v>45471</v>
      </c>
      <c r="C742" s="1" t="n">
        <v>45910</v>
      </c>
      <c r="D742" t="inlineStr">
        <is>
          <t>VÄSTERBOTTENS LÄN</t>
        </is>
      </c>
      <c r="E742" t="inlineStr">
        <is>
          <t>ÅSELE</t>
        </is>
      </c>
      <c r="G742" t="n">
        <v>7.7</v>
      </c>
      <c r="H742" t="n">
        <v>0</v>
      </c>
      <c r="I742" t="n">
        <v>0</v>
      </c>
      <c r="J742" t="n">
        <v>0</v>
      </c>
      <c r="K742" t="n">
        <v>0</v>
      </c>
      <c r="L742" t="n">
        <v>0</v>
      </c>
      <c r="M742" t="n">
        <v>0</v>
      </c>
      <c r="N742" t="n">
        <v>0</v>
      </c>
      <c r="O742" t="n">
        <v>0</v>
      </c>
      <c r="P742" t="n">
        <v>0</v>
      </c>
      <c r="Q742" t="n">
        <v>0</v>
      </c>
      <c r="R742" s="2" t="inlineStr"/>
    </row>
    <row r="743" ht="15" customHeight="1">
      <c r="A743" t="inlineStr">
        <is>
          <t>A 50284-2024</t>
        </is>
      </c>
      <c r="B743" s="1" t="n">
        <v>45600.61493055556</v>
      </c>
      <c r="C743" s="1" t="n">
        <v>45910</v>
      </c>
      <c r="D743" t="inlineStr">
        <is>
          <t>VÄSTERBOTTENS LÄN</t>
        </is>
      </c>
      <c r="E743" t="inlineStr">
        <is>
          <t>ÅSELE</t>
        </is>
      </c>
      <c r="F743" t="inlineStr">
        <is>
          <t>SCA</t>
        </is>
      </c>
      <c r="G743" t="n">
        <v>15.3</v>
      </c>
      <c r="H743" t="n">
        <v>0</v>
      </c>
      <c r="I743" t="n">
        <v>0</v>
      </c>
      <c r="J743" t="n">
        <v>0</v>
      </c>
      <c r="K743" t="n">
        <v>0</v>
      </c>
      <c r="L743" t="n">
        <v>0</v>
      </c>
      <c r="M743" t="n">
        <v>0</v>
      </c>
      <c r="N743" t="n">
        <v>0</v>
      </c>
      <c r="O743" t="n">
        <v>0</v>
      </c>
      <c r="P743" t="n">
        <v>0</v>
      </c>
      <c r="Q743" t="n">
        <v>0</v>
      </c>
      <c r="R743" s="2" t="inlineStr"/>
    </row>
    <row r="744" ht="15" customHeight="1">
      <c r="A744" t="inlineStr">
        <is>
          <t>A 10109-2025</t>
        </is>
      </c>
      <c r="B744" s="1" t="n">
        <v>45719</v>
      </c>
      <c r="C744" s="1" t="n">
        <v>45910</v>
      </c>
      <c r="D744" t="inlineStr">
        <is>
          <t>VÄSTERBOTTENS LÄN</t>
        </is>
      </c>
      <c r="E744" t="inlineStr">
        <is>
          <t>ÅSELE</t>
        </is>
      </c>
      <c r="G744" t="n">
        <v>3.6</v>
      </c>
      <c r="H744" t="n">
        <v>0</v>
      </c>
      <c r="I744" t="n">
        <v>0</v>
      </c>
      <c r="J744" t="n">
        <v>0</v>
      </c>
      <c r="K744" t="n">
        <v>0</v>
      </c>
      <c r="L744" t="n">
        <v>0</v>
      </c>
      <c r="M744" t="n">
        <v>0</v>
      </c>
      <c r="N744" t="n">
        <v>0</v>
      </c>
      <c r="O744" t="n">
        <v>0</v>
      </c>
      <c r="P744" t="n">
        <v>0</v>
      </c>
      <c r="Q744" t="n">
        <v>0</v>
      </c>
      <c r="R744" s="2" t="inlineStr"/>
    </row>
    <row r="745" ht="15" customHeight="1">
      <c r="A745" t="inlineStr">
        <is>
          <t>A 28962-2024</t>
        </is>
      </c>
      <c r="B745" s="1" t="n">
        <v>45481.41788194444</v>
      </c>
      <c r="C745" s="1" t="n">
        <v>45910</v>
      </c>
      <c r="D745" t="inlineStr">
        <is>
          <t>VÄSTERBOTTENS LÄN</t>
        </is>
      </c>
      <c r="E745" t="inlineStr">
        <is>
          <t>ÅSELE</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41815-2024</t>
        </is>
      </c>
      <c r="B746" s="1" t="n">
        <v>45561</v>
      </c>
      <c r="C746" s="1" t="n">
        <v>45910</v>
      </c>
      <c r="D746" t="inlineStr">
        <is>
          <t>VÄSTERBOTTENS LÄN</t>
        </is>
      </c>
      <c r="E746" t="inlineStr">
        <is>
          <t>ÅSELE</t>
        </is>
      </c>
      <c r="G746" t="n">
        <v>3.4</v>
      </c>
      <c r="H746" t="n">
        <v>0</v>
      </c>
      <c r="I746" t="n">
        <v>0</v>
      </c>
      <c r="J746" t="n">
        <v>0</v>
      </c>
      <c r="K746" t="n">
        <v>0</v>
      </c>
      <c r="L746" t="n">
        <v>0</v>
      </c>
      <c r="M746" t="n">
        <v>0</v>
      </c>
      <c r="N746" t="n">
        <v>0</v>
      </c>
      <c r="O746" t="n">
        <v>0</v>
      </c>
      <c r="P746" t="n">
        <v>0</v>
      </c>
      <c r="Q746" t="n">
        <v>0</v>
      </c>
      <c r="R746" s="2" t="inlineStr"/>
    </row>
    <row r="747" ht="15" customHeight="1">
      <c r="A747" t="inlineStr">
        <is>
          <t>A 52772-2024</t>
        </is>
      </c>
      <c r="B747" s="1" t="n">
        <v>45610</v>
      </c>
      <c r="C747" s="1" t="n">
        <v>45910</v>
      </c>
      <c r="D747" t="inlineStr">
        <is>
          <t>VÄSTERBOTTENS LÄN</t>
        </is>
      </c>
      <c r="E747" t="inlineStr">
        <is>
          <t>ÅSELE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41321-2024</t>
        </is>
      </c>
      <c r="B748" s="1" t="n">
        <v>45559.64984953704</v>
      </c>
      <c r="C748" s="1" t="n">
        <v>45910</v>
      </c>
      <c r="D748" t="inlineStr">
        <is>
          <t>VÄSTERBOTTENS LÄN</t>
        </is>
      </c>
      <c r="E748" t="inlineStr">
        <is>
          <t>ÅSELE</t>
        </is>
      </c>
      <c r="F748" t="inlineStr">
        <is>
          <t>Naturvårdsverket</t>
        </is>
      </c>
      <c r="G748" t="n">
        <v>1.3</v>
      </c>
      <c r="H748" t="n">
        <v>0</v>
      </c>
      <c r="I748" t="n">
        <v>0</v>
      </c>
      <c r="J748" t="n">
        <v>0</v>
      </c>
      <c r="K748" t="n">
        <v>0</v>
      </c>
      <c r="L748" t="n">
        <v>0</v>
      </c>
      <c r="M748" t="n">
        <v>0</v>
      </c>
      <c r="N748" t="n">
        <v>0</v>
      </c>
      <c r="O748" t="n">
        <v>0</v>
      </c>
      <c r="P748" t="n">
        <v>0</v>
      </c>
      <c r="Q748" t="n">
        <v>0</v>
      </c>
      <c r="R748" s="2" t="inlineStr"/>
    </row>
    <row r="749" ht="15" customHeight="1">
      <c r="A749" t="inlineStr">
        <is>
          <t>A 34189-2021</t>
        </is>
      </c>
      <c r="B749" s="1" t="n">
        <v>44379.50560185185</v>
      </c>
      <c r="C749" s="1" t="n">
        <v>45910</v>
      </c>
      <c r="D749" t="inlineStr">
        <is>
          <t>VÄSTERBOTTENS LÄN</t>
        </is>
      </c>
      <c r="E749" t="inlineStr">
        <is>
          <t>ÅSELE</t>
        </is>
      </c>
      <c r="F749" t="inlineStr">
        <is>
          <t>Holmen skog AB</t>
        </is>
      </c>
      <c r="G749" t="n">
        <v>2.1</v>
      </c>
      <c r="H749" t="n">
        <v>0</v>
      </c>
      <c r="I749" t="n">
        <v>0</v>
      </c>
      <c r="J749" t="n">
        <v>0</v>
      </c>
      <c r="K749" t="n">
        <v>0</v>
      </c>
      <c r="L749" t="n">
        <v>0</v>
      </c>
      <c r="M749" t="n">
        <v>0</v>
      </c>
      <c r="N749" t="n">
        <v>0</v>
      </c>
      <c r="O749" t="n">
        <v>0</v>
      </c>
      <c r="P749" t="n">
        <v>0</v>
      </c>
      <c r="Q749" t="n">
        <v>0</v>
      </c>
      <c r="R749" s="2" t="inlineStr"/>
    </row>
    <row r="750" ht="15" customHeight="1">
      <c r="A750" t="inlineStr">
        <is>
          <t>A 20154-2025</t>
        </is>
      </c>
      <c r="B750" s="1" t="n">
        <v>45772.55646990741</v>
      </c>
      <c r="C750" s="1" t="n">
        <v>45910</v>
      </c>
      <c r="D750" t="inlineStr">
        <is>
          <t>VÄSTERBOTTENS LÄN</t>
        </is>
      </c>
      <c r="E750" t="inlineStr">
        <is>
          <t>ÅSELE</t>
        </is>
      </c>
      <c r="F750" t="inlineStr">
        <is>
          <t>Holmen skog AB</t>
        </is>
      </c>
      <c r="G750" t="n">
        <v>6.3</v>
      </c>
      <c r="H750" t="n">
        <v>0</v>
      </c>
      <c r="I750" t="n">
        <v>0</v>
      </c>
      <c r="J750" t="n">
        <v>0</v>
      </c>
      <c r="K750" t="n">
        <v>0</v>
      </c>
      <c r="L750" t="n">
        <v>0</v>
      </c>
      <c r="M750" t="n">
        <v>0</v>
      </c>
      <c r="N750" t="n">
        <v>0</v>
      </c>
      <c r="O750" t="n">
        <v>0</v>
      </c>
      <c r="P750" t="n">
        <v>0</v>
      </c>
      <c r="Q750" t="n">
        <v>0</v>
      </c>
      <c r="R750" s="2" t="inlineStr"/>
    </row>
    <row r="751" ht="15" customHeight="1">
      <c r="A751" t="inlineStr">
        <is>
          <t>A 67685-2021</t>
        </is>
      </c>
      <c r="B751" s="1" t="n">
        <v>44524</v>
      </c>
      <c r="C751" s="1" t="n">
        <v>45910</v>
      </c>
      <c r="D751" t="inlineStr">
        <is>
          <t>VÄSTERBOTTENS LÄN</t>
        </is>
      </c>
      <c r="E751" t="inlineStr">
        <is>
          <t>ÅSELE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56572-2022</t>
        </is>
      </c>
      <c r="B752" s="1" t="n">
        <v>44888</v>
      </c>
      <c r="C752" s="1" t="n">
        <v>45910</v>
      </c>
      <c r="D752" t="inlineStr">
        <is>
          <t>VÄSTERBOTTENS LÄN</t>
        </is>
      </c>
      <c r="E752" t="inlineStr">
        <is>
          <t>ÅSELE</t>
        </is>
      </c>
      <c r="G752" t="n">
        <v>1.1</v>
      </c>
      <c r="H752" t="n">
        <v>0</v>
      </c>
      <c r="I752" t="n">
        <v>0</v>
      </c>
      <c r="J752" t="n">
        <v>0</v>
      </c>
      <c r="K752" t="n">
        <v>0</v>
      </c>
      <c r="L752" t="n">
        <v>0</v>
      </c>
      <c r="M752" t="n">
        <v>0</v>
      </c>
      <c r="N752" t="n">
        <v>0</v>
      </c>
      <c r="O752" t="n">
        <v>0</v>
      </c>
      <c r="P752" t="n">
        <v>0</v>
      </c>
      <c r="Q752" t="n">
        <v>0</v>
      </c>
      <c r="R752" s="2" t="inlineStr"/>
    </row>
    <row r="753" ht="15" customHeight="1">
      <c r="A753" t="inlineStr">
        <is>
          <t>A 35780-2023</t>
        </is>
      </c>
      <c r="B753" s="1" t="n">
        <v>45148.3397337963</v>
      </c>
      <c r="C753" s="1" t="n">
        <v>45910</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41408-2024</t>
        </is>
      </c>
      <c r="B754" s="1" t="n">
        <v>45560.34202546296</v>
      </c>
      <c r="C754" s="1" t="n">
        <v>45910</v>
      </c>
      <c r="D754" t="inlineStr">
        <is>
          <t>VÄSTERBOTTENS LÄN</t>
        </is>
      </c>
      <c r="E754" t="inlineStr">
        <is>
          <t>ÅSELE</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2609-2024</t>
        </is>
      </c>
      <c r="B755" s="1" t="n">
        <v>45313</v>
      </c>
      <c r="C755" s="1" t="n">
        <v>45910</v>
      </c>
      <c r="D755" t="inlineStr">
        <is>
          <t>VÄSTERBOTTENS LÄN</t>
        </is>
      </c>
      <c r="E755" t="inlineStr">
        <is>
          <t>ÅSELE</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38405-2024</t>
        </is>
      </c>
      <c r="B756" s="1" t="n">
        <v>45546.34490740741</v>
      </c>
      <c r="C756" s="1" t="n">
        <v>45910</v>
      </c>
      <c r="D756" t="inlineStr">
        <is>
          <t>VÄSTERBOTTENS LÄN</t>
        </is>
      </c>
      <c r="E756" t="inlineStr">
        <is>
          <t>ÅSELE</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42642-2024</t>
        </is>
      </c>
      <c r="B757" s="1" t="n">
        <v>45566</v>
      </c>
      <c r="C757" s="1" t="n">
        <v>45910</v>
      </c>
      <c r="D757" t="inlineStr">
        <is>
          <t>VÄSTERBOTTENS LÄN</t>
        </is>
      </c>
      <c r="E757" t="inlineStr">
        <is>
          <t>ÅSELE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18317-2025</t>
        </is>
      </c>
      <c r="B758" s="1" t="n">
        <v>45762.45550925926</v>
      </c>
      <c r="C758" s="1" t="n">
        <v>45910</v>
      </c>
      <c r="D758" t="inlineStr">
        <is>
          <t>VÄSTERBOTTENS LÄN</t>
        </is>
      </c>
      <c r="E758" t="inlineStr">
        <is>
          <t>ÅSELE</t>
        </is>
      </c>
      <c r="G758" t="n">
        <v>1.1</v>
      </c>
      <c r="H758" t="n">
        <v>0</v>
      </c>
      <c r="I758" t="n">
        <v>0</v>
      </c>
      <c r="J758" t="n">
        <v>0</v>
      </c>
      <c r="K758" t="n">
        <v>0</v>
      </c>
      <c r="L758" t="n">
        <v>0</v>
      </c>
      <c r="M758" t="n">
        <v>0</v>
      </c>
      <c r="N758" t="n">
        <v>0</v>
      </c>
      <c r="O758" t="n">
        <v>0</v>
      </c>
      <c r="P758" t="n">
        <v>0</v>
      </c>
      <c r="Q758" t="n">
        <v>0</v>
      </c>
      <c r="R758" s="2" t="inlineStr"/>
    </row>
    <row r="759" ht="15" customHeight="1">
      <c r="A759" t="inlineStr">
        <is>
          <t>A 42689-2024</t>
        </is>
      </c>
      <c r="B759" s="1" t="n">
        <v>45566.40032407407</v>
      </c>
      <c r="C759" s="1" t="n">
        <v>45910</v>
      </c>
      <c r="D759" t="inlineStr">
        <is>
          <t>VÄSTERBOTTENS LÄN</t>
        </is>
      </c>
      <c r="E759" t="inlineStr">
        <is>
          <t>ÅSELE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17148-2025</t>
        </is>
      </c>
      <c r="B760" s="1" t="n">
        <v>45756.30644675926</v>
      </c>
      <c r="C760" s="1" t="n">
        <v>45910</v>
      </c>
      <c r="D760" t="inlineStr">
        <is>
          <t>VÄSTERBOTTENS LÄN</t>
        </is>
      </c>
      <c r="E760" t="inlineStr">
        <is>
          <t>ÅSELE</t>
        </is>
      </c>
      <c r="G760" t="n">
        <v>5.3</v>
      </c>
      <c r="H760" t="n">
        <v>0</v>
      </c>
      <c r="I760" t="n">
        <v>0</v>
      </c>
      <c r="J760" t="n">
        <v>0</v>
      </c>
      <c r="K760" t="n">
        <v>0</v>
      </c>
      <c r="L760" t="n">
        <v>0</v>
      </c>
      <c r="M760" t="n">
        <v>0</v>
      </c>
      <c r="N760" t="n">
        <v>0</v>
      </c>
      <c r="O760" t="n">
        <v>0</v>
      </c>
      <c r="P760" t="n">
        <v>0</v>
      </c>
      <c r="Q760" t="n">
        <v>0</v>
      </c>
      <c r="R760" s="2" t="inlineStr"/>
    </row>
    <row r="761" ht="15" customHeight="1">
      <c r="A761" t="inlineStr">
        <is>
          <t>A 20302-2025</t>
        </is>
      </c>
      <c r="B761" s="1" t="n">
        <v>45774.7928587963</v>
      </c>
      <c r="C761" s="1" t="n">
        <v>45910</v>
      </c>
      <c r="D761" t="inlineStr">
        <is>
          <t>VÄSTERBOTTENS LÄN</t>
        </is>
      </c>
      <c r="E761" t="inlineStr">
        <is>
          <t>ÅSELE</t>
        </is>
      </c>
      <c r="G761" t="n">
        <v>12.7</v>
      </c>
      <c r="H761" t="n">
        <v>0</v>
      </c>
      <c r="I761" t="n">
        <v>0</v>
      </c>
      <c r="J761" t="n">
        <v>0</v>
      </c>
      <c r="K761" t="n">
        <v>0</v>
      </c>
      <c r="L761" t="n">
        <v>0</v>
      </c>
      <c r="M761" t="n">
        <v>0</v>
      </c>
      <c r="N761" t="n">
        <v>0</v>
      </c>
      <c r="O761" t="n">
        <v>0</v>
      </c>
      <c r="P761" t="n">
        <v>0</v>
      </c>
      <c r="Q761" t="n">
        <v>0</v>
      </c>
      <c r="R761" s="2" t="inlineStr"/>
    </row>
    <row r="762" ht="15" customHeight="1">
      <c r="A762" t="inlineStr">
        <is>
          <t>A 20303-2025</t>
        </is>
      </c>
      <c r="B762" s="1" t="n">
        <v>45774.80667824074</v>
      </c>
      <c r="C762" s="1" t="n">
        <v>45910</v>
      </c>
      <c r="D762" t="inlineStr">
        <is>
          <t>VÄSTERBOTTENS LÄN</t>
        </is>
      </c>
      <c r="E762" t="inlineStr">
        <is>
          <t>ÅSELE</t>
        </is>
      </c>
      <c r="G762" t="n">
        <v>4.1</v>
      </c>
      <c r="H762" t="n">
        <v>0</v>
      </c>
      <c r="I762" t="n">
        <v>0</v>
      </c>
      <c r="J762" t="n">
        <v>0</v>
      </c>
      <c r="K762" t="n">
        <v>0</v>
      </c>
      <c r="L762" t="n">
        <v>0</v>
      </c>
      <c r="M762" t="n">
        <v>0</v>
      </c>
      <c r="N762" t="n">
        <v>0</v>
      </c>
      <c r="O762" t="n">
        <v>0</v>
      </c>
      <c r="P762" t="n">
        <v>0</v>
      </c>
      <c r="Q762" t="n">
        <v>0</v>
      </c>
      <c r="R762" s="2" t="inlineStr"/>
    </row>
    <row r="763" ht="15" customHeight="1">
      <c r="A763" t="inlineStr">
        <is>
          <t>A 61330-2024</t>
        </is>
      </c>
      <c r="B763" s="1" t="n">
        <v>45645</v>
      </c>
      <c r="C763" s="1" t="n">
        <v>45910</v>
      </c>
      <c r="D763" t="inlineStr">
        <is>
          <t>VÄSTERBOTTENS LÄN</t>
        </is>
      </c>
      <c r="E763" t="inlineStr">
        <is>
          <t>ÅSELE</t>
        </is>
      </c>
      <c r="F763" t="inlineStr">
        <is>
          <t>Sveaskog</t>
        </is>
      </c>
      <c r="G763" t="n">
        <v>8.6</v>
      </c>
      <c r="H763" t="n">
        <v>0</v>
      </c>
      <c r="I763" t="n">
        <v>0</v>
      </c>
      <c r="J763" t="n">
        <v>0</v>
      </c>
      <c r="K763" t="n">
        <v>0</v>
      </c>
      <c r="L763" t="n">
        <v>0</v>
      </c>
      <c r="M763" t="n">
        <v>0</v>
      </c>
      <c r="N763" t="n">
        <v>0</v>
      </c>
      <c r="O763" t="n">
        <v>0</v>
      </c>
      <c r="P763" t="n">
        <v>0</v>
      </c>
      <c r="Q763" t="n">
        <v>0</v>
      </c>
      <c r="R763" s="2" t="inlineStr"/>
    </row>
    <row r="764" ht="15" customHeight="1">
      <c r="A764" t="inlineStr">
        <is>
          <t>A 65038-2023</t>
        </is>
      </c>
      <c r="B764" s="1" t="n">
        <v>45282</v>
      </c>
      <c r="C764" s="1" t="n">
        <v>45910</v>
      </c>
      <c r="D764" t="inlineStr">
        <is>
          <t>VÄSTERBOTTENS LÄN</t>
        </is>
      </c>
      <c r="E764" t="inlineStr">
        <is>
          <t>ÅSELE</t>
        </is>
      </c>
      <c r="G764" t="n">
        <v>1</v>
      </c>
      <c r="H764" t="n">
        <v>0</v>
      </c>
      <c r="I764" t="n">
        <v>0</v>
      </c>
      <c r="J764" t="n">
        <v>0</v>
      </c>
      <c r="K764" t="n">
        <v>0</v>
      </c>
      <c r="L764" t="n">
        <v>0</v>
      </c>
      <c r="M764" t="n">
        <v>0</v>
      </c>
      <c r="N764" t="n">
        <v>0</v>
      </c>
      <c r="O764" t="n">
        <v>0</v>
      </c>
      <c r="P764" t="n">
        <v>0</v>
      </c>
      <c r="Q764" t="n">
        <v>0</v>
      </c>
      <c r="R764" s="2" t="inlineStr"/>
    </row>
    <row r="765" ht="15" customHeight="1">
      <c r="A765" t="inlineStr">
        <is>
          <t>A 32586-2023</t>
        </is>
      </c>
      <c r="B765" s="1" t="n">
        <v>45121</v>
      </c>
      <c r="C765" s="1" t="n">
        <v>45910</v>
      </c>
      <c r="D765" t="inlineStr">
        <is>
          <t>VÄSTERBOTTENS LÄN</t>
        </is>
      </c>
      <c r="E765" t="inlineStr">
        <is>
          <t>ÅSELE</t>
        </is>
      </c>
      <c r="F765" t="inlineStr">
        <is>
          <t>Holmen skog AB</t>
        </is>
      </c>
      <c r="G765" t="n">
        <v>5.5</v>
      </c>
      <c r="H765" t="n">
        <v>0</v>
      </c>
      <c r="I765" t="n">
        <v>0</v>
      </c>
      <c r="J765" t="n">
        <v>0</v>
      </c>
      <c r="K765" t="n">
        <v>0</v>
      </c>
      <c r="L765" t="n">
        <v>0</v>
      </c>
      <c r="M765" t="n">
        <v>0</v>
      </c>
      <c r="N765" t="n">
        <v>0</v>
      </c>
      <c r="O765" t="n">
        <v>0</v>
      </c>
      <c r="P765" t="n">
        <v>0</v>
      </c>
      <c r="Q765" t="n">
        <v>0</v>
      </c>
      <c r="R765" s="2" t="inlineStr"/>
    </row>
    <row r="766" ht="15" customHeight="1">
      <c r="A766" t="inlineStr">
        <is>
          <t>A 1275-2025</t>
        </is>
      </c>
      <c r="B766" s="1" t="n">
        <v>45666</v>
      </c>
      <c r="C766" s="1" t="n">
        <v>45910</v>
      </c>
      <c r="D766" t="inlineStr">
        <is>
          <t>VÄSTERBOTTENS LÄN</t>
        </is>
      </c>
      <c r="E766" t="inlineStr">
        <is>
          <t>ÅSELE</t>
        </is>
      </c>
      <c r="G766" t="n">
        <v>8.1</v>
      </c>
      <c r="H766" t="n">
        <v>0</v>
      </c>
      <c r="I766" t="n">
        <v>0</v>
      </c>
      <c r="J766" t="n">
        <v>0</v>
      </c>
      <c r="K766" t="n">
        <v>0</v>
      </c>
      <c r="L766" t="n">
        <v>0</v>
      </c>
      <c r="M766" t="n">
        <v>0</v>
      </c>
      <c r="N766" t="n">
        <v>0</v>
      </c>
      <c r="O766" t="n">
        <v>0</v>
      </c>
      <c r="P766" t="n">
        <v>0</v>
      </c>
      <c r="Q766" t="n">
        <v>0</v>
      </c>
      <c r="R766" s="2" t="inlineStr"/>
    </row>
    <row r="767" ht="15" customHeight="1">
      <c r="A767" t="inlineStr">
        <is>
          <t>A 15059-2025</t>
        </is>
      </c>
      <c r="B767" s="1" t="n">
        <v>45743</v>
      </c>
      <c r="C767" s="1" t="n">
        <v>45910</v>
      </c>
      <c r="D767" t="inlineStr">
        <is>
          <t>VÄSTERBOTTENS LÄN</t>
        </is>
      </c>
      <c r="E767" t="inlineStr">
        <is>
          <t>ÅSELE</t>
        </is>
      </c>
      <c r="F767" t="inlineStr">
        <is>
          <t>Holmen skog AB</t>
        </is>
      </c>
      <c r="G767" t="n">
        <v>13.7</v>
      </c>
      <c r="H767" t="n">
        <v>0</v>
      </c>
      <c r="I767" t="n">
        <v>0</v>
      </c>
      <c r="J767" t="n">
        <v>0</v>
      </c>
      <c r="K767" t="n">
        <v>0</v>
      </c>
      <c r="L767" t="n">
        <v>0</v>
      </c>
      <c r="M767" t="n">
        <v>0</v>
      </c>
      <c r="N767" t="n">
        <v>0</v>
      </c>
      <c r="O767" t="n">
        <v>0</v>
      </c>
      <c r="P767" t="n">
        <v>0</v>
      </c>
      <c r="Q767" t="n">
        <v>0</v>
      </c>
      <c r="R767" s="2" t="inlineStr"/>
    </row>
    <row r="768" ht="15" customHeight="1">
      <c r="A768" t="inlineStr">
        <is>
          <t>A 63060-2023</t>
        </is>
      </c>
      <c r="B768" s="1" t="n">
        <v>45272.95590277778</v>
      </c>
      <c r="C768" s="1" t="n">
        <v>45910</v>
      </c>
      <c r="D768" t="inlineStr">
        <is>
          <t>VÄSTERBOTTENS LÄN</t>
        </is>
      </c>
      <c r="E768" t="inlineStr">
        <is>
          <t>ÅSELE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13403-2025</t>
        </is>
      </c>
      <c r="B769" s="1" t="n">
        <v>45735</v>
      </c>
      <c r="C769" s="1" t="n">
        <v>45910</v>
      </c>
      <c r="D769" t="inlineStr">
        <is>
          <t>VÄSTERBOTTENS LÄN</t>
        </is>
      </c>
      <c r="E769" t="inlineStr">
        <is>
          <t>ÅSELE</t>
        </is>
      </c>
      <c r="G769" t="n">
        <v>1.6</v>
      </c>
      <c r="H769" t="n">
        <v>0</v>
      </c>
      <c r="I769" t="n">
        <v>0</v>
      </c>
      <c r="J769" t="n">
        <v>0</v>
      </c>
      <c r="K769" t="n">
        <v>0</v>
      </c>
      <c r="L769" t="n">
        <v>0</v>
      </c>
      <c r="M769" t="n">
        <v>0</v>
      </c>
      <c r="N769" t="n">
        <v>0</v>
      </c>
      <c r="O769" t="n">
        <v>0</v>
      </c>
      <c r="P769" t="n">
        <v>0</v>
      </c>
      <c r="Q769" t="n">
        <v>0</v>
      </c>
      <c r="R769" s="2" t="inlineStr"/>
    </row>
    <row r="770" ht="15" customHeight="1">
      <c r="A770" t="inlineStr">
        <is>
          <t>A 31119-2023</t>
        </is>
      </c>
      <c r="B770" s="1" t="n">
        <v>45099</v>
      </c>
      <c r="C770" s="1" t="n">
        <v>45910</v>
      </c>
      <c r="D770" t="inlineStr">
        <is>
          <t>VÄSTERBOTTENS LÄN</t>
        </is>
      </c>
      <c r="E770" t="inlineStr">
        <is>
          <t>ÅSELE</t>
        </is>
      </c>
      <c r="G770" t="n">
        <v>5</v>
      </c>
      <c r="H770" t="n">
        <v>0</v>
      </c>
      <c r="I770" t="n">
        <v>0</v>
      </c>
      <c r="J770" t="n">
        <v>0</v>
      </c>
      <c r="K770" t="n">
        <v>0</v>
      </c>
      <c r="L770" t="n">
        <v>0</v>
      </c>
      <c r="M770" t="n">
        <v>0</v>
      </c>
      <c r="N770" t="n">
        <v>0</v>
      </c>
      <c r="O770" t="n">
        <v>0</v>
      </c>
      <c r="P770" t="n">
        <v>0</v>
      </c>
      <c r="Q770" t="n">
        <v>0</v>
      </c>
      <c r="R770" s="2" t="inlineStr"/>
    </row>
    <row r="771" ht="15" customHeight="1">
      <c r="A771" t="inlineStr">
        <is>
          <t>A 39401-2022</t>
        </is>
      </c>
      <c r="B771" s="1" t="n">
        <v>44817.94894675926</v>
      </c>
      <c r="C771" s="1" t="n">
        <v>45910</v>
      </c>
      <c r="D771" t="inlineStr">
        <is>
          <t>VÄSTERBOTTENS LÄN</t>
        </is>
      </c>
      <c r="E771" t="inlineStr">
        <is>
          <t>ÅSELE</t>
        </is>
      </c>
      <c r="F771" t="inlineStr">
        <is>
          <t>SCA</t>
        </is>
      </c>
      <c r="G771" t="n">
        <v>3.2</v>
      </c>
      <c r="H771" t="n">
        <v>0</v>
      </c>
      <c r="I771" t="n">
        <v>0</v>
      </c>
      <c r="J771" t="n">
        <v>0</v>
      </c>
      <c r="K771" t="n">
        <v>0</v>
      </c>
      <c r="L771" t="n">
        <v>0</v>
      </c>
      <c r="M771" t="n">
        <v>0</v>
      </c>
      <c r="N771" t="n">
        <v>0</v>
      </c>
      <c r="O771" t="n">
        <v>0</v>
      </c>
      <c r="P771" t="n">
        <v>0</v>
      </c>
      <c r="Q771" t="n">
        <v>0</v>
      </c>
      <c r="R771" s="2" t="inlineStr"/>
    </row>
    <row r="772">
      <c r="A772" t="inlineStr">
        <is>
          <t>A 16570-2023</t>
        </is>
      </c>
      <c r="B772" s="1" t="n">
        <v>45029.94212962963</v>
      </c>
      <c r="C772" s="1" t="n">
        <v>45910</v>
      </c>
      <c r="D772" t="inlineStr">
        <is>
          <t>VÄSTERBOTTENS LÄN</t>
        </is>
      </c>
      <c r="E772" t="inlineStr">
        <is>
          <t>ÅSELE</t>
        </is>
      </c>
      <c r="F772" t="inlineStr">
        <is>
          <t>SCA</t>
        </is>
      </c>
      <c r="G772" t="n">
        <v>3.3</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2025-09-10T18:18:39Z</dcterms:created>
  <dcterms:modified xmlns:dcterms="http://purl.org/dc/terms/" xmlns:xsi="http://www.w3.org/2001/XMLSchema-instance" xsi:type="dcterms:W3CDTF">2025-09-10T18:18:39Z</dcterms:modified>
</cp:coreProperties>
</file>