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45734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45734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45734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45734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45734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45734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45734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45734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45734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45734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45734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45734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45734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45734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45734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45734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45734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45734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45734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45734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45734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45734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45734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45734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45734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45734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45734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45734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45734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45734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45734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53238-2024</t>
        </is>
      </c>
      <c r="B33" s="1" t="n">
        <v>45613</v>
      </c>
      <c r="C33" s="1" t="n">
        <v>45734</v>
      </c>
      <c r="D33" t="inlineStr">
        <is>
          <t>VÄSTERBOTTENS LÄN</t>
        </is>
      </c>
      <c r="E33" t="inlineStr">
        <is>
          <t>ÅSELE</t>
        </is>
      </c>
      <c r="F33" t="inlineStr">
        <is>
          <t>Naturvårdsverket</t>
        </is>
      </c>
      <c r="G33" t="n">
        <v>1.2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Gammelgransskål
Granticka
Vitgrynig nållav</t>
        </is>
      </c>
      <c r="S33">
        <f>HYPERLINK("https://klasma.github.io/Logging_2463/artfynd/A 53238-2024 artfynd.xlsx", "A 53238-2024")</f>
        <v/>
      </c>
      <c r="T33">
        <f>HYPERLINK("https://klasma.github.io/Logging_2463/kartor/A 53238-2024 karta.png", "A 53238-2024")</f>
        <v/>
      </c>
      <c r="V33">
        <f>HYPERLINK("https://klasma.github.io/Logging_2463/klagomål/A 53238-2024 FSC-klagomål.docx", "A 53238-2024")</f>
        <v/>
      </c>
      <c r="W33">
        <f>HYPERLINK("https://klasma.github.io/Logging_2463/klagomålsmail/A 53238-2024 FSC-klagomål mail.docx", "A 53238-2024")</f>
        <v/>
      </c>
      <c r="X33">
        <f>HYPERLINK("https://klasma.github.io/Logging_2463/tillsyn/A 53238-2024 tillsynsbegäran.docx", "A 53238-2024")</f>
        <v/>
      </c>
      <c r="Y33">
        <f>HYPERLINK("https://klasma.github.io/Logging_2463/tillsynsmail/A 53238-2024 tillsynsbegäran mail.docx", "A 53238-2024")</f>
        <v/>
      </c>
    </row>
    <row r="34" ht="15" customHeight="1">
      <c r="A34" t="inlineStr">
        <is>
          <t>A 32445-2020</t>
        </is>
      </c>
      <c r="B34" s="1" t="n">
        <v>44015</v>
      </c>
      <c r="C34" s="1" t="n">
        <v>45734</v>
      </c>
      <c r="D34" t="inlineStr">
        <is>
          <t>VÄSTERBOTTENS LÄN</t>
        </is>
      </c>
      <c r="E34" t="inlineStr">
        <is>
          <t>ÅSELE</t>
        </is>
      </c>
      <c r="G34" t="n">
        <v>2.5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Dvärgbägarlav
Ullticka</t>
        </is>
      </c>
      <c r="S34">
        <f>HYPERLINK("https://klasma.github.io/Logging_2463/artfynd/A 32445-2020 artfynd.xlsx", "A 32445-2020")</f>
        <v/>
      </c>
      <c r="T34">
        <f>HYPERLINK("https://klasma.github.io/Logging_2463/kartor/A 32445-2020 karta.png", "A 32445-2020")</f>
        <v/>
      </c>
      <c r="V34">
        <f>HYPERLINK("https://klasma.github.io/Logging_2463/klagomål/A 32445-2020 FSC-klagomål.docx", "A 32445-2020")</f>
        <v/>
      </c>
      <c r="W34">
        <f>HYPERLINK("https://klasma.github.io/Logging_2463/klagomålsmail/A 32445-2020 FSC-klagomål mail.docx", "A 32445-2020")</f>
        <v/>
      </c>
      <c r="X34">
        <f>HYPERLINK("https://klasma.github.io/Logging_2463/tillsyn/A 32445-2020 tillsynsbegäran.docx", "A 32445-2020")</f>
        <v/>
      </c>
      <c r="Y34">
        <f>HYPERLINK("https://klasma.github.io/Logging_2463/tillsynsmail/A 32445-2020 tillsynsbegäran mail.docx", "A 32445-2020")</f>
        <v/>
      </c>
    </row>
    <row r="35" ht="15" customHeight="1">
      <c r="A35" t="inlineStr">
        <is>
          <t>A 57315-2020</t>
        </is>
      </c>
      <c r="B35" s="1" t="n">
        <v>44139</v>
      </c>
      <c r="C35" s="1" t="n">
        <v>45734</v>
      </c>
      <c r="D35" t="inlineStr">
        <is>
          <t>VÄSTERBOTTENS LÄN</t>
        </is>
      </c>
      <c r="E35" t="inlineStr">
        <is>
          <t>ÅSELE</t>
        </is>
      </c>
      <c r="G35" t="n">
        <v>10.7</v>
      </c>
      <c r="H35" t="n">
        <v>0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Gammelgransskål
Skrovellav</t>
        </is>
      </c>
      <c r="S35">
        <f>HYPERLINK("https://klasma.github.io/Logging_2463/artfynd/A 57315-2020 artfynd.xlsx", "A 57315-2020")</f>
        <v/>
      </c>
      <c r="T35">
        <f>HYPERLINK("https://klasma.github.io/Logging_2463/kartor/A 57315-2020 karta.png", "A 57315-2020")</f>
        <v/>
      </c>
      <c r="V35">
        <f>HYPERLINK("https://klasma.github.io/Logging_2463/klagomål/A 57315-2020 FSC-klagomål.docx", "A 57315-2020")</f>
        <v/>
      </c>
      <c r="W35">
        <f>HYPERLINK("https://klasma.github.io/Logging_2463/klagomålsmail/A 57315-2020 FSC-klagomål mail.docx", "A 57315-2020")</f>
        <v/>
      </c>
      <c r="X35">
        <f>HYPERLINK("https://klasma.github.io/Logging_2463/tillsyn/A 57315-2020 tillsynsbegäran.docx", "A 57315-2020")</f>
        <v/>
      </c>
      <c r="Y35">
        <f>HYPERLINK("https://klasma.github.io/Logging_2463/tillsynsmail/A 57315-2020 tillsynsbegäran mail.docx", "A 57315-2020")</f>
        <v/>
      </c>
    </row>
    <row r="36" ht="15" customHeight="1">
      <c r="A36" t="inlineStr">
        <is>
          <t>A 49064-2022</t>
        </is>
      </c>
      <c r="B36" s="1" t="n">
        <v>44860</v>
      </c>
      <c r="C36" s="1" t="n">
        <v>45734</v>
      </c>
      <c r="D36" t="inlineStr">
        <is>
          <t>VÄSTERBOTTENS LÄN</t>
        </is>
      </c>
      <c r="E36" t="inlineStr">
        <is>
          <t>ÅSELE</t>
        </is>
      </c>
      <c r="F36" t="inlineStr">
        <is>
          <t>Sveaskog</t>
        </is>
      </c>
      <c r="G36" t="n">
        <v>15.4</v>
      </c>
      <c r="H36" t="n">
        <v>0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2</v>
      </c>
      <c r="R36" s="2" t="inlineStr">
        <is>
          <t>Granticka
Dropptaggsvamp</t>
        </is>
      </c>
      <c r="S36">
        <f>HYPERLINK("https://klasma.github.io/Logging_2463/artfynd/A 49064-2022 artfynd.xlsx", "A 49064-2022")</f>
        <v/>
      </c>
      <c r="T36">
        <f>HYPERLINK("https://klasma.github.io/Logging_2463/kartor/A 49064-2022 karta.png", "A 49064-2022")</f>
        <v/>
      </c>
      <c r="V36">
        <f>HYPERLINK("https://klasma.github.io/Logging_2463/klagomål/A 49064-2022 FSC-klagomål.docx", "A 49064-2022")</f>
        <v/>
      </c>
      <c r="W36">
        <f>HYPERLINK("https://klasma.github.io/Logging_2463/klagomålsmail/A 49064-2022 FSC-klagomål mail.docx", "A 49064-2022")</f>
        <v/>
      </c>
      <c r="X36">
        <f>HYPERLINK("https://klasma.github.io/Logging_2463/tillsyn/A 49064-2022 tillsynsbegäran.docx", "A 49064-2022")</f>
        <v/>
      </c>
      <c r="Y36">
        <f>HYPERLINK("https://klasma.github.io/Logging_2463/tillsynsmail/A 49064-2022 tillsynsbegäran mail.docx", "A 49064-2022")</f>
        <v/>
      </c>
    </row>
    <row r="37" ht="15" customHeight="1">
      <c r="A37" t="inlineStr">
        <is>
          <t>A 3896-2023</t>
        </is>
      </c>
      <c r="B37" s="1" t="n">
        <v>44951</v>
      </c>
      <c r="C37" s="1" t="n">
        <v>45734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8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Garnlav
Vedskivlav</t>
        </is>
      </c>
      <c r="S37">
        <f>HYPERLINK("https://klasma.github.io/Logging_2463/artfynd/A 3896-2023 artfynd.xlsx", "A 3896-2023")</f>
        <v/>
      </c>
      <c r="T37">
        <f>HYPERLINK("https://klasma.github.io/Logging_2463/kartor/A 3896-2023 karta.png", "A 3896-2023")</f>
        <v/>
      </c>
      <c r="V37">
        <f>HYPERLINK("https://klasma.github.io/Logging_2463/klagomål/A 3896-2023 FSC-klagomål.docx", "A 3896-2023")</f>
        <v/>
      </c>
      <c r="W37">
        <f>HYPERLINK("https://klasma.github.io/Logging_2463/klagomålsmail/A 3896-2023 FSC-klagomål mail.docx", "A 3896-2023")</f>
        <v/>
      </c>
      <c r="X37">
        <f>HYPERLINK("https://klasma.github.io/Logging_2463/tillsyn/A 3896-2023 tillsynsbegäran.docx", "A 3896-2023")</f>
        <v/>
      </c>
      <c r="Y37">
        <f>HYPERLINK("https://klasma.github.io/Logging_2463/tillsynsmail/A 3896-2023 tillsynsbegäran mail.docx", "A 3896-2023")</f>
        <v/>
      </c>
    </row>
    <row r="38" ht="15" customHeight="1">
      <c r="A38" t="inlineStr">
        <is>
          <t>A 10292-2023</t>
        </is>
      </c>
      <c r="B38" s="1" t="n">
        <v>44986</v>
      </c>
      <c r="C38" s="1" t="n">
        <v>45734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22.4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Granticka
Lunglav</t>
        </is>
      </c>
      <c r="S38">
        <f>HYPERLINK("https://klasma.github.io/Logging_2463/artfynd/A 10292-2023 artfynd.xlsx", "A 10292-2023")</f>
        <v/>
      </c>
      <c r="T38">
        <f>HYPERLINK("https://klasma.github.io/Logging_2463/kartor/A 10292-2023 karta.png", "A 10292-2023")</f>
        <v/>
      </c>
      <c r="V38">
        <f>HYPERLINK("https://klasma.github.io/Logging_2463/klagomål/A 10292-2023 FSC-klagomål.docx", "A 10292-2023")</f>
        <v/>
      </c>
      <c r="W38">
        <f>HYPERLINK("https://klasma.github.io/Logging_2463/klagomålsmail/A 10292-2023 FSC-klagomål mail.docx", "A 10292-2023")</f>
        <v/>
      </c>
      <c r="X38">
        <f>HYPERLINK("https://klasma.github.io/Logging_2463/tillsyn/A 10292-2023 tillsynsbegäran.docx", "A 10292-2023")</f>
        <v/>
      </c>
      <c r="Y38">
        <f>HYPERLINK("https://klasma.github.io/Logging_2463/tillsynsmail/A 10292-2023 tillsynsbegäran mail.docx", "A 10292-2023")</f>
        <v/>
      </c>
    </row>
    <row r="39" ht="15" customHeight="1">
      <c r="A39" t="inlineStr">
        <is>
          <t>A 10546-2023</t>
        </is>
      </c>
      <c r="B39" s="1" t="n">
        <v>44987</v>
      </c>
      <c r="C39" s="1" t="n">
        <v>45734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11.5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Gammelgransskål
Lunglav</t>
        </is>
      </c>
      <c r="S39">
        <f>HYPERLINK("https://klasma.github.io/Logging_2463/artfynd/A 10546-2023 artfynd.xlsx", "A 10546-2023")</f>
        <v/>
      </c>
      <c r="T39">
        <f>HYPERLINK("https://klasma.github.io/Logging_2463/kartor/A 10546-2023 karta.png", "A 10546-2023")</f>
        <v/>
      </c>
      <c r="V39">
        <f>HYPERLINK("https://klasma.github.io/Logging_2463/klagomål/A 10546-2023 FSC-klagomål.docx", "A 10546-2023")</f>
        <v/>
      </c>
      <c r="W39">
        <f>HYPERLINK("https://klasma.github.io/Logging_2463/klagomålsmail/A 10546-2023 FSC-klagomål mail.docx", "A 10546-2023")</f>
        <v/>
      </c>
      <c r="X39">
        <f>HYPERLINK("https://klasma.github.io/Logging_2463/tillsyn/A 10546-2023 tillsynsbegäran.docx", "A 10546-2023")</f>
        <v/>
      </c>
      <c r="Y39">
        <f>HYPERLINK("https://klasma.github.io/Logging_2463/tillsynsmail/A 10546-2023 tillsynsbegäran mail.docx", "A 10546-2023")</f>
        <v/>
      </c>
    </row>
    <row r="40" ht="15" customHeight="1">
      <c r="A40" t="inlineStr">
        <is>
          <t>A 15081-2023</t>
        </is>
      </c>
      <c r="B40" s="1" t="n">
        <v>45016</v>
      </c>
      <c r="C40" s="1" t="n">
        <v>45734</v>
      </c>
      <c r="D40" t="inlineStr">
        <is>
          <t>VÄSTERBOTTENS LÄN</t>
        </is>
      </c>
      <c r="E40" t="inlineStr">
        <is>
          <t>ÅSELE</t>
        </is>
      </c>
      <c r="F40" t="inlineStr">
        <is>
          <t>SCA</t>
        </is>
      </c>
      <c r="G40" t="n">
        <v>6.4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Gränsticka
Koralltaggsvamp</t>
        </is>
      </c>
      <c r="S40">
        <f>HYPERLINK("https://klasma.github.io/Logging_2463/artfynd/A 15081-2023 artfynd.xlsx", "A 15081-2023")</f>
        <v/>
      </c>
      <c r="T40">
        <f>HYPERLINK("https://klasma.github.io/Logging_2463/kartor/A 15081-2023 karta.png", "A 15081-2023")</f>
        <v/>
      </c>
      <c r="V40">
        <f>HYPERLINK("https://klasma.github.io/Logging_2463/klagomål/A 15081-2023 FSC-klagomål.docx", "A 15081-2023")</f>
        <v/>
      </c>
      <c r="W40">
        <f>HYPERLINK("https://klasma.github.io/Logging_2463/klagomålsmail/A 15081-2023 FSC-klagomål mail.docx", "A 15081-2023")</f>
        <v/>
      </c>
      <c r="X40">
        <f>HYPERLINK("https://klasma.github.io/Logging_2463/tillsyn/A 15081-2023 tillsynsbegäran.docx", "A 15081-2023")</f>
        <v/>
      </c>
      <c r="Y40">
        <f>HYPERLINK("https://klasma.github.io/Logging_2463/tillsynsmail/A 15081-2023 tillsynsbegäran mail.docx", "A 15081-2023")</f>
        <v/>
      </c>
    </row>
    <row r="41" ht="15" customHeight="1">
      <c r="A41" t="inlineStr">
        <is>
          <t>A 45252-2023</t>
        </is>
      </c>
      <c r="B41" s="1" t="n">
        <v>45191</v>
      </c>
      <c r="C41" s="1" t="n">
        <v>45734</v>
      </c>
      <c r="D41" t="inlineStr">
        <is>
          <t>VÄSTERBOTTENS LÄN</t>
        </is>
      </c>
      <c r="E41" t="inlineStr">
        <is>
          <t>ÅSELE</t>
        </is>
      </c>
      <c r="F41" t="inlineStr">
        <is>
          <t>Sveaskog</t>
        </is>
      </c>
      <c r="G41" t="n">
        <v>22.7</v>
      </c>
      <c r="H41" t="n">
        <v>0</v>
      </c>
      <c r="I41" t="n">
        <v>0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2</v>
      </c>
      <c r="R41" s="2" t="inlineStr">
        <is>
          <t>Garnlav
Gränsticka</t>
        </is>
      </c>
      <c r="S41">
        <f>HYPERLINK("https://klasma.github.io/Logging_2463/artfynd/A 45252-2023 artfynd.xlsx", "A 45252-2023")</f>
        <v/>
      </c>
      <c r="T41">
        <f>HYPERLINK("https://klasma.github.io/Logging_2463/kartor/A 45252-2023 karta.png", "A 45252-2023")</f>
        <v/>
      </c>
      <c r="V41">
        <f>HYPERLINK("https://klasma.github.io/Logging_2463/klagomål/A 45252-2023 FSC-klagomål.docx", "A 45252-2023")</f>
        <v/>
      </c>
      <c r="W41">
        <f>HYPERLINK("https://klasma.github.io/Logging_2463/klagomålsmail/A 45252-2023 FSC-klagomål mail.docx", "A 45252-2023")</f>
        <v/>
      </c>
      <c r="X41">
        <f>HYPERLINK("https://klasma.github.io/Logging_2463/tillsyn/A 45252-2023 tillsynsbegäran.docx", "A 45252-2023")</f>
        <v/>
      </c>
      <c r="Y41">
        <f>HYPERLINK("https://klasma.github.io/Logging_2463/tillsynsmail/A 45252-2023 tillsynsbegäran mail.docx", "A 45252-2023")</f>
        <v/>
      </c>
    </row>
    <row r="42" ht="15" customHeight="1">
      <c r="A42" t="inlineStr">
        <is>
          <t>A 2606-2024</t>
        </is>
      </c>
      <c r="B42" s="1" t="n">
        <v>45313</v>
      </c>
      <c r="C42" s="1" t="n">
        <v>45734</v>
      </c>
      <c r="D42" t="inlineStr">
        <is>
          <t>VÄSTERBOTTENS LÄN</t>
        </is>
      </c>
      <c r="E42" t="inlineStr">
        <is>
          <t>ÅSELE</t>
        </is>
      </c>
      <c r="F42" t="inlineStr">
        <is>
          <t>Övriga Aktiebolag</t>
        </is>
      </c>
      <c r="G42" t="n">
        <v>8.6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Ullticka
Dropptaggsvamp</t>
        </is>
      </c>
      <c r="S42">
        <f>HYPERLINK("https://klasma.github.io/Logging_2463/artfynd/A 2606-2024 artfynd.xlsx", "A 2606-2024")</f>
        <v/>
      </c>
      <c r="T42">
        <f>HYPERLINK("https://klasma.github.io/Logging_2463/kartor/A 2606-2024 karta.png", "A 2606-2024")</f>
        <v/>
      </c>
      <c r="V42">
        <f>HYPERLINK("https://klasma.github.io/Logging_2463/klagomål/A 2606-2024 FSC-klagomål.docx", "A 2606-2024")</f>
        <v/>
      </c>
      <c r="W42">
        <f>HYPERLINK("https://klasma.github.io/Logging_2463/klagomålsmail/A 2606-2024 FSC-klagomål mail.docx", "A 2606-2024")</f>
        <v/>
      </c>
      <c r="X42">
        <f>HYPERLINK("https://klasma.github.io/Logging_2463/tillsyn/A 2606-2024 tillsynsbegäran.docx", "A 2606-2024")</f>
        <v/>
      </c>
      <c r="Y42">
        <f>HYPERLINK("https://klasma.github.io/Logging_2463/tillsynsmail/A 2606-2024 tillsynsbegäran mail.docx", "A 2606-2024")</f>
        <v/>
      </c>
    </row>
    <row r="43" ht="15" customHeight="1">
      <c r="A43" t="inlineStr">
        <is>
          <t>A 2604-2024</t>
        </is>
      </c>
      <c r="B43" s="1" t="n">
        <v>45313</v>
      </c>
      <c r="C43" s="1" t="n">
        <v>45734</v>
      </c>
      <c r="D43" t="inlineStr">
        <is>
          <t>VÄSTERBOTTENS LÄN</t>
        </is>
      </c>
      <c r="E43" t="inlineStr">
        <is>
          <t>ÅSELE</t>
        </is>
      </c>
      <c r="G43" t="n">
        <v>12.1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Ullticka</t>
        </is>
      </c>
      <c r="S43">
        <f>HYPERLINK("https://klasma.github.io/Logging_2463/artfynd/A 2604-2024 artfynd.xlsx", "A 2604-2024")</f>
        <v/>
      </c>
      <c r="T43">
        <f>HYPERLINK("https://klasma.github.io/Logging_2463/kartor/A 2604-2024 karta.png", "A 2604-2024")</f>
        <v/>
      </c>
      <c r="V43">
        <f>HYPERLINK("https://klasma.github.io/Logging_2463/klagomål/A 2604-2024 FSC-klagomål.docx", "A 2604-2024")</f>
        <v/>
      </c>
      <c r="W43">
        <f>HYPERLINK("https://klasma.github.io/Logging_2463/klagomålsmail/A 2604-2024 FSC-klagomål mail.docx", "A 2604-2024")</f>
        <v/>
      </c>
      <c r="X43">
        <f>HYPERLINK("https://klasma.github.io/Logging_2463/tillsyn/A 2604-2024 tillsynsbegäran.docx", "A 2604-2024")</f>
        <v/>
      </c>
      <c r="Y43">
        <f>HYPERLINK("https://klasma.github.io/Logging_2463/tillsynsmail/A 2604-2024 tillsynsbegäran mail.docx", "A 2604-2024")</f>
        <v/>
      </c>
    </row>
    <row r="44" ht="15" customHeight="1">
      <c r="A44" t="inlineStr">
        <is>
          <t>A 22110-2024</t>
        </is>
      </c>
      <c r="B44" s="1" t="n">
        <v>45443</v>
      </c>
      <c r="C44" s="1" t="n">
        <v>45734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11.6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Gammelgransskål
Lunglav</t>
        </is>
      </c>
      <c r="S44">
        <f>HYPERLINK("https://klasma.github.io/Logging_2463/artfynd/A 22110-2024 artfynd.xlsx", "A 22110-2024")</f>
        <v/>
      </c>
      <c r="T44">
        <f>HYPERLINK("https://klasma.github.io/Logging_2463/kartor/A 22110-2024 karta.png", "A 22110-2024")</f>
        <v/>
      </c>
      <c r="V44">
        <f>HYPERLINK("https://klasma.github.io/Logging_2463/klagomål/A 22110-2024 FSC-klagomål.docx", "A 22110-2024")</f>
        <v/>
      </c>
      <c r="W44">
        <f>HYPERLINK("https://klasma.github.io/Logging_2463/klagomålsmail/A 22110-2024 FSC-klagomål mail.docx", "A 22110-2024")</f>
        <v/>
      </c>
      <c r="X44">
        <f>HYPERLINK("https://klasma.github.io/Logging_2463/tillsyn/A 22110-2024 tillsynsbegäran.docx", "A 22110-2024")</f>
        <v/>
      </c>
      <c r="Y44">
        <f>HYPERLINK("https://klasma.github.io/Logging_2463/tillsynsmail/A 22110-2024 tillsynsbegäran mail.docx", "A 22110-2024")</f>
        <v/>
      </c>
    </row>
    <row r="45" ht="15" customHeight="1">
      <c r="A45" t="inlineStr">
        <is>
          <t>A 25712-2024</t>
        </is>
      </c>
      <c r="B45" s="1" t="n">
        <v>45463</v>
      </c>
      <c r="C45" s="1" t="n">
        <v>45734</v>
      </c>
      <c r="D45" t="inlineStr">
        <is>
          <t>VÄSTERBOTTENS LÄN</t>
        </is>
      </c>
      <c r="E45" t="inlineStr">
        <is>
          <t>ÅSELE</t>
        </is>
      </c>
      <c r="F45" t="inlineStr">
        <is>
          <t>SCA</t>
        </is>
      </c>
      <c r="G45" t="n">
        <v>3.3</v>
      </c>
      <c r="H45" t="n">
        <v>0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Lunglav
Stuplav</t>
        </is>
      </c>
      <c r="S45">
        <f>HYPERLINK("https://klasma.github.io/Logging_2463/artfynd/A 25712-2024 artfynd.xlsx", "A 25712-2024")</f>
        <v/>
      </c>
      <c r="T45">
        <f>HYPERLINK("https://klasma.github.io/Logging_2463/kartor/A 25712-2024 karta.png", "A 25712-2024")</f>
        <v/>
      </c>
      <c r="V45">
        <f>HYPERLINK("https://klasma.github.io/Logging_2463/klagomål/A 25712-2024 FSC-klagomål.docx", "A 25712-2024")</f>
        <v/>
      </c>
      <c r="W45">
        <f>HYPERLINK("https://klasma.github.io/Logging_2463/klagomålsmail/A 25712-2024 FSC-klagomål mail.docx", "A 25712-2024")</f>
        <v/>
      </c>
      <c r="X45">
        <f>HYPERLINK("https://klasma.github.io/Logging_2463/tillsyn/A 25712-2024 tillsynsbegäran.docx", "A 25712-2024")</f>
        <v/>
      </c>
      <c r="Y45">
        <f>HYPERLINK("https://klasma.github.io/Logging_2463/tillsynsmail/A 25712-2024 tillsynsbegäran mail.docx", "A 25712-2024")</f>
        <v/>
      </c>
    </row>
    <row r="46" ht="15" customHeight="1">
      <c r="A46" t="inlineStr">
        <is>
          <t>A 32370-2019</t>
        </is>
      </c>
      <c r="B46" s="1" t="n">
        <v>43636</v>
      </c>
      <c r="C46" s="1" t="n">
        <v>45734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19.4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Garnlav</t>
        </is>
      </c>
      <c r="S46">
        <f>HYPERLINK("https://klasma.github.io/Logging_2463/artfynd/A 32370-2019 artfynd.xlsx", "A 32370-2019")</f>
        <v/>
      </c>
      <c r="T46">
        <f>HYPERLINK("https://klasma.github.io/Logging_2463/kartor/A 32370-2019 karta.png", "A 32370-2019")</f>
        <v/>
      </c>
      <c r="V46">
        <f>HYPERLINK("https://klasma.github.io/Logging_2463/klagomål/A 32370-2019 FSC-klagomål.docx", "A 32370-2019")</f>
        <v/>
      </c>
      <c r="W46">
        <f>HYPERLINK("https://klasma.github.io/Logging_2463/klagomålsmail/A 32370-2019 FSC-klagomål mail.docx", "A 32370-2019")</f>
        <v/>
      </c>
      <c r="X46">
        <f>HYPERLINK("https://klasma.github.io/Logging_2463/tillsyn/A 32370-2019 tillsynsbegäran.docx", "A 32370-2019")</f>
        <v/>
      </c>
      <c r="Y46">
        <f>HYPERLINK("https://klasma.github.io/Logging_2463/tillsynsmail/A 32370-2019 tillsynsbegäran mail.docx", "A 32370-2019")</f>
        <v/>
      </c>
    </row>
    <row r="47" ht="15" customHeight="1">
      <c r="A47" t="inlineStr">
        <is>
          <t>A 35565-2019</t>
        </is>
      </c>
      <c r="B47" s="1" t="n">
        <v>43664</v>
      </c>
      <c r="C47" s="1" t="n">
        <v>45734</v>
      </c>
      <c r="D47" t="inlineStr">
        <is>
          <t>VÄSTERBOTTENS LÄN</t>
        </is>
      </c>
      <c r="E47" t="inlineStr">
        <is>
          <t>ÅSELE</t>
        </is>
      </c>
      <c r="F47" t="inlineStr">
        <is>
          <t>Sveaskog</t>
        </is>
      </c>
      <c r="G47" t="n">
        <v>2.1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Vitgrynig nållav</t>
        </is>
      </c>
      <c r="S47">
        <f>HYPERLINK("https://klasma.github.io/Logging_2463/artfynd/A 35565-2019 artfynd.xlsx", "A 35565-2019")</f>
        <v/>
      </c>
      <c r="T47">
        <f>HYPERLINK("https://klasma.github.io/Logging_2463/kartor/A 35565-2019 karta.png", "A 35565-2019")</f>
        <v/>
      </c>
      <c r="V47">
        <f>HYPERLINK("https://klasma.github.io/Logging_2463/klagomål/A 35565-2019 FSC-klagomål.docx", "A 35565-2019")</f>
        <v/>
      </c>
      <c r="W47">
        <f>HYPERLINK("https://klasma.github.io/Logging_2463/klagomålsmail/A 35565-2019 FSC-klagomål mail.docx", "A 35565-2019")</f>
        <v/>
      </c>
      <c r="X47">
        <f>HYPERLINK("https://klasma.github.io/Logging_2463/tillsyn/A 35565-2019 tillsynsbegäran.docx", "A 35565-2019")</f>
        <v/>
      </c>
      <c r="Y47">
        <f>HYPERLINK("https://klasma.github.io/Logging_2463/tillsynsmail/A 35565-2019 tillsynsbegäran mail.docx", "A 35565-2019")</f>
        <v/>
      </c>
    </row>
    <row r="48" ht="15" customHeight="1">
      <c r="A48" t="inlineStr">
        <is>
          <t>A 65562-2019</t>
        </is>
      </c>
      <c r="B48" s="1" t="n">
        <v>43803</v>
      </c>
      <c r="C48" s="1" t="n">
        <v>45734</v>
      </c>
      <c r="D48" t="inlineStr">
        <is>
          <t>VÄSTERBOTTENS LÄN</t>
        </is>
      </c>
      <c r="E48" t="inlineStr">
        <is>
          <t>ÅSELE</t>
        </is>
      </c>
      <c r="F48" t="inlineStr">
        <is>
          <t>SCA</t>
        </is>
      </c>
      <c r="G48" t="n">
        <v>5.8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Rosenticka</t>
        </is>
      </c>
      <c r="S48">
        <f>HYPERLINK("https://klasma.github.io/Logging_2463/artfynd/A 65562-2019 artfynd.xlsx", "A 65562-2019")</f>
        <v/>
      </c>
      <c r="T48">
        <f>HYPERLINK("https://klasma.github.io/Logging_2463/kartor/A 65562-2019 karta.png", "A 65562-2019")</f>
        <v/>
      </c>
      <c r="V48">
        <f>HYPERLINK("https://klasma.github.io/Logging_2463/klagomål/A 65562-2019 FSC-klagomål.docx", "A 65562-2019")</f>
        <v/>
      </c>
      <c r="W48">
        <f>HYPERLINK("https://klasma.github.io/Logging_2463/klagomålsmail/A 65562-2019 FSC-klagomål mail.docx", "A 65562-2019")</f>
        <v/>
      </c>
      <c r="X48">
        <f>HYPERLINK("https://klasma.github.io/Logging_2463/tillsyn/A 65562-2019 tillsynsbegäran.docx", "A 65562-2019")</f>
        <v/>
      </c>
      <c r="Y48">
        <f>HYPERLINK("https://klasma.github.io/Logging_2463/tillsynsmail/A 65562-2019 tillsynsbegäran mail.docx", "A 65562-2019")</f>
        <v/>
      </c>
    </row>
    <row r="49" ht="15" customHeight="1">
      <c r="A49" t="inlineStr">
        <is>
          <t>A 11922-2020</t>
        </is>
      </c>
      <c r="B49" s="1" t="n">
        <v>43888</v>
      </c>
      <c r="C49" s="1" t="n">
        <v>45734</v>
      </c>
      <c r="D49" t="inlineStr">
        <is>
          <t>VÄSTERBOTTENS LÄN</t>
        </is>
      </c>
      <c r="E49" t="inlineStr">
        <is>
          <t>ÅSELE</t>
        </is>
      </c>
      <c r="F49" t="inlineStr">
        <is>
          <t>Övriga Aktiebolag</t>
        </is>
      </c>
      <c r="G49" t="n">
        <v>3.2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Ullticka</t>
        </is>
      </c>
      <c r="S49">
        <f>HYPERLINK("https://klasma.github.io/Logging_2463/artfynd/A 11922-2020 artfynd.xlsx", "A 11922-2020")</f>
        <v/>
      </c>
      <c r="T49">
        <f>HYPERLINK("https://klasma.github.io/Logging_2463/kartor/A 11922-2020 karta.png", "A 11922-2020")</f>
        <v/>
      </c>
      <c r="V49">
        <f>HYPERLINK("https://klasma.github.io/Logging_2463/klagomål/A 11922-2020 FSC-klagomål.docx", "A 11922-2020")</f>
        <v/>
      </c>
      <c r="W49">
        <f>HYPERLINK("https://klasma.github.io/Logging_2463/klagomålsmail/A 11922-2020 FSC-klagomål mail.docx", "A 11922-2020")</f>
        <v/>
      </c>
      <c r="X49">
        <f>HYPERLINK("https://klasma.github.io/Logging_2463/tillsyn/A 11922-2020 tillsynsbegäran.docx", "A 11922-2020")</f>
        <v/>
      </c>
      <c r="Y49">
        <f>HYPERLINK("https://klasma.github.io/Logging_2463/tillsynsmail/A 11922-2020 tillsynsbegäran mail.docx", "A 11922-2020")</f>
        <v/>
      </c>
    </row>
    <row r="50" ht="15" customHeight="1">
      <c r="A50" t="inlineStr">
        <is>
          <t>A 19592-2020</t>
        </is>
      </c>
      <c r="B50" s="1" t="n">
        <v>43936</v>
      </c>
      <c r="C50" s="1" t="n">
        <v>45734</v>
      </c>
      <c r="D50" t="inlineStr">
        <is>
          <t>VÄSTERBOTTENS LÄN</t>
        </is>
      </c>
      <c r="E50" t="inlineStr">
        <is>
          <t>ÅSELE</t>
        </is>
      </c>
      <c r="G50" t="n">
        <v>4.5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Bronshjon</t>
        </is>
      </c>
      <c r="S50">
        <f>HYPERLINK("https://klasma.github.io/Logging_2463/artfynd/A 19592-2020 artfynd.xlsx", "A 19592-2020")</f>
        <v/>
      </c>
      <c r="T50">
        <f>HYPERLINK("https://klasma.github.io/Logging_2463/kartor/A 19592-2020 karta.png", "A 19592-2020")</f>
        <v/>
      </c>
      <c r="V50">
        <f>HYPERLINK("https://klasma.github.io/Logging_2463/klagomål/A 19592-2020 FSC-klagomål.docx", "A 19592-2020")</f>
        <v/>
      </c>
      <c r="W50">
        <f>HYPERLINK("https://klasma.github.io/Logging_2463/klagomålsmail/A 19592-2020 FSC-klagomål mail.docx", "A 19592-2020")</f>
        <v/>
      </c>
      <c r="X50">
        <f>HYPERLINK("https://klasma.github.io/Logging_2463/tillsyn/A 19592-2020 tillsynsbegäran.docx", "A 19592-2020")</f>
        <v/>
      </c>
      <c r="Y50">
        <f>HYPERLINK("https://klasma.github.io/Logging_2463/tillsynsmail/A 19592-2020 tillsynsbegäran mail.docx", "A 19592-2020")</f>
        <v/>
      </c>
    </row>
    <row r="51" ht="15" customHeight="1">
      <c r="A51" t="inlineStr">
        <is>
          <t>A 43813-2020</t>
        </is>
      </c>
      <c r="B51" s="1" t="n">
        <v>44082</v>
      </c>
      <c r="C51" s="1" t="n">
        <v>45734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14.2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Spillkråka</t>
        </is>
      </c>
      <c r="S51">
        <f>HYPERLINK("https://klasma.github.io/Logging_2463/artfynd/A 43813-2020 artfynd.xlsx", "A 43813-2020")</f>
        <v/>
      </c>
      <c r="T51">
        <f>HYPERLINK("https://klasma.github.io/Logging_2463/kartor/A 43813-2020 karta.png", "A 43813-2020")</f>
        <v/>
      </c>
      <c r="V51">
        <f>HYPERLINK("https://klasma.github.io/Logging_2463/klagomål/A 43813-2020 FSC-klagomål.docx", "A 43813-2020")</f>
        <v/>
      </c>
      <c r="W51">
        <f>HYPERLINK("https://klasma.github.io/Logging_2463/klagomålsmail/A 43813-2020 FSC-klagomål mail.docx", "A 43813-2020")</f>
        <v/>
      </c>
      <c r="X51">
        <f>HYPERLINK("https://klasma.github.io/Logging_2463/tillsyn/A 43813-2020 tillsynsbegäran.docx", "A 43813-2020")</f>
        <v/>
      </c>
      <c r="Y51">
        <f>HYPERLINK("https://klasma.github.io/Logging_2463/tillsynsmail/A 43813-2020 tillsynsbegäran mail.docx", "A 43813-2020")</f>
        <v/>
      </c>
      <c r="Z51">
        <f>HYPERLINK("https://klasma.github.io/Logging_2463/fåglar/A 43813-2020 prioriterade fågelarter.docx", "A 43813-2020")</f>
        <v/>
      </c>
    </row>
    <row r="52" ht="15" customHeight="1">
      <c r="A52" t="inlineStr">
        <is>
          <t>A 36929-2021</t>
        </is>
      </c>
      <c r="B52" s="1" t="n">
        <v>44393</v>
      </c>
      <c r="C52" s="1" t="n">
        <v>45734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14.3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36929-2021 artfynd.xlsx", "A 36929-2021")</f>
        <v/>
      </c>
      <c r="T52">
        <f>HYPERLINK("https://klasma.github.io/Logging_2463/kartor/A 36929-2021 karta.png", "A 36929-2021")</f>
        <v/>
      </c>
      <c r="V52">
        <f>HYPERLINK("https://klasma.github.io/Logging_2463/klagomål/A 36929-2021 FSC-klagomål.docx", "A 36929-2021")</f>
        <v/>
      </c>
      <c r="W52">
        <f>HYPERLINK("https://klasma.github.io/Logging_2463/klagomålsmail/A 36929-2021 FSC-klagomål mail.docx", "A 36929-2021")</f>
        <v/>
      </c>
      <c r="X52">
        <f>HYPERLINK("https://klasma.github.io/Logging_2463/tillsyn/A 36929-2021 tillsynsbegäran.docx", "A 36929-2021")</f>
        <v/>
      </c>
      <c r="Y52">
        <f>HYPERLINK("https://klasma.github.io/Logging_2463/tillsynsmail/A 36929-2021 tillsynsbegäran mail.docx", "A 36929-2021")</f>
        <v/>
      </c>
    </row>
    <row r="53" ht="15" customHeight="1">
      <c r="A53" t="inlineStr">
        <is>
          <t>A 36938-2021</t>
        </is>
      </c>
      <c r="B53" s="1" t="n">
        <v>44393</v>
      </c>
      <c r="C53" s="1" t="n">
        <v>45734</v>
      </c>
      <c r="D53" t="inlineStr">
        <is>
          <t>VÄSTERBOTTENS LÄN</t>
        </is>
      </c>
      <c r="E53" t="inlineStr">
        <is>
          <t>ÅSELE</t>
        </is>
      </c>
      <c r="F53" t="inlineStr">
        <is>
          <t>Sveaskog</t>
        </is>
      </c>
      <c r="G53" t="n">
        <v>11.1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Lunglav</t>
        </is>
      </c>
      <c r="S53">
        <f>HYPERLINK("https://klasma.github.io/Logging_2463/artfynd/A 36938-2021 artfynd.xlsx", "A 36938-2021")</f>
        <v/>
      </c>
      <c r="T53">
        <f>HYPERLINK("https://klasma.github.io/Logging_2463/kartor/A 36938-2021 karta.png", "A 36938-2021")</f>
        <v/>
      </c>
      <c r="V53">
        <f>HYPERLINK("https://klasma.github.io/Logging_2463/klagomål/A 36938-2021 FSC-klagomål.docx", "A 36938-2021")</f>
        <v/>
      </c>
      <c r="W53">
        <f>HYPERLINK("https://klasma.github.io/Logging_2463/klagomålsmail/A 36938-2021 FSC-klagomål mail.docx", "A 36938-2021")</f>
        <v/>
      </c>
      <c r="X53">
        <f>HYPERLINK("https://klasma.github.io/Logging_2463/tillsyn/A 36938-2021 tillsynsbegäran.docx", "A 36938-2021")</f>
        <v/>
      </c>
      <c r="Y53">
        <f>HYPERLINK("https://klasma.github.io/Logging_2463/tillsynsmail/A 36938-2021 tillsynsbegäran mail.docx", "A 36938-2021")</f>
        <v/>
      </c>
    </row>
    <row r="54" ht="15" customHeight="1">
      <c r="A54" t="inlineStr">
        <is>
          <t>A 61850-2021</t>
        </is>
      </c>
      <c r="B54" s="1" t="n">
        <v>44501</v>
      </c>
      <c r="C54" s="1" t="n">
        <v>45734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12.9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Skinnlav</t>
        </is>
      </c>
      <c r="S54">
        <f>HYPERLINK("https://klasma.github.io/Logging_2463/artfynd/A 61850-2021 artfynd.xlsx", "A 61850-2021")</f>
        <v/>
      </c>
      <c r="T54">
        <f>HYPERLINK("https://klasma.github.io/Logging_2463/kartor/A 61850-2021 karta.png", "A 61850-2021")</f>
        <v/>
      </c>
      <c r="V54">
        <f>HYPERLINK("https://klasma.github.io/Logging_2463/klagomål/A 61850-2021 FSC-klagomål.docx", "A 61850-2021")</f>
        <v/>
      </c>
      <c r="W54">
        <f>HYPERLINK("https://klasma.github.io/Logging_2463/klagomålsmail/A 61850-2021 FSC-klagomål mail.docx", "A 61850-2021")</f>
        <v/>
      </c>
      <c r="X54">
        <f>HYPERLINK("https://klasma.github.io/Logging_2463/tillsyn/A 61850-2021 tillsynsbegäran.docx", "A 61850-2021")</f>
        <v/>
      </c>
      <c r="Y54">
        <f>HYPERLINK("https://klasma.github.io/Logging_2463/tillsynsmail/A 61850-2021 tillsynsbegäran mail.docx", "A 61850-2021")</f>
        <v/>
      </c>
    </row>
    <row r="55" ht="15" customHeight="1">
      <c r="A55" t="inlineStr">
        <is>
          <t>A 30809-2022</t>
        </is>
      </c>
      <c r="B55" s="1" t="n">
        <v>44764</v>
      </c>
      <c r="C55" s="1" t="n">
        <v>45734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10.6</v>
      </c>
      <c r="H55" t="n">
        <v>1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Buskskvätta</t>
        </is>
      </c>
      <c r="S55">
        <f>HYPERLINK("https://klasma.github.io/Logging_2463/artfynd/A 30809-2022 artfynd.xlsx", "A 30809-2022")</f>
        <v/>
      </c>
      <c r="T55">
        <f>HYPERLINK("https://klasma.github.io/Logging_2463/kartor/A 30809-2022 karta.png", "A 30809-2022")</f>
        <v/>
      </c>
      <c r="V55">
        <f>HYPERLINK("https://klasma.github.io/Logging_2463/klagomål/A 30809-2022 FSC-klagomål.docx", "A 30809-2022")</f>
        <v/>
      </c>
      <c r="W55">
        <f>HYPERLINK("https://klasma.github.io/Logging_2463/klagomålsmail/A 30809-2022 FSC-klagomål mail.docx", "A 30809-2022")</f>
        <v/>
      </c>
      <c r="X55">
        <f>HYPERLINK("https://klasma.github.io/Logging_2463/tillsyn/A 30809-2022 tillsynsbegäran.docx", "A 30809-2022")</f>
        <v/>
      </c>
      <c r="Y55">
        <f>HYPERLINK("https://klasma.github.io/Logging_2463/tillsynsmail/A 30809-2022 tillsynsbegäran mail.docx", "A 30809-2022")</f>
        <v/>
      </c>
      <c r="Z55">
        <f>HYPERLINK("https://klasma.github.io/Logging_2463/fåglar/A 30809-2022 prioriterade fågelarter.docx", "A 30809-2022")</f>
        <v/>
      </c>
    </row>
    <row r="56" ht="15" customHeight="1">
      <c r="A56" t="inlineStr">
        <is>
          <t>A 39380-2022</t>
        </is>
      </c>
      <c r="B56" s="1" t="n">
        <v>44817</v>
      </c>
      <c r="C56" s="1" t="n">
        <v>45734</v>
      </c>
      <c r="D56" t="inlineStr">
        <is>
          <t>VÄSTERBOTTENS LÄN</t>
        </is>
      </c>
      <c r="E56" t="inlineStr">
        <is>
          <t>ÅSELE</t>
        </is>
      </c>
      <c r="F56" t="inlineStr">
        <is>
          <t>SCA</t>
        </is>
      </c>
      <c r="G56" t="n">
        <v>2.4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Lappranunkel</t>
        </is>
      </c>
      <c r="S56">
        <f>HYPERLINK("https://klasma.github.io/Logging_2463/artfynd/A 39380-2022 artfynd.xlsx", "A 39380-2022")</f>
        <v/>
      </c>
      <c r="T56">
        <f>HYPERLINK("https://klasma.github.io/Logging_2463/kartor/A 39380-2022 karta.png", "A 39380-2022")</f>
        <v/>
      </c>
      <c r="V56">
        <f>HYPERLINK("https://klasma.github.io/Logging_2463/klagomål/A 39380-2022 FSC-klagomål.docx", "A 39380-2022")</f>
        <v/>
      </c>
      <c r="W56">
        <f>HYPERLINK("https://klasma.github.io/Logging_2463/klagomålsmail/A 39380-2022 FSC-klagomål mail.docx", "A 39380-2022")</f>
        <v/>
      </c>
      <c r="X56">
        <f>HYPERLINK("https://klasma.github.io/Logging_2463/tillsyn/A 39380-2022 tillsynsbegäran.docx", "A 39380-2022")</f>
        <v/>
      </c>
      <c r="Y56">
        <f>HYPERLINK("https://klasma.github.io/Logging_2463/tillsynsmail/A 39380-2022 tillsynsbegäran mail.docx", "A 39380-2022")</f>
        <v/>
      </c>
    </row>
    <row r="57" ht="15" customHeight="1">
      <c r="A57" t="inlineStr">
        <is>
          <t>A 40328-2022</t>
        </is>
      </c>
      <c r="B57" s="1" t="n">
        <v>44823</v>
      </c>
      <c r="C57" s="1" t="n">
        <v>45734</v>
      </c>
      <c r="D57" t="inlineStr">
        <is>
          <t>VÄSTERBOTTENS LÄN</t>
        </is>
      </c>
      <c r="E57" t="inlineStr">
        <is>
          <t>ÅSELE</t>
        </is>
      </c>
      <c r="G57" t="n">
        <v>5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HYPERLINK("https://klasma.github.io/Logging_2463/artfynd/A 40328-2022 artfynd.xlsx", "A 40328-2022")</f>
        <v/>
      </c>
      <c r="T57">
        <f>HYPERLINK("https://klasma.github.io/Logging_2463/kartor/A 40328-2022 karta.png", "A 40328-2022")</f>
        <v/>
      </c>
      <c r="V57">
        <f>HYPERLINK("https://klasma.github.io/Logging_2463/klagomål/A 40328-2022 FSC-klagomål.docx", "A 40328-2022")</f>
        <v/>
      </c>
      <c r="W57">
        <f>HYPERLINK("https://klasma.github.io/Logging_2463/klagomålsmail/A 40328-2022 FSC-klagomål mail.docx", "A 40328-2022")</f>
        <v/>
      </c>
      <c r="X57">
        <f>HYPERLINK("https://klasma.github.io/Logging_2463/tillsyn/A 40328-2022 tillsynsbegäran.docx", "A 40328-2022")</f>
        <v/>
      </c>
      <c r="Y57">
        <f>HYPERLINK("https://klasma.github.io/Logging_2463/tillsynsmail/A 40328-2022 tillsynsbegäran mail.docx", "A 40328-2022")</f>
        <v/>
      </c>
    </row>
    <row r="58" ht="15" customHeight="1">
      <c r="A58" t="inlineStr">
        <is>
          <t>A 62744-2022</t>
        </is>
      </c>
      <c r="B58" s="1" t="n">
        <v>44925</v>
      </c>
      <c r="C58" s="1" t="n">
        <v>45734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13.7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HYPERLINK("https://klasma.github.io/Logging_2463/artfynd/A 62744-2022 artfynd.xlsx", "A 62744-2022")</f>
        <v/>
      </c>
      <c r="T58">
        <f>HYPERLINK("https://klasma.github.io/Logging_2463/kartor/A 62744-2022 karta.png", "A 62744-2022")</f>
        <v/>
      </c>
      <c r="V58">
        <f>HYPERLINK("https://klasma.github.io/Logging_2463/klagomål/A 62744-2022 FSC-klagomål.docx", "A 62744-2022")</f>
        <v/>
      </c>
      <c r="W58">
        <f>HYPERLINK("https://klasma.github.io/Logging_2463/klagomålsmail/A 62744-2022 FSC-klagomål mail.docx", "A 62744-2022")</f>
        <v/>
      </c>
      <c r="X58">
        <f>HYPERLINK("https://klasma.github.io/Logging_2463/tillsyn/A 62744-2022 tillsynsbegäran.docx", "A 62744-2022")</f>
        <v/>
      </c>
      <c r="Y58">
        <f>HYPERLINK("https://klasma.github.io/Logging_2463/tillsynsmail/A 62744-2022 tillsynsbegäran mail.docx", "A 62744-2022")</f>
        <v/>
      </c>
    </row>
    <row r="59" ht="15" customHeight="1">
      <c r="A59" t="inlineStr">
        <is>
          <t>A 10081-2023</t>
        </is>
      </c>
      <c r="B59" s="1" t="n">
        <v>44985</v>
      </c>
      <c r="C59" s="1" t="n">
        <v>45734</v>
      </c>
      <c r="D59" t="inlineStr">
        <is>
          <t>VÄSTERBOTTENS LÄN</t>
        </is>
      </c>
      <c r="E59" t="inlineStr">
        <is>
          <t>ÅSELE</t>
        </is>
      </c>
      <c r="F59" t="inlineStr">
        <is>
          <t>SCA</t>
        </is>
      </c>
      <c r="G59" t="n">
        <v>3.2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Harticka</t>
        </is>
      </c>
      <c r="S59">
        <f>HYPERLINK("https://klasma.github.io/Logging_2463/artfynd/A 10081-2023 artfynd.xlsx", "A 10081-2023")</f>
        <v/>
      </c>
      <c r="T59">
        <f>HYPERLINK("https://klasma.github.io/Logging_2463/kartor/A 10081-2023 karta.png", "A 10081-2023")</f>
        <v/>
      </c>
      <c r="V59">
        <f>HYPERLINK("https://klasma.github.io/Logging_2463/klagomål/A 10081-2023 FSC-klagomål.docx", "A 10081-2023")</f>
        <v/>
      </c>
      <c r="W59">
        <f>HYPERLINK("https://klasma.github.io/Logging_2463/klagomålsmail/A 10081-2023 FSC-klagomål mail.docx", "A 10081-2023")</f>
        <v/>
      </c>
      <c r="X59">
        <f>HYPERLINK("https://klasma.github.io/Logging_2463/tillsyn/A 10081-2023 tillsynsbegäran.docx", "A 10081-2023")</f>
        <v/>
      </c>
      <c r="Y59">
        <f>HYPERLINK("https://klasma.github.io/Logging_2463/tillsynsmail/A 10081-2023 tillsynsbegäran mail.docx", "A 10081-2023")</f>
        <v/>
      </c>
    </row>
    <row r="60" ht="15" customHeight="1">
      <c r="A60" t="inlineStr">
        <is>
          <t>A 26897-2023</t>
        </is>
      </c>
      <c r="B60" s="1" t="n">
        <v>45093</v>
      </c>
      <c r="C60" s="1" t="n">
        <v>45734</v>
      </c>
      <c r="D60" t="inlineStr">
        <is>
          <t>VÄSTERBOTTENS LÄN</t>
        </is>
      </c>
      <c r="E60" t="inlineStr">
        <is>
          <t>ÅSELE</t>
        </is>
      </c>
      <c r="F60" t="inlineStr">
        <is>
          <t>Sveaskog</t>
        </is>
      </c>
      <c r="G60" t="n">
        <v>15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HYPERLINK("https://klasma.github.io/Logging_2463/artfynd/A 26897-2023 artfynd.xlsx", "A 26897-2023")</f>
        <v/>
      </c>
      <c r="T60">
        <f>HYPERLINK("https://klasma.github.io/Logging_2463/kartor/A 26897-2023 karta.png", "A 26897-2023")</f>
        <v/>
      </c>
      <c r="V60">
        <f>HYPERLINK("https://klasma.github.io/Logging_2463/klagomål/A 26897-2023 FSC-klagomål.docx", "A 26897-2023")</f>
        <v/>
      </c>
      <c r="W60">
        <f>HYPERLINK("https://klasma.github.io/Logging_2463/klagomålsmail/A 26897-2023 FSC-klagomål mail.docx", "A 26897-2023")</f>
        <v/>
      </c>
      <c r="X60">
        <f>HYPERLINK("https://klasma.github.io/Logging_2463/tillsyn/A 26897-2023 tillsynsbegäran.docx", "A 26897-2023")</f>
        <v/>
      </c>
      <c r="Y60">
        <f>HYPERLINK("https://klasma.github.io/Logging_2463/tillsynsmail/A 26897-2023 tillsynsbegäran mail.docx", "A 26897-2023")</f>
        <v/>
      </c>
      <c r="Z60">
        <f>HYPERLINK("https://klasma.github.io/Logging_2463/fåglar/A 26897-2023 prioriterade fågelarter.docx", "A 26897-2023")</f>
        <v/>
      </c>
    </row>
    <row r="61" ht="15" customHeight="1">
      <c r="A61" t="inlineStr">
        <is>
          <t>A 29318-2023</t>
        </is>
      </c>
      <c r="B61" s="1" t="n">
        <v>45105</v>
      </c>
      <c r="C61" s="1" t="n">
        <v>45734</v>
      </c>
      <c r="D61" t="inlineStr">
        <is>
          <t>VÄSTERBOTTENS LÄN</t>
        </is>
      </c>
      <c r="E61" t="inlineStr">
        <is>
          <t>ÅSELE</t>
        </is>
      </c>
      <c r="F61" t="inlineStr">
        <is>
          <t>SCA</t>
        </is>
      </c>
      <c r="G61" t="n">
        <v>9.300000000000001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Stuplav</t>
        </is>
      </c>
      <c r="S61">
        <f>HYPERLINK("https://klasma.github.io/Logging_2463/artfynd/A 29318-2023 artfynd.xlsx", "A 29318-2023")</f>
        <v/>
      </c>
      <c r="T61">
        <f>HYPERLINK("https://klasma.github.io/Logging_2463/kartor/A 29318-2023 karta.png", "A 29318-2023")</f>
        <v/>
      </c>
      <c r="V61">
        <f>HYPERLINK("https://klasma.github.io/Logging_2463/klagomål/A 29318-2023 FSC-klagomål.docx", "A 29318-2023")</f>
        <v/>
      </c>
      <c r="W61">
        <f>HYPERLINK("https://klasma.github.io/Logging_2463/klagomålsmail/A 29318-2023 FSC-klagomål mail.docx", "A 29318-2023")</f>
        <v/>
      </c>
      <c r="X61">
        <f>HYPERLINK("https://klasma.github.io/Logging_2463/tillsyn/A 29318-2023 tillsynsbegäran.docx", "A 29318-2023")</f>
        <v/>
      </c>
      <c r="Y61">
        <f>HYPERLINK("https://klasma.github.io/Logging_2463/tillsynsmail/A 29318-2023 tillsynsbegäran mail.docx", "A 29318-2023")</f>
        <v/>
      </c>
    </row>
    <row r="62" ht="15" customHeight="1">
      <c r="A62" t="inlineStr">
        <is>
          <t>A 30615-2023</t>
        </is>
      </c>
      <c r="B62" s="1" t="n">
        <v>45112</v>
      </c>
      <c r="C62" s="1" t="n">
        <v>45734</v>
      </c>
      <c r="D62" t="inlineStr">
        <is>
          <t>VÄSTERBOTTENS LÄN</t>
        </is>
      </c>
      <c r="E62" t="inlineStr">
        <is>
          <t>ÅSELE</t>
        </is>
      </c>
      <c r="F62" t="inlineStr">
        <is>
          <t>Sveaskog</t>
        </is>
      </c>
      <c r="G62" t="n">
        <v>10.1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Dvärgbägarlav</t>
        </is>
      </c>
      <c r="S62">
        <f>HYPERLINK("https://klasma.github.io/Logging_2463/artfynd/A 30615-2023 artfynd.xlsx", "A 30615-2023")</f>
        <v/>
      </c>
      <c r="T62">
        <f>HYPERLINK("https://klasma.github.io/Logging_2463/kartor/A 30615-2023 karta.png", "A 30615-2023")</f>
        <v/>
      </c>
      <c r="V62">
        <f>HYPERLINK("https://klasma.github.io/Logging_2463/klagomål/A 30615-2023 FSC-klagomål.docx", "A 30615-2023")</f>
        <v/>
      </c>
      <c r="W62">
        <f>HYPERLINK("https://klasma.github.io/Logging_2463/klagomålsmail/A 30615-2023 FSC-klagomål mail.docx", "A 30615-2023")</f>
        <v/>
      </c>
      <c r="X62">
        <f>HYPERLINK("https://klasma.github.io/Logging_2463/tillsyn/A 30615-2023 tillsynsbegäran.docx", "A 30615-2023")</f>
        <v/>
      </c>
      <c r="Y62">
        <f>HYPERLINK("https://klasma.github.io/Logging_2463/tillsynsmail/A 30615-2023 tillsynsbegäran mail.docx", "A 30615-2023")</f>
        <v/>
      </c>
    </row>
    <row r="63" ht="15" customHeight="1">
      <c r="A63" t="inlineStr">
        <is>
          <t>A 31194-2023</t>
        </is>
      </c>
      <c r="B63" s="1" t="n">
        <v>45113</v>
      </c>
      <c r="C63" s="1" t="n">
        <v>45734</v>
      </c>
      <c r="D63" t="inlineStr">
        <is>
          <t>VÄSTERBOTTENS LÄN</t>
        </is>
      </c>
      <c r="E63" t="inlineStr">
        <is>
          <t>ÅSELE</t>
        </is>
      </c>
      <c r="F63" t="inlineStr">
        <is>
          <t>SCA</t>
        </is>
      </c>
      <c r="G63" t="n">
        <v>9.800000000000001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Lunglav</t>
        </is>
      </c>
      <c r="S63">
        <f>HYPERLINK("https://klasma.github.io/Logging_2463/artfynd/A 31194-2023 artfynd.xlsx", "A 31194-2023")</f>
        <v/>
      </c>
      <c r="T63">
        <f>HYPERLINK("https://klasma.github.io/Logging_2463/kartor/A 31194-2023 karta.png", "A 31194-2023")</f>
        <v/>
      </c>
      <c r="V63">
        <f>HYPERLINK("https://klasma.github.io/Logging_2463/klagomål/A 31194-2023 FSC-klagomål.docx", "A 31194-2023")</f>
        <v/>
      </c>
      <c r="W63">
        <f>HYPERLINK("https://klasma.github.io/Logging_2463/klagomålsmail/A 31194-2023 FSC-klagomål mail.docx", "A 31194-2023")</f>
        <v/>
      </c>
      <c r="X63">
        <f>HYPERLINK("https://klasma.github.io/Logging_2463/tillsyn/A 31194-2023 tillsynsbegäran.docx", "A 31194-2023")</f>
        <v/>
      </c>
      <c r="Y63">
        <f>HYPERLINK("https://klasma.github.io/Logging_2463/tillsynsmail/A 31194-2023 tillsynsbegäran mail.docx", "A 31194-2023")</f>
        <v/>
      </c>
    </row>
    <row r="64" ht="15" customHeight="1">
      <c r="A64" t="inlineStr">
        <is>
          <t>A 48743-2023</t>
        </is>
      </c>
      <c r="B64" s="1" t="n">
        <v>45208</v>
      </c>
      <c r="C64" s="1" t="n">
        <v>45734</v>
      </c>
      <c r="D64" t="inlineStr">
        <is>
          <t>VÄSTERBOTTENS LÄN</t>
        </is>
      </c>
      <c r="E64" t="inlineStr">
        <is>
          <t>ÅSELE</t>
        </is>
      </c>
      <c r="G64" t="n">
        <v>18.5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Skinnlav</t>
        </is>
      </c>
      <c r="S64">
        <f>HYPERLINK("https://klasma.github.io/Logging_2463/artfynd/A 48743-2023 artfynd.xlsx", "A 48743-2023")</f>
        <v/>
      </c>
      <c r="T64">
        <f>HYPERLINK("https://klasma.github.io/Logging_2463/kartor/A 48743-2023 karta.png", "A 48743-2023")</f>
        <v/>
      </c>
      <c r="V64">
        <f>HYPERLINK("https://klasma.github.io/Logging_2463/klagomål/A 48743-2023 FSC-klagomål.docx", "A 48743-2023")</f>
        <v/>
      </c>
      <c r="W64">
        <f>HYPERLINK("https://klasma.github.io/Logging_2463/klagomålsmail/A 48743-2023 FSC-klagomål mail.docx", "A 48743-2023")</f>
        <v/>
      </c>
      <c r="X64">
        <f>HYPERLINK("https://klasma.github.io/Logging_2463/tillsyn/A 48743-2023 tillsynsbegäran.docx", "A 48743-2023")</f>
        <v/>
      </c>
      <c r="Y64">
        <f>HYPERLINK("https://klasma.github.io/Logging_2463/tillsynsmail/A 48743-2023 tillsynsbegäran mail.docx", "A 48743-2023")</f>
        <v/>
      </c>
    </row>
    <row r="65" ht="15" customHeight="1">
      <c r="A65" t="inlineStr">
        <is>
          <t>A 54741-2023</t>
        </is>
      </c>
      <c r="B65" s="1" t="n">
        <v>45236</v>
      </c>
      <c r="C65" s="1" t="n">
        <v>45734</v>
      </c>
      <c r="D65" t="inlineStr">
        <is>
          <t>VÄSTERBOTTENS LÄN</t>
        </is>
      </c>
      <c r="E65" t="inlineStr">
        <is>
          <t>ÅSELE</t>
        </is>
      </c>
      <c r="F65" t="inlineStr">
        <is>
          <t>Sveaskog</t>
        </is>
      </c>
      <c r="G65" t="n">
        <v>23.4</v>
      </c>
      <c r="H65" t="n">
        <v>0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Garnlav</t>
        </is>
      </c>
      <c r="S65">
        <f>HYPERLINK("https://klasma.github.io/Logging_2463/artfynd/A 54741-2023 artfynd.xlsx", "A 54741-2023")</f>
        <v/>
      </c>
      <c r="T65">
        <f>HYPERLINK("https://klasma.github.io/Logging_2463/kartor/A 54741-2023 karta.png", "A 54741-2023")</f>
        <v/>
      </c>
      <c r="V65">
        <f>HYPERLINK("https://klasma.github.io/Logging_2463/klagomål/A 54741-2023 FSC-klagomål.docx", "A 54741-2023")</f>
        <v/>
      </c>
      <c r="W65">
        <f>HYPERLINK("https://klasma.github.io/Logging_2463/klagomålsmail/A 54741-2023 FSC-klagomål mail.docx", "A 54741-2023")</f>
        <v/>
      </c>
      <c r="X65">
        <f>HYPERLINK("https://klasma.github.io/Logging_2463/tillsyn/A 54741-2023 tillsynsbegäran.docx", "A 54741-2023")</f>
        <v/>
      </c>
      <c r="Y65">
        <f>HYPERLINK("https://klasma.github.io/Logging_2463/tillsynsmail/A 54741-2023 tillsynsbegäran mail.docx", "A 54741-2023")</f>
        <v/>
      </c>
    </row>
    <row r="66" ht="15" customHeight="1">
      <c r="A66" t="inlineStr">
        <is>
          <t>A 6583-2024</t>
        </is>
      </c>
      <c r="B66" s="1" t="n">
        <v>45341</v>
      </c>
      <c r="C66" s="1" t="n">
        <v>45734</v>
      </c>
      <c r="D66" t="inlineStr">
        <is>
          <t>VÄSTERBOTTENS LÄN</t>
        </is>
      </c>
      <c r="E66" t="inlineStr">
        <is>
          <t>ÅSELE</t>
        </is>
      </c>
      <c r="G66" t="n">
        <v>9</v>
      </c>
      <c r="H66" t="n">
        <v>1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Plattlummer</t>
        </is>
      </c>
      <c r="S66">
        <f>HYPERLINK("https://klasma.github.io/Logging_2463/artfynd/A 6583-2024 artfynd.xlsx", "A 6583-2024")</f>
        <v/>
      </c>
      <c r="T66">
        <f>HYPERLINK("https://klasma.github.io/Logging_2463/kartor/A 6583-2024 karta.png", "A 6583-2024")</f>
        <v/>
      </c>
      <c r="V66">
        <f>HYPERLINK("https://klasma.github.io/Logging_2463/klagomål/A 6583-2024 FSC-klagomål.docx", "A 6583-2024")</f>
        <v/>
      </c>
      <c r="W66">
        <f>HYPERLINK("https://klasma.github.io/Logging_2463/klagomålsmail/A 6583-2024 FSC-klagomål mail.docx", "A 6583-2024")</f>
        <v/>
      </c>
      <c r="X66">
        <f>HYPERLINK("https://klasma.github.io/Logging_2463/tillsyn/A 6583-2024 tillsynsbegäran.docx", "A 6583-2024")</f>
        <v/>
      </c>
      <c r="Y66">
        <f>HYPERLINK("https://klasma.github.io/Logging_2463/tillsynsmail/A 6583-2024 tillsynsbegäran mail.docx", "A 6583-2024")</f>
        <v/>
      </c>
    </row>
    <row r="67" ht="15" customHeight="1">
      <c r="A67" t="inlineStr">
        <is>
          <t>A 23944-2024</t>
        </is>
      </c>
      <c r="B67" s="1" t="n">
        <v>45455</v>
      </c>
      <c r="C67" s="1" t="n">
        <v>45734</v>
      </c>
      <c r="D67" t="inlineStr">
        <is>
          <t>VÄSTERBOTTENS LÄN</t>
        </is>
      </c>
      <c r="E67" t="inlineStr">
        <is>
          <t>ÅSELE</t>
        </is>
      </c>
      <c r="F67" t="inlineStr">
        <is>
          <t>SCA</t>
        </is>
      </c>
      <c r="G67" t="n">
        <v>12.9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Dvärgbägarlav</t>
        </is>
      </c>
      <c r="S67">
        <f>HYPERLINK("https://klasma.github.io/Logging_2463/artfynd/A 23944-2024 artfynd.xlsx", "A 23944-2024")</f>
        <v/>
      </c>
      <c r="T67">
        <f>HYPERLINK("https://klasma.github.io/Logging_2463/kartor/A 23944-2024 karta.png", "A 23944-2024")</f>
        <v/>
      </c>
      <c r="V67">
        <f>HYPERLINK("https://klasma.github.io/Logging_2463/klagomål/A 23944-2024 FSC-klagomål.docx", "A 23944-2024")</f>
        <v/>
      </c>
      <c r="W67">
        <f>HYPERLINK("https://klasma.github.io/Logging_2463/klagomålsmail/A 23944-2024 FSC-klagomål mail.docx", "A 23944-2024")</f>
        <v/>
      </c>
      <c r="X67">
        <f>HYPERLINK("https://klasma.github.io/Logging_2463/tillsyn/A 23944-2024 tillsynsbegäran.docx", "A 23944-2024")</f>
        <v/>
      </c>
      <c r="Y67">
        <f>HYPERLINK("https://klasma.github.io/Logging_2463/tillsynsmail/A 23944-2024 tillsynsbegäran mail.docx", "A 23944-2024")</f>
        <v/>
      </c>
    </row>
    <row r="68" ht="15" customHeight="1">
      <c r="A68" t="inlineStr">
        <is>
          <t>A 25638-2024</t>
        </is>
      </c>
      <c r="B68" s="1" t="n">
        <v>45463</v>
      </c>
      <c r="C68" s="1" t="n">
        <v>45734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3.3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Granticka</t>
        </is>
      </c>
      <c r="S68">
        <f>HYPERLINK("https://klasma.github.io/Logging_2463/artfynd/A 25638-2024 artfynd.xlsx", "A 25638-2024")</f>
        <v/>
      </c>
      <c r="T68">
        <f>HYPERLINK("https://klasma.github.io/Logging_2463/kartor/A 25638-2024 karta.png", "A 25638-2024")</f>
        <v/>
      </c>
      <c r="V68">
        <f>HYPERLINK("https://klasma.github.io/Logging_2463/klagomål/A 25638-2024 FSC-klagomål.docx", "A 25638-2024")</f>
        <v/>
      </c>
      <c r="W68">
        <f>HYPERLINK("https://klasma.github.io/Logging_2463/klagomålsmail/A 25638-2024 FSC-klagomål mail.docx", "A 25638-2024")</f>
        <v/>
      </c>
      <c r="X68">
        <f>HYPERLINK("https://klasma.github.io/Logging_2463/tillsyn/A 25638-2024 tillsynsbegäran.docx", "A 25638-2024")</f>
        <v/>
      </c>
      <c r="Y68">
        <f>HYPERLINK("https://klasma.github.io/Logging_2463/tillsynsmail/A 25638-2024 tillsynsbegäran mail.docx", "A 25638-2024")</f>
        <v/>
      </c>
    </row>
    <row r="69" ht="15" customHeight="1">
      <c r="A69" t="inlineStr">
        <is>
          <t>A 25546-2024</t>
        </is>
      </c>
      <c r="B69" s="1" t="n">
        <v>45463</v>
      </c>
      <c r="C69" s="1" t="n">
        <v>45734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16.5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Violmussling</t>
        </is>
      </c>
      <c r="S69">
        <f>HYPERLINK("https://klasma.github.io/Logging_2463/artfynd/A 25546-2024 artfynd.xlsx", "A 25546-2024")</f>
        <v/>
      </c>
      <c r="T69">
        <f>HYPERLINK("https://klasma.github.io/Logging_2463/kartor/A 25546-2024 karta.png", "A 25546-2024")</f>
        <v/>
      </c>
      <c r="V69">
        <f>HYPERLINK("https://klasma.github.io/Logging_2463/klagomål/A 25546-2024 FSC-klagomål.docx", "A 25546-2024")</f>
        <v/>
      </c>
      <c r="W69">
        <f>HYPERLINK("https://klasma.github.io/Logging_2463/klagomålsmail/A 25546-2024 FSC-klagomål mail.docx", "A 25546-2024")</f>
        <v/>
      </c>
      <c r="X69">
        <f>HYPERLINK("https://klasma.github.io/Logging_2463/tillsyn/A 25546-2024 tillsynsbegäran.docx", "A 25546-2024")</f>
        <v/>
      </c>
      <c r="Y69">
        <f>HYPERLINK("https://klasma.github.io/Logging_2463/tillsynsmail/A 25546-2024 tillsynsbegäran mail.docx", "A 25546-2024")</f>
        <v/>
      </c>
    </row>
    <row r="70" ht="15" customHeight="1">
      <c r="A70" t="inlineStr">
        <is>
          <t>A 25576-2024</t>
        </is>
      </c>
      <c r="B70" s="1" t="n">
        <v>45463</v>
      </c>
      <c r="C70" s="1" t="n">
        <v>45734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14.1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Motaggsvamp</t>
        </is>
      </c>
      <c r="S70">
        <f>HYPERLINK("https://klasma.github.io/Logging_2463/artfynd/A 25576-2024 artfynd.xlsx", "A 25576-2024")</f>
        <v/>
      </c>
      <c r="T70">
        <f>HYPERLINK("https://klasma.github.io/Logging_2463/kartor/A 25576-2024 karta.png", "A 25576-2024")</f>
        <v/>
      </c>
      <c r="V70">
        <f>HYPERLINK("https://klasma.github.io/Logging_2463/klagomål/A 25576-2024 FSC-klagomål.docx", "A 25576-2024")</f>
        <v/>
      </c>
      <c r="W70">
        <f>HYPERLINK("https://klasma.github.io/Logging_2463/klagomålsmail/A 25576-2024 FSC-klagomål mail.docx", "A 25576-2024")</f>
        <v/>
      </c>
      <c r="X70">
        <f>HYPERLINK("https://klasma.github.io/Logging_2463/tillsyn/A 25576-2024 tillsynsbegäran.docx", "A 25576-2024")</f>
        <v/>
      </c>
      <c r="Y70">
        <f>HYPERLINK("https://klasma.github.io/Logging_2463/tillsynsmail/A 25576-2024 tillsynsbegäran mail.docx", "A 25576-2024")</f>
        <v/>
      </c>
    </row>
    <row r="71" ht="15" customHeight="1">
      <c r="A71" t="inlineStr">
        <is>
          <t>A 27960-2024</t>
        </is>
      </c>
      <c r="B71" s="1" t="n">
        <v>45476</v>
      </c>
      <c r="C71" s="1" t="n">
        <v>45734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17.4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Dropptaggsvamp</t>
        </is>
      </c>
      <c r="S71">
        <f>HYPERLINK("https://klasma.github.io/Logging_2463/artfynd/A 27960-2024 artfynd.xlsx", "A 27960-2024")</f>
        <v/>
      </c>
      <c r="T71">
        <f>HYPERLINK("https://klasma.github.io/Logging_2463/kartor/A 27960-2024 karta.png", "A 27960-2024")</f>
        <v/>
      </c>
      <c r="V71">
        <f>HYPERLINK("https://klasma.github.io/Logging_2463/klagomål/A 27960-2024 FSC-klagomål.docx", "A 27960-2024")</f>
        <v/>
      </c>
      <c r="W71">
        <f>HYPERLINK("https://klasma.github.io/Logging_2463/klagomålsmail/A 27960-2024 FSC-klagomål mail.docx", "A 27960-2024")</f>
        <v/>
      </c>
      <c r="X71">
        <f>HYPERLINK("https://klasma.github.io/Logging_2463/tillsyn/A 27960-2024 tillsynsbegäran.docx", "A 27960-2024")</f>
        <v/>
      </c>
      <c r="Y71">
        <f>HYPERLINK("https://klasma.github.io/Logging_2463/tillsynsmail/A 27960-2024 tillsynsbegäran mail.docx", "A 27960-2024")</f>
        <v/>
      </c>
    </row>
    <row r="72" ht="15" customHeight="1">
      <c r="A72" t="inlineStr">
        <is>
          <t>A 28959-2024</t>
        </is>
      </c>
      <c r="B72" s="1" t="n">
        <v>45481</v>
      </c>
      <c r="C72" s="1" t="n">
        <v>45734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5.9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Lunglav</t>
        </is>
      </c>
      <c r="S72">
        <f>HYPERLINK("https://klasma.github.io/Logging_2463/artfynd/A 28959-2024 artfynd.xlsx", "A 28959-2024")</f>
        <v/>
      </c>
      <c r="T72">
        <f>HYPERLINK("https://klasma.github.io/Logging_2463/kartor/A 28959-2024 karta.png", "A 28959-2024")</f>
        <v/>
      </c>
      <c r="V72">
        <f>HYPERLINK("https://klasma.github.io/Logging_2463/klagomål/A 28959-2024 FSC-klagomål.docx", "A 28959-2024")</f>
        <v/>
      </c>
      <c r="W72">
        <f>HYPERLINK("https://klasma.github.io/Logging_2463/klagomålsmail/A 28959-2024 FSC-klagomål mail.docx", "A 28959-2024")</f>
        <v/>
      </c>
      <c r="X72">
        <f>HYPERLINK("https://klasma.github.io/Logging_2463/tillsyn/A 28959-2024 tillsynsbegäran.docx", "A 28959-2024")</f>
        <v/>
      </c>
      <c r="Y72">
        <f>HYPERLINK("https://klasma.github.io/Logging_2463/tillsynsmail/A 28959-2024 tillsynsbegäran mail.docx", "A 28959-2024")</f>
        <v/>
      </c>
    </row>
    <row r="73" ht="15" customHeight="1">
      <c r="A73" t="inlineStr">
        <is>
          <t>A 29513-2024</t>
        </is>
      </c>
      <c r="B73" s="1" t="n">
        <v>45484</v>
      </c>
      <c r="C73" s="1" t="n">
        <v>45734</v>
      </c>
      <c r="D73" t="inlineStr">
        <is>
          <t>VÄSTERBOTTENS LÄN</t>
        </is>
      </c>
      <c r="E73" t="inlineStr">
        <is>
          <t>ÅSELE</t>
        </is>
      </c>
      <c r="F73" t="inlineStr">
        <is>
          <t>Sveaskog</t>
        </is>
      </c>
      <c r="G73" t="n">
        <v>5.2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HYPERLINK("https://klasma.github.io/Logging_2463/artfynd/A 29513-2024 artfynd.xlsx", "A 29513-2024")</f>
        <v/>
      </c>
      <c r="T73">
        <f>HYPERLINK("https://klasma.github.io/Logging_2463/kartor/A 29513-2024 karta.png", "A 29513-2024")</f>
        <v/>
      </c>
      <c r="V73">
        <f>HYPERLINK("https://klasma.github.io/Logging_2463/klagomål/A 29513-2024 FSC-klagomål.docx", "A 29513-2024")</f>
        <v/>
      </c>
      <c r="W73">
        <f>HYPERLINK("https://klasma.github.io/Logging_2463/klagomålsmail/A 29513-2024 FSC-klagomål mail.docx", "A 29513-2024")</f>
        <v/>
      </c>
      <c r="X73">
        <f>HYPERLINK("https://klasma.github.io/Logging_2463/tillsyn/A 29513-2024 tillsynsbegäran.docx", "A 29513-2024")</f>
        <v/>
      </c>
      <c r="Y73">
        <f>HYPERLINK("https://klasma.github.io/Logging_2463/tillsynsmail/A 29513-2024 tillsynsbegäran mail.docx", "A 29513-2024")</f>
        <v/>
      </c>
    </row>
    <row r="74" ht="15" customHeight="1">
      <c r="A74" t="inlineStr">
        <is>
          <t>A 31518-2024</t>
        </is>
      </c>
      <c r="B74" s="1" t="n">
        <v>45505</v>
      </c>
      <c r="C74" s="1" t="n">
        <v>45734</v>
      </c>
      <c r="D74" t="inlineStr">
        <is>
          <t>VÄSTERBOTTENS LÄN</t>
        </is>
      </c>
      <c r="E74" t="inlineStr">
        <is>
          <t>ÅSELE</t>
        </is>
      </c>
      <c r="F74" t="inlineStr">
        <is>
          <t>SCA</t>
        </is>
      </c>
      <c r="G74" t="n">
        <v>5.4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31518-2024 artfynd.xlsx", "A 31518-2024")</f>
        <v/>
      </c>
      <c r="T74">
        <f>HYPERLINK("https://klasma.github.io/Logging_2463/kartor/A 31518-2024 karta.png", "A 31518-2024")</f>
        <v/>
      </c>
      <c r="V74">
        <f>HYPERLINK("https://klasma.github.io/Logging_2463/klagomål/A 31518-2024 FSC-klagomål.docx", "A 31518-2024")</f>
        <v/>
      </c>
      <c r="W74">
        <f>HYPERLINK("https://klasma.github.io/Logging_2463/klagomålsmail/A 31518-2024 FSC-klagomål mail.docx", "A 31518-2024")</f>
        <v/>
      </c>
      <c r="X74">
        <f>HYPERLINK("https://klasma.github.io/Logging_2463/tillsyn/A 31518-2024 tillsynsbegäran.docx", "A 31518-2024")</f>
        <v/>
      </c>
      <c r="Y74">
        <f>HYPERLINK("https://klasma.github.io/Logging_2463/tillsynsmail/A 31518-2024 tillsynsbegäran mail.docx", "A 31518-2024")</f>
        <v/>
      </c>
    </row>
    <row r="75" ht="15" customHeight="1">
      <c r="A75" t="inlineStr">
        <is>
          <t>A 39556-2024</t>
        </is>
      </c>
      <c r="B75" s="1" t="n">
        <v>45552</v>
      </c>
      <c r="C75" s="1" t="n">
        <v>45734</v>
      </c>
      <c r="D75" t="inlineStr">
        <is>
          <t>VÄSTERBOTTENS LÄN</t>
        </is>
      </c>
      <c r="E75" t="inlineStr">
        <is>
          <t>ÅSELE</t>
        </is>
      </c>
      <c r="F75" t="inlineStr">
        <is>
          <t>Sveaskog</t>
        </is>
      </c>
      <c r="G75" t="n">
        <v>13.9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Garnlav</t>
        </is>
      </c>
      <c r="S75">
        <f>HYPERLINK("https://klasma.github.io/Logging_2463/artfynd/A 39556-2024 artfynd.xlsx", "A 39556-2024")</f>
        <v/>
      </c>
      <c r="T75">
        <f>HYPERLINK("https://klasma.github.io/Logging_2463/kartor/A 39556-2024 karta.png", "A 39556-2024")</f>
        <v/>
      </c>
      <c r="V75">
        <f>HYPERLINK("https://klasma.github.io/Logging_2463/klagomål/A 39556-2024 FSC-klagomål.docx", "A 39556-2024")</f>
        <v/>
      </c>
      <c r="W75">
        <f>HYPERLINK("https://klasma.github.io/Logging_2463/klagomålsmail/A 39556-2024 FSC-klagomål mail.docx", "A 39556-2024")</f>
        <v/>
      </c>
      <c r="X75">
        <f>HYPERLINK("https://klasma.github.io/Logging_2463/tillsyn/A 39556-2024 tillsynsbegäran.docx", "A 39556-2024")</f>
        <v/>
      </c>
      <c r="Y75">
        <f>HYPERLINK("https://klasma.github.io/Logging_2463/tillsynsmail/A 39556-2024 tillsynsbegäran mail.docx", "A 39556-2024")</f>
        <v/>
      </c>
    </row>
    <row r="76" ht="15" customHeight="1">
      <c r="A76" t="inlineStr">
        <is>
          <t>A 42132-2024</t>
        </is>
      </c>
      <c r="B76" s="1" t="n">
        <v>45562</v>
      </c>
      <c r="C76" s="1" t="n">
        <v>45734</v>
      </c>
      <c r="D76" t="inlineStr">
        <is>
          <t>VÄSTERBOTTENS LÄN</t>
        </is>
      </c>
      <c r="E76" t="inlineStr">
        <is>
          <t>ÅSELE</t>
        </is>
      </c>
      <c r="F76" t="inlineStr">
        <is>
          <t>Holmen skog AB</t>
        </is>
      </c>
      <c r="G76" t="n">
        <v>18.5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Kolflarnlav</t>
        </is>
      </c>
      <c r="S76">
        <f>HYPERLINK("https://klasma.github.io/Logging_2463/artfynd/A 42132-2024 artfynd.xlsx", "A 42132-2024")</f>
        <v/>
      </c>
      <c r="T76">
        <f>HYPERLINK("https://klasma.github.io/Logging_2463/kartor/A 42132-2024 karta.png", "A 42132-2024")</f>
        <v/>
      </c>
      <c r="V76">
        <f>HYPERLINK("https://klasma.github.io/Logging_2463/klagomål/A 42132-2024 FSC-klagomål.docx", "A 42132-2024")</f>
        <v/>
      </c>
      <c r="W76">
        <f>HYPERLINK("https://klasma.github.io/Logging_2463/klagomålsmail/A 42132-2024 FSC-klagomål mail.docx", "A 42132-2024")</f>
        <v/>
      </c>
      <c r="X76">
        <f>HYPERLINK("https://klasma.github.io/Logging_2463/tillsyn/A 42132-2024 tillsynsbegäran.docx", "A 42132-2024")</f>
        <v/>
      </c>
      <c r="Y76">
        <f>HYPERLINK("https://klasma.github.io/Logging_2463/tillsynsmail/A 42132-2024 tillsynsbegäran mail.docx", "A 42132-2024")</f>
        <v/>
      </c>
    </row>
    <row r="77" ht="15" customHeight="1">
      <c r="A77" t="inlineStr">
        <is>
          <t>A 43459-2024</t>
        </is>
      </c>
      <c r="B77" s="1" t="n">
        <v>45568</v>
      </c>
      <c r="C77" s="1" t="n">
        <v>45734</v>
      </c>
      <c r="D77" t="inlineStr">
        <is>
          <t>VÄSTERBOTTENS LÄN</t>
        </is>
      </c>
      <c r="E77" t="inlineStr">
        <is>
          <t>ÅSELE</t>
        </is>
      </c>
      <c r="F77" t="inlineStr">
        <is>
          <t>SCA</t>
        </is>
      </c>
      <c r="G77" t="n">
        <v>7.9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Gammelgransskål</t>
        </is>
      </c>
      <c r="S77">
        <f>HYPERLINK("https://klasma.github.io/Logging_2463/artfynd/A 43459-2024 artfynd.xlsx", "A 43459-2024")</f>
        <v/>
      </c>
      <c r="T77">
        <f>HYPERLINK("https://klasma.github.io/Logging_2463/kartor/A 43459-2024 karta.png", "A 43459-2024")</f>
        <v/>
      </c>
      <c r="V77">
        <f>HYPERLINK("https://klasma.github.io/Logging_2463/klagomål/A 43459-2024 FSC-klagomål.docx", "A 43459-2024")</f>
        <v/>
      </c>
      <c r="W77">
        <f>HYPERLINK("https://klasma.github.io/Logging_2463/klagomålsmail/A 43459-2024 FSC-klagomål mail.docx", "A 43459-2024")</f>
        <v/>
      </c>
      <c r="X77">
        <f>HYPERLINK("https://klasma.github.io/Logging_2463/tillsyn/A 43459-2024 tillsynsbegäran.docx", "A 43459-2024")</f>
        <v/>
      </c>
      <c r="Y77">
        <f>HYPERLINK("https://klasma.github.io/Logging_2463/tillsynsmail/A 43459-2024 tillsynsbegäran mail.docx", "A 43459-2024")</f>
        <v/>
      </c>
    </row>
    <row r="78" ht="15" customHeight="1">
      <c r="A78" t="inlineStr">
        <is>
          <t>A 10721-2025</t>
        </is>
      </c>
      <c r="B78" s="1" t="n">
        <v>45722</v>
      </c>
      <c r="C78" s="1" t="n">
        <v>45734</v>
      </c>
      <c r="D78" t="inlineStr">
        <is>
          <t>VÄSTERBOTTENS LÄN</t>
        </is>
      </c>
      <c r="E78" t="inlineStr">
        <is>
          <t>ÅSELE</t>
        </is>
      </c>
      <c r="G78" t="n">
        <v>5.9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Dvärgbägarlav</t>
        </is>
      </c>
      <c r="S78">
        <f>HYPERLINK("https://klasma.github.io/Logging_2463/artfynd/A 10721-2025 artfynd.xlsx", "A 10721-2025")</f>
        <v/>
      </c>
      <c r="T78">
        <f>HYPERLINK("https://klasma.github.io/Logging_2463/kartor/A 10721-2025 karta.png", "A 10721-2025")</f>
        <v/>
      </c>
      <c r="V78">
        <f>HYPERLINK("https://klasma.github.io/Logging_2463/klagomål/A 10721-2025 FSC-klagomål.docx", "A 10721-2025")</f>
        <v/>
      </c>
      <c r="W78">
        <f>HYPERLINK("https://klasma.github.io/Logging_2463/klagomålsmail/A 10721-2025 FSC-klagomål mail.docx", "A 10721-2025")</f>
        <v/>
      </c>
      <c r="X78">
        <f>HYPERLINK("https://klasma.github.io/Logging_2463/tillsyn/A 10721-2025 tillsynsbegäran.docx", "A 10721-2025")</f>
        <v/>
      </c>
      <c r="Y78">
        <f>HYPERLINK("https://klasma.github.io/Logging_2463/tillsynsmail/A 10721-2025 tillsynsbegäran mail.docx", "A 10721-2025")</f>
        <v/>
      </c>
    </row>
    <row r="79" ht="15" customHeight="1">
      <c r="A79" t="inlineStr">
        <is>
          <t>A 18692-2019</t>
        </is>
      </c>
      <c r="B79" s="1" t="n">
        <v>43559</v>
      </c>
      <c r="C79" s="1" t="n">
        <v>45734</v>
      </c>
      <c r="D79" t="inlineStr">
        <is>
          <t>VÄSTERBOTTENS LÄN</t>
        </is>
      </c>
      <c r="E79" t="inlineStr">
        <is>
          <t>ÅSELE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22279-2019</t>
        </is>
      </c>
      <c r="B80" s="1" t="n">
        <v>43585</v>
      </c>
      <c r="C80" s="1" t="n">
        <v>45734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59.4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22461-2019</t>
        </is>
      </c>
      <c r="B81" s="1" t="n">
        <v>43585</v>
      </c>
      <c r="C81" s="1" t="n">
        <v>45734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6.2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22278-2019</t>
        </is>
      </c>
      <c r="B82" s="1" t="n">
        <v>43585</v>
      </c>
      <c r="C82" s="1" t="n">
        <v>45734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22277-2019</t>
        </is>
      </c>
      <c r="B83" s="1" t="n">
        <v>43585</v>
      </c>
      <c r="C83" s="1" t="n">
        <v>45734</v>
      </c>
      <c r="D83" t="inlineStr">
        <is>
          <t>VÄSTERBOTTENS LÄN</t>
        </is>
      </c>
      <c r="E83" t="inlineStr">
        <is>
          <t>ÅSELE</t>
        </is>
      </c>
      <c r="F83" t="inlineStr">
        <is>
          <t>SCA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22591-2019</t>
        </is>
      </c>
      <c r="B84" s="1" t="n">
        <v>43587</v>
      </c>
      <c r="C84" s="1" t="n">
        <v>45734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23316-2019</t>
        </is>
      </c>
      <c r="B85" s="1" t="n">
        <v>43591</v>
      </c>
      <c r="C85" s="1" t="n">
        <v>45734</v>
      </c>
      <c r="D85" t="inlineStr">
        <is>
          <t>VÄSTERBOTTENS LÄN</t>
        </is>
      </c>
      <c r="E85" t="inlineStr">
        <is>
          <t>ÅSELE</t>
        </is>
      </c>
      <c r="G85" t="n">
        <v>1.4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24790-2019</t>
        </is>
      </c>
      <c r="B86" s="1" t="n">
        <v>43601</v>
      </c>
      <c r="C86" s="1" t="n">
        <v>45734</v>
      </c>
      <c r="D86" t="inlineStr">
        <is>
          <t>VÄSTERBOTTENS LÄN</t>
        </is>
      </c>
      <c r="E86" t="inlineStr">
        <is>
          <t>ÅSELE</t>
        </is>
      </c>
      <c r="F86" t="inlineStr">
        <is>
          <t>SCA</t>
        </is>
      </c>
      <c r="G86" t="n">
        <v>0.2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28710-2019</t>
        </is>
      </c>
      <c r="B87" s="1" t="n">
        <v>43614</v>
      </c>
      <c r="C87" s="1" t="n">
        <v>45734</v>
      </c>
      <c r="D87" t="inlineStr">
        <is>
          <t>VÄSTERBOTTENS LÄN</t>
        </is>
      </c>
      <c r="E87" t="inlineStr">
        <is>
          <t>ÅSELE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30883-2019</t>
        </is>
      </c>
      <c r="B88" s="1" t="n">
        <v>43636</v>
      </c>
      <c r="C88" s="1" t="n">
        <v>45734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35564-2019</t>
        </is>
      </c>
      <c r="B89" s="1" t="n">
        <v>43664</v>
      </c>
      <c r="C89" s="1" t="n">
        <v>45734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41.5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35613-2019</t>
        </is>
      </c>
      <c r="B90" s="1" t="n">
        <v>43664</v>
      </c>
      <c r="C90" s="1" t="n">
        <v>45734</v>
      </c>
      <c r="D90" t="inlineStr">
        <is>
          <t>VÄSTERBOTTENS LÄN</t>
        </is>
      </c>
      <c r="E90" t="inlineStr">
        <is>
          <t>ÅSELE</t>
        </is>
      </c>
      <c r="F90" t="inlineStr">
        <is>
          <t>Sveaskog</t>
        </is>
      </c>
      <c r="G90" t="n">
        <v>4.9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35562-2019</t>
        </is>
      </c>
      <c r="B91" s="1" t="n">
        <v>43664</v>
      </c>
      <c r="C91" s="1" t="n">
        <v>45734</v>
      </c>
      <c r="D91" t="inlineStr">
        <is>
          <t>VÄSTERBOTTENS LÄN</t>
        </is>
      </c>
      <c r="E91" t="inlineStr">
        <is>
          <t>ÅSELE</t>
        </is>
      </c>
      <c r="F91" t="inlineStr">
        <is>
          <t>Sveaskog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38772-2019</t>
        </is>
      </c>
      <c r="B92" s="1" t="n">
        <v>43686</v>
      </c>
      <c r="C92" s="1" t="n">
        <v>45734</v>
      </c>
      <c r="D92" t="inlineStr">
        <is>
          <t>VÄSTERBOTTENS LÄN</t>
        </is>
      </c>
      <c r="E92" t="inlineStr">
        <is>
          <t>ÅSELE</t>
        </is>
      </c>
      <c r="F92" t="inlineStr">
        <is>
          <t>SCA</t>
        </is>
      </c>
      <c r="G92" t="n">
        <v>11.6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40862-2019</t>
        </is>
      </c>
      <c r="B93" s="1" t="n">
        <v>43697</v>
      </c>
      <c r="C93" s="1" t="n">
        <v>45734</v>
      </c>
      <c r="D93" t="inlineStr">
        <is>
          <t>VÄSTERBOTTENS LÄN</t>
        </is>
      </c>
      <c r="E93" t="inlineStr">
        <is>
          <t>ÅSELE</t>
        </is>
      </c>
      <c r="G93" t="n">
        <v>10.6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41912-2019</t>
        </is>
      </c>
      <c r="B94" s="1" t="n">
        <v>43700</v>
      </c>
      <c r="C94" s="1" t="n">
        <v>45734</v>
      </c>
      <c r="D94" t="inlineStr">
        <is>
          <t>VÄSTERBOTTENS LÄN</t>
        </is>
      </c>
      <c r="E94" t="inlineStr">
        <is>
          <t>ÅSELE</t>
        </is>
      </c>
      <c r="F94" t="inlineStr">
        <is>
          <t>Naturvårdsverket</t>
        </is>
      </c>
      <c r="G94" t="n">
        <v>18.9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43666-2019</t>
        </is>
      </c>
      <c r="B95" s="1" t="n">
        <v>43704</v>
      </c>
      <c r="C95" s="1" t="n">
        <v>45734</v>
      </c>
      <c r="D95" t="inlineStr">
        <is>
          <t>VÄSTERBOTTENS LÄN</t>
        </is>
      </c>
      <c r="E95" t="inlineStr">
        <is>
          <t>ÅSELE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43211-2019</t>
        </is>
      </c>
      <c r="B96" s="1" t="n">
        <v>43705</v>
      </c>
      <c r="C96" s="1" t="n">
        <v>45734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43658-2019</t>
        </is>
      </c>
      <c r="B97" s="1" t="n">
        <v>43707</v>
      </c>
      <c r="C97" s="1" t="n">
        <v>45734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44017-2019</t>
        </is>
      </c>
      <c r="B98" s="1" t="n">
        <v>43709</v>
      </c>
      <c r="C98" s="1" t="n">
        <v>45734</v>
      </c>
      <c r="D98" t="inlineStr">
        <is>
          <t>VÄSTERBOTTENS LÄN</t>
        </is>
      </c>
      <c r="E98" t="inlineStr">
        <is>
          <t>ÅSELE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50913-2019</t>
        </is>
      </c>
      <c r="B99" s="1" t="n">
        <v>43738</v>
      </c>
      <c r="C99" s="1" t="n">
        <v>45734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50920-2019</t>
        </is>
      </c>
      <c r="B100" s="1" t="n">
        <v>43738</v>
      </c>
      <c r="C100" s="1" t="n">
        <v>45734</v>
      </c>
      <c r="D100" t="inlineStr">
        <is>
          <t>VÄSTERBOTTENS LÄN</t>
        </is>
      </c>
      <c r="E100" t="inlineStr">
        <is>
          <t>ÅSELE</t>
        </is>
      </c>
      <c r="F100" t="inlineStr">
        <is>
          <t>Sveaskog</t>
        </is>
      </c>
      <c r="G100" t="n">
        <v>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50928-2019</t>
        </is>
      </c>
      <c r="B101" s="1" t="n">
        <v>43738</v>
      </c>
      <c r="C101" s="1" t="n">
        <v>45734</v>
      </c>
      <c r="D101" t="inlineStr">
        <is>
          <t>VÄSTERBOTTENS LÄN</t>
        </is>
      </c>
      <c r="E101" t="inlineStr">
        <is>
          <t>ÅSELE</t>
        </is>
      </c>
      <c r="F101" t="inlineStr">
        <is>
          <t>Sveaskog</t>
        </is>
      </c>
      <c r="G101" t="n">
        <v>8.199999999999999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51242-2019</t>
        </is>
      </c>
      <c r="B102" s="1" t="n">
        <v>43739</v>
      </c>
      <c r="C102" s="1" t="n">
        <v>45734</v>
      </c>
      <c r="D102" t="inlineStr">
        <is>
          <t>VÄSTERBOTTENS LÄN</t>
        </is>
      </c>
      <c r="E102" t="inlineStr">
        <is>
          <t>ÅSELE</t>
        </is>
      </c>
      <c r="F102" t="inlineStr">
        <is>
          <t>Holmen skog AB</t>
        </is>
      </c>
      <c r="G102" t="n">
        <v>6.3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51702-2019</t>
        </is>
      </c>
      <c r="B103" s="1" t="n">
        <v>43740</v>
      </c>
      <c r="C103" s="1" t="n">
        <v>45734</v>
      </c>
      <c r="D103" t="inlineStr">
        <is>
          <t>VÄSTERBOTTENS LÄN</t>
        </is>
      </c>
      <c r="E103" t="inlineStr">
        <is>
          <t>ÅSELE</t>
        </is>
      </c>
      <c r="G103" t="n">
        <v>16.6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53478-2019</t>
        </is>
      </c>
      <c r="B104" s="1" t="n">
        <v>43748</v>
      </c>
      <c r="C104" s="1" t="n">
        <v>45734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55156-2019</t>
        </is>
      </c>
      <c r="B105" s="1" t="n">
        <v>43752</v>
      </c>
      <c r="C105" s="1" t="n">
        <v>45734</v>
      </c>
      <c r="D105" t="inlineStr">
        <is>
          <t>VÄSTERBOTTENS LÄN</t>
        </is>
      </c>
      <c r="E105" t="inlineStr">
        <is>
          <t>ÅSELE</t>
        </is>
      </c>
      <c r="G105" t="n">
        <v>6.6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54368-2019</t>
        </is>
      </c>
      <c r="B106" s="1" t="n">
        <v>43753</v>
      </c>
      <c r="C106" s="1" t="n">
        <v>45734</v>
      </c>
      <c r="D106" t="inlineStr">
        <is>
          <t>VÄSTERBOTTENS LÄN</t>
        </is>
      </c>
      <c r="E106" t="inlineStr">
        <is>
          <t>ÅSELE</t>
        </is>
      </c>
      <c r="F106" t="inlineStr">
        <is>
          <t>SCA</t>
        </is>
      </c>
      <c r="G106" t="n">
        <v>2.9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54408-2019</t>
        </is>
      </c>
      <c r="B107" s="1" t="n">
        <v>43754</v>
      </c>
      <c r="C107" s="1" t="n">
        <v>45734</v>
      </c>
      <c r="D107" t="inlineStr">
        <is>
          <t>VÄSTERBOTTENS LÄN</t>
        </is>
      </c>
      <c r="E107" t="inlineStr">
        <is>
          <t>ÅSELE</t>
        </is>
      </c>
      <c r="F107" t="inlineStr">
        <is>
          <t>Holmen skog AB</t>
        </is>
      </c>
      <c r="G107" t="n">
        <v>15.2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54931-2019</t>
        </is>
      </c>
      <c r="B108" s="1" t="n">
        <v>43755</v>
      </c>
      <c r="C108" s="1" t="n">
        <v>45734</v>
      </c>
      <c r="D108" t="inlineStr">
        <is>
          <t>VÄSTERBOTTENS LÄN</t>
        </is>
      </c>
      <c r="E108" t="inlineStr">
        <is>
          <t>ÅSELE</t>
        </is>
      </c>
      <c r="F108" t="inlineStr">
        <is>
          <t>Holmen skog AB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55432-2019</t>
        </is>
      </c>
      <c r="B109" s="1" t="n">
        <v>43760</v>
      </c>
      <c r="C109" s="1" t="n">
        <v>45734</v>
      </c>
      <c r="D109" t="inlineStr">
        <is>
          <t>VÄSTERBOTTENS LÄN</t>
        </is>
      </c>
      <c r="E109" t="inlineStr">
        <is>
          <t>ÅSELE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55885-2019</t>
        </is>
      </c>
      <c r="B110" s="1" t="n">
        <v>43761</v>
      </c>
      <c r="C110" s="1" t="n">
        <v>45734</v>
      </c>
      <c r="D110" t="inlineStr">
        <is>
          <t>VÄSTERBOTTENS LÄN</t>
        </is>
      </c>
      <c r="E110" t="inlineStr">
        <is>
          <t>ÅSELE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57697-2019</t>
        </is>
      </c>
      <c r="B111" s="1" t="n">
        <v>43768</v>
      </c>
      <c r="C111" s="1" t="n">
        <v>45734</v>
      </c>
      <c r="D111" t="inlineStr">
        <is>
          <t>VÄSTERBOTTENS LÄN</t>
        </is>
      </c>
      <c r="E111" t="inlineStr">
        <is>
          <t>ÅSELE</t>
        </is>
      </c>
      <c r="F111" t="inlineStr">
        <is>
          <t>Sveaskog</t>
        </is>
      </c>
      <c r="G111" t="n">
        <v>2.5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57878-2019</t>
        </is>
      </c>
      <c r="B112" s="1" t="n">
        <v>43768</v>
      </c>
      <c r="C112" s="1" t="n">
        <v>45734</v>
      </c>
      <c r="D112" t="inlineStr">
        <is>
          <t>VÄSTERBOTTENS LÄN</t>
        </is>
      </c>
      <c r="E112" t="inlineStr">
        <is>
          <t>ÅSELE</t>
        </is>
      </c>
      <c r="F112" t="inlineStr">
        <is>
          <t>SCA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58075-2019</t>
        </is>
      </c>
      <c r="B113" s="1" t="n">
        <v>43769</v>
      </c>
      <c r="C113" s="1" t="n">
        <v>45734</v>
      </c>
      <c r="D113" t="inlineStr">
        <is>
          <t>VÄSTERBOTTENS LÄN</t>
        </is>
      </c>
      <c r="E113" t="inlineStr">
        <is>
          <t>ÅSELE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59130-2019</t>
        </is>
      </c>
      <c r="B114" s="1" t="n">
        <v>43769</v>
      </c>
      <c r="C114" s="1" t="n">
        <v>45734</v>
      </c>
      <c r="D114" t="inlineStr">
        <is>
          <t>VÄSTERBOTTENS LÄN</t>
        </is>
      </c>
      <c r="E114" t="inlineStr">
        <is>
          <t>ÅSELE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63402-2019</t>
        </is>
      </c>
      <c r="B115" s="1" t="n">
        <v>43787</v>
      </c>
      <c r="C115" s="1" t="n">
        <v>45734</v>
      </c>
      <c r="D115" t="inlineStr">
        <is>
          <t>VÄSTERBOTTENS LÄN</t>
        </is>
      </c>
      <c r="E115" t="inlineStr">
        <is>
          <t>ÅSELE</t>
        </is>
      </c>
      <c r="G115" t="n">
        <v>5.3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63434-2019</t>
        </is>
      </c>
      <c r="B116" s="1" t="n">
        <v>43787</v>
      </c>
      <c r="C116" s="1" t="n">
        <v>45734</v>
      </c>
      <c r="D116" t="inlineStr">
        <is>
          <t>VÄSTERBOTTENS LÄN</t>
        </is>
      </c>
      <c r="E116" t="inlineStr">
        <is>
          <t>ÅSELE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64670-2019</t>
        </is>
      </c>
      <c r="B117" s="1" t="n">
        <v>43794</v>
      </c>
      <c r="C117" s="1" t="n">
        <v>45734</v>
      </c>
      <c r="D117" t="inlineStr">
        <is>
          <t>VÄSTERBOTTENS LÄN</t>
        </is>
      </c>
      <c r="E117" t="inlineStr">
        <is>
          <t>ÅSELE</t>
        </is>
      </c>
      <c r="F117" t="inlineStr">
        <is>
          <t>Övriga Aktiebolag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64676-2019</t>
        </is>
      </c>
      <c r="B118" s="1" t="n">
        <v>43794</v>
      </c>
      <c r="C118" s="1" t="n">
        <v>45734</v>
      </c>
      <c r="D118" t="inlineStr">
        <is>
          <t>VÄSTERBOTTENS LÄN</t>
        </is>
      </c>
      <c r="E118" t="inlineStr">
        <is>
          <t>ÅSELE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63835-2019</t>
        </is>
      </c>
      <c r="B119" s="1" t="n">
        <v>43795</v>
      </c>
      <c r="C119" s="1" t="n">
        <v>45734</v>
      </c>
      <c r="D119" t="inlineStr">
        <is>
          <t>VÄSTERBOTTENS LÄN</t>
        </is>
      </c>
      <c r="E119" t="inlineStr">
        <is>
          <t>ÅSELE</t>
        </is>
      </c>
      <c r="G119" t="n">
        <v>0.6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2924-2020</t>
        </is>
      </c>
      <c r="B120" s="1" t="n">
        <v>43803</v>
      </c>
      <c r="C120" s="1" t="n">
        <v>45734</v>
      </c>
      <c r="D120" t="inlineStr">
        <is>
          <t>VÄSTERBOTTENS LÄN</t>
        </is>
      </c>
      <c r="E120" t="inlineStr">
        <is>
          <t>ÅSELE</t>
        </is>
      </c>
      <c r="F120" t="inlineStr">
        <is>
          <t>Övriga Aktiebolag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65568-2019</t>
        </is>
      </c>
      <c r="B121" s="1" t="n">
        <v>43803</v>
      </c>
      <c r="C121" s="1" t="n">
        <v>45734</v>
      </c>
      <c r="D121" t="inlineStr">
        <is>
          <t>VÄSTERBOTTENS LÄN</t>
        </is>
      </c>
      <c r="E121" t="inlineStr">
        <is>
          <t>ÅSELE</t>
        </is>
      </c>
      <c r="F121" t="inlineStr">
        <is>
          <t>SCA</t>
        </is>
      </c>
      <c r="G121" t="n">
        <v>8.5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65572-2019</t>
        </is>
      </c>
      <c r="B122" s="1" t="n">
        <v>43803</v>
      </c>
      <c r="C122" s="1" t="n">
        <v>45734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66033-2019</t>
        </is>
      </c>
      <c r="B123" s="1" t="n">
        <v>43805</v>
      </c>
      <c r="C123" s="1" t="n">
        <v>45734</v>
      </c>
      <c r="D123" t="inlineStr">
        <is>
          <t>VÄSTERBOTTENS LÄN</t>
        </is>
      </c>
      <c r="E123" t="inlineStr">
        <is>
          <t>ÅSELE</t>
        </is>
      </c>
      <c r="G123" t="n">
        <v>14.3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66974-2019</t>
        </is>
      </c>
      <c r="B124" s="1" t="n">
        <v>43810</v>
      </c>
      <c r="C124" s="1" t="n">
        <v>45734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3.6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906-2020</t>
        </is>
      </c>
      <c r="B125" s="1" t="n">
        <v>43818</v>
      </c>
      <c r="C125" s="1" t="n">
        <v>45734</v>
      </c>
      <c r="D125" t="inlineStr">
        <is>
          <t>VÄSTERBOTTENS LÄN</t>
        </is>
      </c>
      <c r="E125" t="inlineStr">
        <is>
          <t>ÅSELE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230-2020</t>
        </is>
      </c>
      <c r="B126" s="1" t="n">
        <v>43833</v>
      </c>
      <c r="C126" s="1" t="n">
        <v>45734</v>
      </c>
      <c r="D126" t="inlineStr">
        <is>
          <t>VÄSTERBOTTENS LÄN</t>
        </is>
      </c>
      <c r="E126" t="inlineStr">
        <is>
          <t>ÅSELE</t>
        </is>
      </c>
      <c r="F126" t="inlineStr">
        <is>
          <t>SCA</t>
        </is>
      </c>
      <c r="G126" t="n">
        <v>4.8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2457-2020</t>
        </is>
      </c>
      <c r="B127" s="1" t="n">
        <v>43841</v>
      </c>
      <c r="C127" s="1" t="n">
        <v>45734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34.1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2591-2020</t>
        </is>
      </c>
      <c r="B128" s="1" t="n">
        <v>43843</v>
      </c>
      <c r="C128" s="1" t="n">
        <v>45734</v>
      </c>
      <c r="D128" t="inlineStr">
        <is>
          <t>VÄSTERBOTTENS LÄN</t>
        </is>
      </c>
      <c r="E128" t="inlineStr">
        <is>
          <t>ÅSELE</t>
        </is>
      </c>
      <c r="F128" t="inlineStr">
        <is>
          <t>Övriga Aktiebolag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2582-2020</t>
        </is>
      </c>
      <c r="B129" s="1" t="n">
        <v>43843</v>
      </c>
      <c r="C129" s="1" t="n">
        <v>45734</v>
      </c>
      <c r="D129" t="inlineStr">
        <is>
          <t>VÄSTERBOTTENS LÄN</t>
        </is>
      </c>
      <c r="E129" t="inlineStr">
        <is>
          <t>ÅSELE</t>
        </is>
      </c>
      <c r="F129" t="inlineStr">
        <is>
          <t>Övriga Aktiebolag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2096-2020</t>
        </is>
      </c>
      <c r="B130" s="1" t="n">
        <v>43845</v>
      </c>
      <c r="C130" s="1" t="n">
        <v>45734</v>
      </c>
      <c r="D130" t="inlineStr">
        <is>
          <t>VÄSTERBOTTENS LÄN</t>
        </is>
      </c>
      <c r="E130" t="inlineStr">
        <is>
          <t>ÅSELE</t>
        </is>
      </c>
      <c r="G130" t="n">
        <v>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4891-2020</t>
        </is>
      </c>
      <c r="B131" s="1" t="n">
        <v>43852</v>
      </c>
      <c r="C131" s="1" t="n">
        <v>45734</v>
      </c>
      <c r="D131" t="inlineStr">
        <is>
          <t>VÄSTERBOTTENS LÄN</t>
        </is>
      </c>
      <c r="E131" t="inlineStr">
        <is>
          <t>ÅSELE</t>
        </is>
      </c>
      <c r="G131" t="n">
        <v>10.4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5541-2020</t>
        </is>
      </c>
      <c r="B132" s="1" t="n">
        <v>43859</v>
      </c>
      <c r="C132" s="1" t="n">
        <v>45734</v>
      </c>
      <c r="D132" t="inlineStr">
        <is>
          <t>VÄSTERBOTTENS LÄN</t>
        </is>
      </c>
      <c r="E132" t="inlineStr">
        <is>
          <t>ÅSELE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11926-2020</t>
        </is>
      </c>
      <c r="B133" s="1" t="n">
        <v>43888</v>
      </c>
      <c r="C133" s="1" t="n">
        <v>45734</v>
      </c>
      <c r="D133" t="inlineStr">
        <is>
          <t>VÄSTERBOTTENS LÄN</t>
        </is>
      </c>
      <c r="E133" t="inlineStr">
        <is>
          <t>ÅSELE</t>
        </is>
      </c>
      <c r="F133" t="inlineStr">
        <is>
          <t>Övriga Aktiebolag</t>
        </is>
      </c>
      <c r="G133" t="n">
        <v>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18139-2020</t>
        </is>
      </c>
      <c r="B134" s="1" t="n">
        <v>43924</v>
      </c>
      <c r="C134" s="1" t="n">
        <v>45734</v>
      </c>
      <c r="D134" t="inlineStr">
        <is>
          <t>VÄSTERBOTTENS LÄN</t>
        </is>
      </c>
      <c r="E134" t="inlineStr">
        <is>
          <t>ÅSELE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19590-2020</t>
        </is>
      </c>
      <c r="B135" s="1" t="n">
        <v>43936</v>
      </c>
      <c r="C135" s="1" t="n">
        <v>45734</v>
      </c>
      <c r="D135" t="inlineStr">
        <is>
          <t>VÄSTERBOTTENS LÄN</t>
        </is>
      </c>
      <c r="E135" t="inlineStr">
        <is>
          <t>ÅSELE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19588-2020</t>
        </is>
      </c>
      <c r="B136" s="1" t="n">
        <v>43936</v>
      </c>
      <c r="C136" s="1" t="n">
        <v>45734</v>
      </c>
      <c r="D136" t="inlineStr">
        <is>
          <t>VÄSTERBOTTENS LÄN</t>
        </is>
      </c>
      <c r="E136" t="inlineStr">
        <is>
          <t>ÅSELE</t>
        </is>
      </c>
      <c r="G136" t="n">
        <v>13.2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22145-2020</t>
        </is>
      </c>
      <c r="B137" s="1" t="n">
        <v>43961</v>
      </c>
      <c r="C137" s="1" t="n">
        <v>45734</v>
      </c>
      <c r="D137" t="inlineStr">
        <is>
          <t>VÄSTERBOTTENS LÄN</t>
        </is>
      </c>
      <c r="E137" t="inlineStr">
        <is>
          <t>ÅSELE</t>
        </is>
      </c>
      <c r="G137" t="n">
        <v>0.2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24315-2020</t>
        </is>
      </c>
      <c r="B138" s="1" t="n">
        <v>43976</v>
      </c>
      <c r="C138" s="1" t="n">
        <v>45734</v>
      </c>
      <c r="D138" t="inlineStr">
        <is>
          <t>VÄSTERBOTTENS LÄN</t>
        </is>
      </c>
      <c r="E138" t="inlineStr">
        <is>
          <t>ÅSELE</t>
        </is>
      </c>
      <c r="F138" t="inlineStr">
        <is>
          <t>Sveaskog</t>
        </is>
      </c>
      <c r="G138" t="n">
        <v>31.2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25186-2020</t>
        </is>
      </c>
      <c r="B139" s="1" t="n">
        <v>43980</v>
      </c>
      <c r="C139" s="1" t="n">
        <v>45734</v>
      </c>
      <c r="D139" t="inlineStr">
        <is>
          <t>VÄSTERBOTTENS LÄN</t>
        </is>
      </c>
      <c r="E139" t="inlineStr">
        <is>
          <t>ÅSELE</t>
        </is>
      </c>
      <c r="F139" t="inlineStr">
        <is>
          <t>Holmen skog AB</t>
        </is>
      </c>
      <c r="G139" t="n">
        <v>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25435-2020</t>
        </is>
      </c>
      <c r="B140" s="1" t="n">
        <v>43980</v>
      </c>
      <c r="C140" s="1" t="n">
        <v>45734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25452-2020</t>
        </is>
      </c>
      <c r="B141" s="1" t="n">
        <v>43983</v>
      </c>
      <c r="C141" s="1" t="n">
        <v>45734</v>
      </c>
      <c r="D141" t="inlineStr">
        <is>
          <t>VÄSTERBOTTENS LÄN</t>
        </is>
      </c>
      <c r="E141" t="inlineStr">
        <is>
          <t>ÅSELE</t>
        </is>
      </c>
      <c r="F141" t="inlineStr">
        <is>
          <t>Sveaskog</t>
        </is>
      </c>
      <c r="G141" t="n">
        <v>8.300000000000001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26484-2020</t>
        </is>
      </c>
      <c r="B142" s="1" t="n">
        <v>43987</v>
      </c>
      <c r="C142" s="1" t="n">
        <v>45734</v>
      </c>
      <c r="D142" t="inlineStr">
        <is>
          <t>VÄSTERBOTTENS LÄN</t>
        </is>
      </c>
      <c r="E142" t="inlineStr">
        <is>
          <t>ÅSELE</t>
        </is>
      </c>
      <c r="F142" t="inlineStr">
        <is>
          <t>Holmen skog AB</t>
        </is>
      </c>
      <c r="G142" t="n">
        <v>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27966-2020</t>
        </is>
      </c>
      <c r="B143" s="1" t="n">
        <v>43993</v>
      </c>
      <c r="C143" s="1" t="n">
        <v>45734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27972-2020</t>
        </is>
      </c>
      <c r="B144" s="1" t="n">
        <v>43993</v>
      </c>
      <c r="C144" s="1" t="n">
        <v>45734</v>
      </c>
      <c r="D144" t="inlineStr">
        <is>
          <t>VÄSTERBOTTENS LÄN</t>
        </is>
      </c>
      <c r="E144" t="inlineStr">
        <is>
          <t>ÅSELE</t>
        </is>
      </c>
      <c r="F144" t="inlineStr">
        <is>
          <t>Övriga Aktiebolag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27971-2020</t>
        </is>
      </c>
      <c r="B145" s="1" t="n">
        <v>43993</v>
      </c>
      <c r="C145" s="1" t="n">
        <v>45734</v>
      </c>
      <c r="D145" t="inlineStr">
        <is>
          <t>VÄSTERBOTTENS LÄN</t>
        </is>
      </c>
      <c r="E145" t="inlineStr">
        <is>
          <t>ÅSELE</t>
        </is>
      </c>
      <c r="F145" t="inlineStr">
        <is>
          <t>Övriga Aktiebolag</t>
        </is>
      </c>
      <c r="G145" t="n">
        <v>6.3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29481-2020</t>
        </is>
      </c>
      <c r="B146" s="1" t="n">
        <v>44004</v>
      </c>
      <c r="C146" s="1" t="n">
        <v>45734</v>
      </c>
      <c r="D146" t="inlineStr">
        <is>
          <t>VÄSTERBOTTENS LÄN</t>
        </is>
      </c>
      <c r="E146" t="inlineStr">
        <is>
          <t>ÅSELE</t>
        </is>
      </c>
      <c r="F146" t="inlineStr">
        <is>
          <t>SCA</t>
        </is>
      </c>
      <c r="G146" t="n">
        <v>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30342-2020</t>
        </is>
      </c>
      <c r="B147" s="1" t="n">
        <v>44007</v>
      </c>
      <c r="C147" s="1" t="n">
        <v>45734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4.4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32079-2020</t>
        </is>
      </c>
      <c r="B148" s="1" t="n">
        <v>44014</v>
      </c>
      <c r="C148" s="1" t="n">
        <v>45734</v>
      </c>
      <c r="D148" t="inlineStr">
        <is>
          <t>VÄSTERBOTTENS LÄN</t>
        </is>
      </c>
      <c r="E148" t="inlineStr">
        <is>
          <t>ÅSELE</t>
        </is>
      </c>
      <c r="G148" t="n">
        <v>6.5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33771-2020</t>
        </is>
      </c>
      <c r="B149" s="1" t="n">
        <v>44026</v>
      </c>
      <c r="C149" s="1" t="n">
        <v>45734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17.2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34099-2020</t>
        </is>
      </c>
      <c r="B150" s="1" t="n">
        <v>44028</v>
      </c>
      <c r="C150" s="1" t="n">
        <v>45734</v>
      </c>
      <c r="D150" t="inlineStr">
        <is>
          <t>VÄSTERBOTTENS LÄN</t>
        </is>
      </c>
      <c r="E150" t="inlineStr">
        <is>
          <t>ÅSELE</t>
        </is>
      </c>
      <c r="F150" t="inlineStr">
        <is>
          <t>SCA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34170-2020</t>
        </is>
      </c>
      <c r="B151" s="1" t="n">
        <v>44029</v>
      </c>
      <c r="C151" s="1" t="n">
        <v>45734</v>
      </c>
      <c r="D151" t="inlineStr">
        <is>
          <t>VÄSTERBOTTENS LÄN</t>
        </is>
      </c>
      <c r="E151" t="inlineStr">
        <is>
          <t>ÅSELE</t>
        </is>
      </c>
      <c r="F151" t="inlineStr">
        <is>
          <t>Sveaskog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34510-2020</t>
        </is>
      </c>
      <c r="B152" s="1" t="n">
        <v>44029</v>
      </c>
      <c r="C152" s="1" t="n">
        <v>45734</v>
      </c>
      <c r="D152" t="inlineStr">
        <is>
          <t>VÄSTERBOTTENS LÄN</t>
        </is>
      </c>
      <c r="E152" t="inlineStr">
        <is>
          <t>ÅSELE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34522-2020</t>
        </is>
      </c>
      <c r="B153" s="1" t="n">
        <v>44029</v>
      </c>
      <c r="C153" s="1" t="n">
        <v>45734</v>
      </c>
      <c r="D153" t="inlineStr">
        <is>
          <t>VÄSTERBOTTENS LÄN</t>
        </is>
      </c>
      <c r="E153" t="inlineStr">
        <is>
          <t>ÅSELE</t>
        </is>
      </c>
      <c r="G153" t="n">
        <v>35.2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34520-2020</t>
        </is>
      </c>
      <c r="B154" s="1" t="n">
        <v>44029</v>
      </c>
      <c r="C154" s="1" t="n">
        <v>45734</v>
      </c>
      <c r="D154" t="inlineStr">
        <is>
          <t>VÄSTERBOTTENS LÄN</t>
        </is>
      </c>
      <c r="E154" t="inlineStr">
        <is>
          <t>ÅSELE</t>
        </is>
      </c>
      <c r="G154" t="n">
        <v>26.7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34516-2020</t>
        </is>
      </c>
      <c r="B155" s="1" t="n">
        <v>44029</v>
      </c>
      <c r="C155" s="1" t="n">
        <v>45734</v>
      </c>
      <c r="D155" t="inlineStr">
        <is>
          <t>VÄSTERBOTTENS LÄN</t>
        </is>
      </c>
      <c r="E155" t="inlineStr">
        <is>
          <t>ÅSELE</t>
        </is>
      </c>
      <c r="G155" t="n">
        <v>8.9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36514-2020</t>
        </is>
      </c>
      <c r="B156" s="1" t="n">
        <v>44050</v>
      </c>
      <c r="C156" s="1" t="n">
        <v>45734</v>
      </c>
      <c r="D156" t="inlineStr">
        <is>
          <t>VÄSTERBOTTENS LÄN</t>
        </is>
      </c>
      <c r="E156" t="inlineStr">
        <is>
          <t>ÅSELE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37309-2020</t>
        </is>
      </c>
      <c r="B157" s="1" t="n">
        <v>44054</v>
      </c>
      <c r="C157" s="1" t="n">
        <v>45734</v>
      </c>
      <c r="D157" t="inlineStr">
        <is>
          <t>VÄSTERBOTTENS LÄN</t>
        </is>
      </c>
      <c r="E157" t="inlineStr">
        <is>
          <t>ÅSELE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38392-2020</t>
        </is>
      </c>
      <c r="B158" s="1" t="n">
        <v>44060</v>
      </c>
      <c r="C158" s="1" t="n">
        <v>45734</v>
      </c>
      <c r="D158" t="inlineStr">
        <is>
          <t>VÄSTERBOTTENS LÄN</t>
        </is>
      </c>
      <c r="E158" t="inlineStr">
        <is>
          <t>ÅSELE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41246-2020</t>
        </is>
      </c>
      <c r="B159" s="1" t="n">
        <v>44071</v>
      </c>
      <c r="C159" s="1" t="n">
        <v>45734</v>
      </c>
      <c r="D159" t="inlineStr">
        <is>
          <t>VÄSTERBOTTENS LÄN</t>
        </is>
      </c>
      <c r="E159" t="inlineStr">
        <is>
          <t>ÅSELE</t>
        </is>
      </c>
      <c r="F159" t="inlineStr">
        <is>
          <t>Kyrkan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43619-2020</t>
        </is>
      </c>
      <c r="B160" s="1" t="n">
        <v>44078</v>
      </c>
      <c r="C160" s="1" t="n">
        <v>45734</v>
      </c>
      <c r="D160" t="inlineStr">
        <is>
          <t>VÄSTERBOTTENS LÄN</t>
        </is>
      </c>
      <c r="E160" t="inlineStr">
        <is>
          <t>ÅSELE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43800-2020</t>
        </is>
      </c>
      <c r="B161" s="1" t="n">
        <v>44082</v>
      </c>
      <c r="C161" s="1" t="n">
        <v>45734</v>
      </c>
      <c r="D161" t="inlineStr">
        <is>
          <t>VÄSTERBOTTENS LÄN</t>
        </is>
      </c>
      <c r="E161" t="inlineStr">
        <is>
          <t>ÅSELE</t>
        </is>
      </c>
      <c r="F161" t="inlineStr">
        <is>
          <t>Sveaskog</t>
        </is>
      </c>
      <c r="G161" t="n">
        <v>12.2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43811-2020</t>
        </is>
      </c>
      <c r="B162" s="1" t="n">
        <v>44082</v>
      </c>
      <c r="C162" s="1" t="n">
        <v>45734</v>
      </c>
      <c r="D162" t="inlineStr">
        <is>
          <t>VÄSTERBOTTENS LÄN</t>
        </is>
      </c>
      <c r="E162" t="inlineStr">
        <is>
          <t>ÅSELE</t>
        </is>
      </c>
      <c r="F162" t="inlineStr">
        <is>
          <t>Sveaskog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46883-2020</t>
        </is>
      </c>
      <c r="B163" s="1" t="n">
        <v>44089</v>
      </c>
      <c r="C163" s="1" t="n">
        <v>45734</v>
      </c>
      <c r="D163" t="inlineStr">
        <is>
          <t>VÄSTERBOTTENS LÄN</t>
        </is>
      </c>
      <c r="E163" t="inlineStr">
        <is>
          <t>ÅSELE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46856-2020</t>
        </is>
      </c>
      <c r="B164" s="1" t="n">
        <v>44089</v>
      </c>
      <c r="C164" s="1" t="n">
        <v>45734</v>
      </c>
      <c r="D164" t="inlineStr">
        <is>
          <t>VÄSTERBOTTENS LÄN</t>
        </is>
      </c>
      <c r="E164" t="inlineStr">
        <is>
          <t>ÅSELE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46835-2020</t>
        </is>
      </c>
      <c r="B165" s="1" t="n">
        <v>44089</v>
      </c>
      <c r="C165" s="1" t="n">
        <v>45734</v>
      </c>
      <c r="D165" t="inlineStr">
        <is>
          <t>VÄSTERBOTTENS LÄN</t>
        </is>
      </c>
      <c r="E165" t="inlineStr">
        <is>
          <t>ÅSELE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46862-2020</t>
        </is>
      </c>
      <c r="B166" s="1" t="n">
        <v>44089</v>
      </c>
      <c r="C166" s="1" t="n">
        <v>45734</v>
      </c>
      <c r="D166" t="inlineStr">
        <is>
          <t>VÄSTERBOTTENS LÄN</t>
        </is>
      </c>
      <c r="E166" t="inlineStr">
        <is>
          <t>ÅSELE</t>
        </is>
      </c>
      <c r="G166" t="n">
        <v>16.3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45623-2020</t>
        </is>
      </c>
      <c r="B167" s="1" t="n">
        <v>44090</v>
      </c>
      <c r="C167" s="1" t="n">
        <v>45734</v>
      </c>
      <c r="D167" t="inlineStr">
        <is>
          <t>VÄSTERBOTTENS LÄN</t>
        </is>
      </c>
      <c r="E167" t="inlineStr">
        <is>
          <t>ÅSELE</t>
        </is>
      </c>
      <c r="F167" t="inlineStr">
        <is>
          <t>Holmen skog AB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46917-2020</t>
        </is>
      </c>
      <c r="B168" s="1" t="n">
        <v>44090</v>
      </c>
      <c r="C168" s="1" t="n">
        <v>45734</v>
      </c>
      <c r="D168" t="inlineStr">
        <is>
          <t>VÄSTERBOTTENS LÄN</t>
        </is>
      </c>
      <c r="E168" t="inlineStr">
        <is>
          <t>ÅSELE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46911-2020</t>
        </is>
      </c>
      <c r="B169" s="1" t="n">
        <v>44090</v>
      </c>
      <c r="C169" s="1" t="n">
        <v>45734</v>
      </c>
      <c r="D169" t="inlineStr">
        <is>
          <t>VÄSTERBOTTENS LÄN</t>
        </is>
      </c>
      <c r="E169" t="inlineStr">
        <is>
          <t>ÅSELE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46913-2020</t>
        </is>
      </c>
      <c r="B170" s="1" t="n">
        <v>44090</v>
      </c>
      <c r="C170" s="1" t="n">
        <v>45734</v>
      </c>
      <c r="D170" t="inlineStr">
        <is>
          <t>VÄSTERBOTTENS LÄN</t>
        </is>
      </c>
      <c r="E170" t="inlineStr">
        <is>
          <t>ÅSELE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47103-2020</t>
        </is>
      </c>
      <c r="B171" s="1" t="n">
        <v>44096</v>
      </c>
      <c r="C171" s="1" t="n">
        <v>45734</v>
      </c>
      <c r="D171" t="inlineStr">
        <is>
          <t>VÄSTERBOTTENS LÄN</t>
        </is>
      </c>
      <c r="E171" t="inlineStr">
        <is>
          <t>ÅSELE</t>
        </is>
      </c>
      <c r="G171" t="n">
        <v>5.8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49836-2020</t>
        </is>
      </c>
      <c r="B172" s="1" t="n">
        <v>44106</v>
      </c>
      <c r="C172" s="1" t="n">
        <v>45734</v>
      </c>
      <c r="D172" t="inlineStr">
        <is>
          <t>VÄSTERBOTTENS LÄN</t>
        </is>
      </c>
      <c r="E172" t="inlineStr">
        <is>
          <t>ÅSELE</t>
        </is>
      </c>
      <c r="F172" t="inlineStr">
        <is>
          <t>Kommuner</t>
        </is>
      </c>
      <c r="G172" t="n">
        <v>3.9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49841-2020</t>
        </is>
      </c>
      <c r="B173" s="1" t="n">
        <v>44106</v>
      </c>
      <c r="C173" s="1" t="n">
        <v>45734</v>
      </c>
      <c r="D173" t="inlineStr">
        <is>
          <t>VÄSTERBOTTENS LÄN</t>
        </is>
      </c>
      <c r="E173" t="inlineStr">
        <is>
          <t>ÅSELE</t>
        </is>
      </c>
      <c r="F173" t="inlineStr">
        <is>
          <t>SCA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49840-2020</t>
        </is>
      </c>
      <c r="B174" s="1" t="n">
        <v>44106</v>
      </c>
      <c r="C174" s="1" t="n">
        <v>45734</v>
      </c>
      <c r="D174" t="inlineStr">
        <is>
          <t>VÄSTERBOTTENS LÄN</t>
        </is>
      </c>
      <c r="E174" t="inlineStr">
        <is>
          <t>ÅSELE</t>
        </is>
      </c>
      <c r="F174" t="inlineStr">
        <is>
          <t>SCA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51762-2020</t>
        </is>
      </c>
      <c r="B175" s="1" t="n">
        <v>44115</v>
      </c>
      <c r="C175" s="1" t="n">
        <v>45734</v>
      </c>
      <c r="D175" t="inlineStr">
        <is>
          <t>VÄSTERBOTTENS LÄN</t>
        </is>
      </c>
      <c r="E175" t="inlineStr">
        <is>
          <t>ÅSELE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51958-2020</t>
        </is>
      </c>
      <c r="B176" s="1" t="n">
        <v>44116</v>
      </c>
      <c r="C176" s="1" t="n">
        <v>45734</v>
      </c>
      <c r="D176" t="inlineStr">
        <is>
          <t>VÄSTERBOTTENS LÄN</t>
        </is>
      </c>
      <c r="E176" t="inlineStr">
        <is>
          <t>ÅSELE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52171-2020</t>
        </is>
      </c>
      <c r="B177" s="1" t="n">
        <v>44117</v>
      </c>
      <c r="C177" s="1" t="n">
        <v>45734</v>
      </c>
      <c r="D177" t="inlineStr">
        <is>
          <t>VÄSTERBOTTENS LÄN</t>
        </is>
      </c>
      <c r="E177" t="inlineStr">
        <is>
          <t>ÅSELE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54653-2020</t>
        </is>
      </c>
      <c r="B178" s="1" t="n">
        <v>44125</v>
      </c>
      <c r="C178" s="1" t="n">
        <v>45734</v>
      </c>
      <c r="D178" t="inlineStr">
        <is>
          <t>VÄSTERBOTTENS LÄN</t>
        </is>
      </c>
      <c r="E178" t="inlineStr">
        <is>
          <t>ÅSELE</t>
        </is>
      </c>
      <c r="G178" t="n">
        <v>13.5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55882-2020</t>
        </is>
      </c>
      <c r="B179" s="1" t="n">
        <v>44132</v>
      </c>
      <c r="C179" s="1" t="n">
        <v>45734</v>
      </c>
      <c r="D179" t="inlineStr">
        <is>
          <t>VÄSTERBOTTENS LÄN</t>
        </is>
      </c>
      <c r="E179" t="inlineStr">
        <is>
          <t>ÅSELE</t>
        </is>
      </c>
      <c r="G179" t="n">
        <v>3.9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55927-2020</t>
        </is>
      </c>
      <c r="B180" s="1" t="n">
        <v>44132</v>
      </c>
      <c r="C180" s="1" t="n">
        <v>45734</v>
      </c>
      <c r="D180" t="inlineStr">
        <is>
          <t>VÄSTERBOTTENS LÄN</t>
        </is>
      </c>
      <c r="E180" t="inlineStr">
        <is>
          <t>ÅSELE</t>
        </is>
      </c>
      <c r="F180" t="inlineStr">
        <is>
          <t>SCA</t>
        </is>
      </c>
      <c r="G180" t="n">
        <v>7.7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55929-2020</t>
        </is>
      </c>
      <c r="B181" s="1" t="n">
        <v>44132</v>
      </c>
      <c r="C181" s="1" t="n">
        <v>45734</v>
      </c>
      <c r="D181" t="inlineStr">
        <is>
          <t>VÄSTERBOTTENS LÄN</t>
        </is>
      </c>
      <c r="E181" t="inlineStr">
        <is>
          <t>ÅSELE</t>
        </is>
      </c>
      <c r="F181" t="inlineStr">
        <is>
          <t>SCA</t>
        </is>
      </c>
      <c r="G181" t="n">
        <v>13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56145-2020</t>
        </is>
      </c>
      <c r="B182" s="1" t="n">
        <v>44133</v>
      </c>
      <c r="C182" s="1" t="n">
        <v>45734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56827-2020</t>
        </is>
      </c>
      <c r="B183" s="1" t="n">
        <v>44134</v>
      </c>
      <c r="C183" s="1" t="n">
        <v>45734</v>
      </c>
      <c r="D183" t="inlineStr">
        <is>
          <t>VÄSTERBOTTENS LÄN</t>
        </is>
      </c>
      <c r="E183" t="inlineStr">
        <is>
          <t>ÅSELE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57865-2020</t>
        </is>
      </c>
      <c r="B184" s="1" t="n">
        <v>44141</v>
      </c>
      <c r="C184" s="1" t="n">
        <v>45734</v>
      </c>
      <c r="D184" t="inlineStr">
        <is>
          <t>VÄSTERBOTTENS LÄN</t>
        </is>
      </c>
      <c r="E184" t="inlineStr">
        <is>
          <t>ÅSELE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59309-2020</t>
        </is>
      </c>
      <c r="B185" s="1" t="n">
        <v>44147</v>
      </c>
      <c r="C185" s="1" t="n">
        <v>45734</v>
      </c>
      <c r="D185" t="inlineStr">
        <is>
          <t>VÄSTERBOTTENS LÄN</t>
        </is>
      </c>
      <c r="E185" t="inlineStr">
        <is>
          <t>ÅSELE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59307-2020</t>
        </is>
      </c>
      <c r="B186" s="1" t="n">
        <v>44147</v>
      </c>
      <c r="C186" s="1" t="n">
        <v>45734</v>
      </c>
      <c r="D186" t="inlineStr">
        <is>
          <t>VÄSTERBOTTENS LÄN</t>
        </is>
      </c>
      <c r="E186" t="inlineStr">
        <is>
          <t>ÅSELE</t>
        </is>
      </c>
      <c r="G186" t="n">
        <v>2.4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59585-2020</t>
        </is>
      </c>
      <c r="B187" s="1" t="n">
        <v>44148</v>
      </c>
      <c r="C187" s="1" t="n">
        <v>45734</v>
      </c>
      <c r="D187" t="inlineStr">
        <is>
          <t>VÄSTERBOTTENS LÄN</t>
        </is>
      </c>
      <c r="E187" t="inlineStr">
        <is>
          <t>ÅSELE</t>
        </is>
      </c>
      <c r="F187" t="inlineStr">
        <is>
          <t>Kommuner</t>
        </is>
      </c>
      <c r="G187" t="n">
        <v>4.3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60033-2020</t>
        </is>
      </c>
      <c r="B188" s="1" t="n">
        <v>44151</v>
      </c>
      <c r="C188" s="1" t="n">
        <v>45734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0.2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60032-2020</t>
        </is>
      </c>
      <c r="B189" s="1" t="n">
        <v>44151</v>
      </c>
      <c r="C189" s="1" t="n">
        <v>45734</v>
      </c>
      <c r="D189" t="inlineStr">
        <is>
          <t>VÄSTERBOTTENS LÄN</t>
        </is>
      </c>
      <c r="E189" t="inlineStr">
        <is>
          <t>ÅSELE</t>
        </is>
      </c>
      <c r="F189" t="inlineStr">
        <is>
          <t>SCA</t>
        </is>
      </c>
      <c r="G189" t="n">
        <v>2.5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60038-2020</t>
        </is>
      </c>
      <c r="B190" s="1" t="n">
        <v>44151</v>
      </c>
      <c r="C190" s="1" t="n">
        <v>45734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60596-2020</t>
        </is>
      </c>
      <c r="B191" s="1" t="n">
        <v>44152</v>
      </c>
      <c r="C191" s="1" t="n">
        <v>45734</v>
      </c>
      <c r="D191" t="inlineStr">
        <is>
          <t>VÄSTERBOTTENS LÄN</t>
        </is>
      </c>
      <c r="E191" t="inlineStr">
        <is>
          <t>ÅSELE</t>
        </is>
      </c>
      <c r="G191" t="n">
        <v>4.7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62886-2020</t>
        </is>
      </c>
      <c r="B192" s="1" t="n">
        <v>44161</v>
      </c>
      <c r="C192" s="1" t="n">
        <v>45734</v>
      </c>
      <c r="D192" t="inlineStr">
        <is>
          <t>VÄSTERBOTTENS LÄN</t>
        </is>
      </c>
      <c r="E192" t="inlineStr">
        <is>
          <t>ÅSELE</t>
        </is>
      </c>
      <c r="F192" t="inlineStr">
        <is>
          <t>SCA</t>
        </is>
      </c>
      <c r="G192" t="n">
        <v>3.2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63244-2020</t>
        </is>
      </c>
      <c r="B193" s="1" t="n">
        <v>44163</v>
      </c>
      <c r="C193" s="1" t="n">
        <v>45734</v>
      </c>
      <c r="D193" t="inlineStr">
        <is>
          <t>VÄSTERBOTTENS LÄN</t>
        </is>
      </c>
      <c r="E193" t="inlineStr">
        <is>
          <t>ÅSELE</t>
        </is>
      </c>
      <c r="G193" t="n">
        <v>4.4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63826-2020</t>
        </is>
      </c>
      <c r="B194" s="1" t="n">
        <v>44166</v>
      </c>
      <c r="C194" s="1" t="n">
        <v>45734</v>
      </c>
      <c r="D194" t="inlineStr">
        <is>
          <t>VÄSTERBOTTENS LÄN</t>
        </is>
      </c>
      <c r="E194" t="inlineStr">
        <is>
          <t>ÅSELE</t>
        </is>
      </c>
      <c r="F194" t="inlineStr">
        <is>
          <t>Sveaskog</t>
        </is>
      </c>
      <c r="G194" t="n">
        <v>12.5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64478-2020</t>
        </is>
      </c>
      <c r="B195" s="1" t="n">
        <v>44168</v>
      </c>
      <c r="C195" s="1" t="n">
        <v>45734</v>
      </c>
      <c r="D195" t="inlineStr">
        <is>
          <t>VÄSTERBOTTENS LÄN</t>
        </is>
      </c>
      <c r="E195" t="inlineStr">
        <is>
          <t>ÅSELE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64835-2020</t>
        </is>
      </c>
      <c r="B196" s="1" t="n">
        <v>44170</v>
      </c>
      <c r="C196" s="1" t="n">
        <v>45734</v>
      </c>
      <c r="D196" t="inlineStr">
        <is>
          <t>VÄSTERBOTTENS LÄN</t>
        </is>
      </c>
      <c r="E196" t="inlineStr">
        <is>
          <t>ÅSELE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64834-2020</t>
        </is>
      </c>
      <c r="B197" s="1" t="n">
        <v>44170</v>
      </c>
      <c r="C197" s="1" t="n">
        <v>45734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64875-2020</t>
        </is>
      </c>
      <c r="B198" s="1" t="n">
        <v>44171</v>
      </c>
      <c r="C198" s="1" t="n">
        <v>45734</v>
      </c>
      <c r="D198" t="inlineStr">
        <is>
          <t>VÄSTERBOTTENS LÄN</t>
        </is>
      </c>
      <c r="E198" t="inlineStr">
        <is>
          <t>ÅSELE</t>
        </is>
      </c>
      <c r="G198" t="n">
        <v>13.2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64881-2020</t>
        </is>
      </c>
      <c r="B199" s="1" t="n">
        <v>44171</v>
      </c>
      <c r="C199" s="1" t="n">
        <v>45734</v>
      </c>
      <c r="D199" t="inlineStr">
        <is>
          <t>VÄSTERBOTTENS LÄN</t>
        </is>
      </c>
      <c r="E199" t="inlineStr">
        <is>
          <t>ÅSELE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66079-2020</t>
        </is>
      </c>
      <c r="B200" s="1" t="n">
        <v>44175</v>
      </c>
      <c r="C200" s="1" t="n">
        <v>45734</v>
      </c>
      <c r="D200" t="inlineStr">
        <is>
          <t>VÄSTERBOTTENS LÄN</t>
        </is>
      </c>
      <c r="E200" t="inlineStr">
        <is>
          <t>ÅSELE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68798-2020</t>
        </is>
      </c>
      <c r="B201" s="1" t="n">
        <v>44186</v>
      </c>
      <c r="C201" s="1" t="n">
        <v>45734</v>
      </c>
      <c r="D201" t="inlineStr">
        <is>
          <t>VÄSTERBOTTENS LÄN</t>
        </is>
      </c>
      <c r="E201" t="inlineStr">
        <is>
          <t>ÅSELE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69423-2020</t>
        </is>
      </c>
      <c r="B202" s="1" t="n">
        <v>44193</v>
      </c>
      <c r="C202" s="1" t="n">
        <v>45734</v>
      </c>
      <c r="D202" t="inlineStr">
        <is>
          <t>VÄSTERBOTTENS LÄN</t>
        </is>
      </c>
      <c r="E202" t="inlineStr">
        <is>
          <t>ÅSELE</t>
        </is>
      </c>
      <c r="F202" t="inlineStr">
        <is>
          <t>SCA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974-2021</t>
        </is>
      </c>
      <c r="B203" s="1" t="n">
        <v>44207</v>
      </c>
      <c r="C203" s="1" t="n">
        <v>45734</v>
      </c>
      <c r="D203" t="inlineStr">
        <is>
          <t>VÄSTERBOTTENS LÄN</t>
        </is>
      </c>
      <c r="E203" t="inlineStr">
        <is>
          <t>ÅSELE</t>
        </is>
      </c>
      <c r="F203" t="inlineStr">
        <is>
          <t>Sveaskog</t>
        </is>
      </c>
      <c r="G203" t="n">
        <v>5.5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1820-2021</t>
        </is>
      </c>
      <c r="B204" s="1" t="n">
        <v>44210</v>
      </c>
      <c r="C204" s="1" t="n">
        <v>45734</v>
      </c>
      <c r="D204" t="inlineStr">
        <is>
          <t>VÄSTERBOTTENS LÄN</t>
        </is>
      </c>
      <c r="E204" t="inlineStr">
        <is>
          <t>ÅSELE</t>
        </is>
      </c>
      <c r="F204" t="inlineStr">
        <is>
          <t>Sveaskog</t>
        </is>
      </c>
      <c r="G204" t="n">
        <v>9.9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2407-2021</t>
        </is>
      </c>
      <c r="B205" s="1" t="n">
        <v>44211</v>
      </c>
      <c r="C205" s="1" t="n">
        <v>45734</v>
      </c>
      <c r="D205" t="inlineStr">
        <is>
          <t>VÄSTERBOTTENS LÄN</t>
        </is>
      </c>
      <c r="E205" t="inlineStr">
        <is>
          <t>ÅSELE</t>
        </is>
      </c>
      <c r="G205" t="n">
        <v>8.9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3567-2021</t>
        </is>
      </c>
      <c r="B206" s="1" t="n">
        <v>44218</v>
      </c>
      <c r="C206" s="1" t="n">
        <v>45734</v>
      </c>
      <c r="D206" t="inlineStr">
        <is>
          <t>VÄSTERBOTTENS LÄN</t>
        </is>
      </c>
      <c r="E206" t="inlineStr">
        <is>
          <t>ÅSELE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3566-2021</t>
        </is>
      </c>
      <c r="B207" s="1" t="n">
        <v>44218</v>
      </c>
      <c r="C207" s="1" t="n">
        <v>45734</v>
      </c>
      <c r="D207" t="inlineStr">
        <is>
          <t>VÄSTERBOTTENS LÄN</t>
        </is>
      </c>
      <c r="E207" t="inlineStr">
        <is>
          <t>ÅSELE</t>
        </is>
      </c>
      <c r="G207" t="n">
        <v>13.3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5597-2021</t>
        </is>
      </c>
      <c r="B208" s="1" t="n">
        <v>44230</v>
      </c>
      <c r="C208" s="1" t="n">
        <v>45734</v>
      </c>
      <c r="D208" t="inlineStr">
        <is>
          <t>VÄSTERBOTTENS LÄN</t>
        </is>
      </c>
      <c r="E208" t="inlineStr">
        <is>
          <t>ÅSELE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6011-2021</t>
        </is>
      </c>
      <c r="B209" s="1" t="n">
        <v>44231</v>
      </c>
      <c r="C209" s="1" t="n">
        <v>45734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6023-2021</t>
        </is>
      </c>
      <c r="B210" s="1" t="n">
        <v>44231</v>
      </c>
      <c r="C210" s="1" t="n">
        <v>45734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4.5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6022-2021</t>
        </is>
      </c>
      <c r="B211" s="1" t="n">
        <v>44231</v>
      </c>
      <c r="C211" s="1" t="n">
        <v>45734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21935-2021</t>
        </is>
      </c>
      <c r="B212" s="1" t="n">
        <v>44323</v>
      </c>
      <c r="C212" s="1" t="n">
        <v>45734</v>
      </c>
      <c r="D212" t="inlineStr">
        <is>
          <t>VÄSTERBOTTENS LÄN</t>
        </is>
      </c>
      <c r="E212" t="inlineStr">
        <is>
          <t>ÅSELE</t>
        </is>
      </c>
      <c r="F212" t="inlineStr">
        <is>
          <t>SCA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23022-2021</t>
        </is>
      </c>
      <c r="B213" s="1" t="n">
        <v>44328</v>
      </c>
      <c r="C213" s="1" t="n">
        <v>45734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25129-2021</t>
        </is>
      </c>
      <c r="B214" s="1" t="n">
        <v>44341</v>
      </c>
      <c r="C214" s="1" t="n">
        <v>45734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25816-2021</t>
        </is>
      </c>
      <c r="B215" s="1" t="n">
        <v>44344</v>
      </c>
      <c r="C215" s="1" t="n">
        <v>45734</v>
      </c>
      <c r="D215" t="inlineStr">
        <is>
          <t>VÄSTERBOTTENS LÄN</t>
        </is>
      </c>
      <c r="E215" t="inlineStr">
        <is>
          <t>ÅSELE</t>
        </is>
      </c>
      <c r="F215" t="inlineStr">
        <is>
          <t>SCA</t>
        </is>
      </c>
      <c r="G215" t="n">
        <v>7.2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26030-2021</t>
        </is>
      </c>
      <c r="B216" s="1" t="n">
        <v>44344</v>
      </c>
      <c r="C216" s="1" t="n">
        <v>45734</v>
      </c>
      <c r="D216" t="inlineStr">
        <is>
          <t>VÄSTERBOTTENS LÄN</t>
        </is>
      </c>
      <c r="E216" t="inlineStr">
        <is>
          <t>ÅSELE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26032-2021</t>
        </is>
      </c>
      <c r="B217" s="1" t="n">
        <v>44344</v>
      </c>
      <c r="C217" s="1" t="n">
        <v>45734</v>
      </c>
      <c r="D217" t="inlineStr">
        <is>
          <t>VÄSTERBOTTENS LÄN</t>
        </is>
      </c>
      <c r="E217" t="inlineStr">
        <is>
          <t>ÅSELE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27315-2021</t>
        </is>
      </c>
      <c r="B218" s="1" t="n">
        <v>44350</v>
      </c>
      <c r="C218" s="1" t="n">
        <v>45734</v>
      </c>
      <c r="D218" t="inlineStr">
        <is>
          <t>VÄSTERBOTTENS LÄN</t>
        </is>
      </c>
      <c r="E218" t="inlineStr">
        <is>
          <t>ÅSELE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27301-2021</t>
        </is>
      </c>
      <c r="B219" s="1" t="n">
        <v>44350</v>
      </c>
      <c r="C219" s="1" t="n">
        <v>45734</v>
      </c>
      <c r="D219" t="inlineStr">
        <is>
          <t>VÄSTERBOTTENS LÄN</t>
        </is>
      </c>
      <c r="E219" t="inlineStr">
        <is>
          <t>ÅSELE</t>
        </is>
      </c>
      <c r="F219" t="inlineStr">
        <is>
          <t>Övriga Aktiebolag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27432-2021</t>
        </is>
      </c>
      <c r="B220" s="1" t="n">
        <v>44351</v>
      </c>
      <c r="C220" s="1" t="n">
        <v>45734</v>
      </c>
      <c r="D220" t="inlineStr">
        <is>
          <t>VÄSTERBOTTENS LÄN</t>
        </is>
      </c>
      <c r="E220" t="inlineStr">
        <is>
          <t>ÅSELE</t>
        </is>
      </c>
      <c r="F220" t="inlineStr">
        <is>
          <t>Holmen skog AB</t>
        </is>
      </c>
      <c r="G220" t="n">
        <v>4.1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28608-2021</t>
        </is>
      </c>
      <c r="B221" s="1" t="n">
        <v>44356</v>
      </c>
      <c r="C221" s="1" t="n">
        <v>45734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13.2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28609-2021</t>
        </is>
      </c>
      <c r="B222" s="1" t="n">
        <v>44357</v>
      </c>
      <c r="C222" s="1" t="n">
        <v>45734</v>
      </c>
      <c r="D222" t="inlineStr">
        <is>
          <t>VÄSTERBOTTENS LÄN</t>
        </is>
      </c>
      <c r="E222" t="inlineStr">
        <is>
          <t>ÅSELE</t>
        </is>
      </c>
      <c r="F222" t="inlineStr">
        <is>
          <t>SCA</t>
        </is>
      </c>
      <c r="G222" t="n">
        <v>3.1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28610-2021</t>
        </is>
      </c>
      <c r="B223" s="1" t="n">
        <v>44357</v>
      </c>
      <c r="C223" s="1" t="n">
        <v>45734</v>
      </c>
      <c r="D223" t="inlineStr">
        <is>
          <t>VÄSTERBOTTENS LÄN</t>
        </is>
      </c>
      <c r="E223" t="inlineStr">
        <is>
          <t>ÅSELE</t>
        </is>
      </c>
      <c r="F223" t="inlineStr">
        <is>
          <t>SCA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31105-2021</t>
        </is>
      </c>
      <c r="B224" s="1" t="n">
        <v>44368</v>
      </c>
      <c r="C224" s="1" t="n">
        <v>45734</v>
      </c>
      <c r="D224" t="inlineStr">
        <is>
          <t>VÄSTERBOTTENS LÄN</t>
        </is>
      </c>
      <c r="E224" t="inlineStr">
        <is>
          <t>ÅSELE</t>
        </is>
      </c>
      <c r="F224" t="inlineStr">
        <is>
          <t>Holmen skog AB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32178-2021</t>
        </is>
      </c>
      <c r="B225" s="1" t="n">
        <v>44371</v>
      </c>
      <c r="C225" s="1" t="n">
        <v>45734</v>
      </c>
      <c r="D225" t="inlineStr">
        <is>
          <t>VÄSTERBOTTENS LÄN</t>
        </is>
      </c>
      <c r="E225" t="inlineStr">
        <is>
          <t>ÅSELE</t>
        </is>
      </c>
      <c r="F225" t="inlineStr">
        <is>
          <t>Holmen skog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33202-2021</t>
        </is>
      </c>
      <c r="B226" s="1" t="n">
        <v>44377</v>
      </c>
      <c r="C226" s="1" t="n">
        <v>45734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6.3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33219-2021</t>
        </is>
      </c>
      <c r="B227" s="1" t="n">
        <v>44377</v>
      </c>
      <c r="C227" s="1" t="n">
        <v>45734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3.9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33204-2021</t>
        </is>
      </c>
      <c r="B228" s="1" t="n">
        <v>44377</v>
      </c>
      <c r="C228" s="1" t="n">
        <v>45734</v>
      </c>
      <c r="D228" t="inlineStr">
        <is>
          <t>VÄSTERBOTTENS LÄN</t>
        </is>
      </c>
      <c r="E228" t="inlineStr">
        <is>
          <t>ÅSELE</t>
        </is>
      </c>
      <c r="F228" t="inlineStr">
        <is>
          <t>SCA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33220-2021</t>
        </is>
      </c>
      <c r="B229" s="1" t="n">
        <v>44377</v>
      </c>
      <c r="C229" s="1" t="n">
        <v>45734</v>
      </c>
      <c r="D229" t="inlineStr">
        <is>
          <t>VÄSTERBOTTENS LÄN</t>
        </is>
      </c>
      <c r="E229" t="inlineStr">
        <is>
          <t>ÅSELE</t>
        </is>
      </c>
      <c r="F229" t="inlineStr">
        <is>
          <t>SCA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33524-2021</t>
        </is>
      </c>
      <c r="B230" s="1" t="n">
        <v>44377</v>
      </c>
      <c r="C230" s="1" t="n">
        <v>45734</v>
      </c>
      <c r="D230" t="inlineStr">
        <is>
          <t>VÄSTERBOTTENS LÄN</t>
        </is>
      </c>
      <c r="E230" t="inlineStr">
        <is>
          <t>ÅSELE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33523-2021</t>
        </is>
      </c>
      <c r="B231" s="1" t="n">
        <v>44377</v>
      </c>
      <c r="C231" s="1" t="n">
        <v>45734</v>
      </c>
      <c r="D231" t="inlineStr">
        <is>
          <t>VÄSTERBOTTENS LÄN</t>
        </is>
      </c>
      <c r="E231" t="inlineStr">
        <is>
          <t>ÅSELE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33571-2021</t>
        </is>
      </c>
      <c r="B232" s="1" t="n">
        <v>44377</v>
      </c>
      <c r="C232" s="1" t="n">
        <v>45734</v>
      </c>
      <c r="D232" t="inlineStr">
        <is>
          <t>VÄSTERBOTTENS LÄN</t>
        </is>
      </c>
      <c r="E232" t="inlineStr">
        <is>
          <t>ÅSELE</t>
        </is>
      </c>
      <c r="F232" t="inlineStr">
        <is>
          <t>SCA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33567-2021</t>
        </is>
      </c>
      <c r="B233" s="1" t="n">
        <v>44378</v>
      </c>
      <c r="C233" s="1" t="n">
        <v>45734</v>
      </c>
      <c r="D233" t="inlineStr">
        <is>
          <t>VÄSTERBOTTENS LÄN</t>
        </is>
      </c>
      <c r="E233" t="inlineStr">
        <is>
          <t>ÅSELE</t>
        </is>
      </c>
      <c r="F233" t="inlineStr">
        <is>
          <t>SCA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34089-2021</t>
        </is>
      </c>
      <c r="B234" s="1" t="n">
        <v>44379</v>
      </c>
      <c r="C234" s="1" t="n">
        <v>45734</v>
      </c>
      <c r="D234" t="inlineStr">
        <is>
          <t>VÄSTERBOTTENS LÄN</t>
        </is>
      </c>
      <c r="E234" t="inlineStr">
        <is>
          <t>ÅSELE</t>
        </is>
      </c>
      <c r="F234" t="inlineStr">
        <is>
          <t>Holmen skog AB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34189-2021</t>
        </is>
      </c>
      <c r="B235" s="1" t="n">
        <v>44379</v>
      </c>
      <c r="C235" s="1" t="n">
        <v>45734</v>
      </c>
      <c r="D235" t="inlineStr">
        <is>
          <t>VÄSTERBOTTENS LÄN</t>
        </is>
      </c>
      <c r="E235" t="inlineStr">
        <is>
          <t>ÅSELE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34471-2021</t>
        </is>
      </c>
      <c r="B236" s="1" t="n">
        <v>44381</v>
      </c>
      <c r="C236" s="1" t="n">
        <v>45734</v>
      </c>
      <c r="D236" t="inlineStr">
        <is>
          <t>VÄSTERBOTTENS LÄN</t>
        </is>
      </c>
      <c r="E236" t="inlineStr">
        <is>
          <t>ÅSELE</t>
        </is>
      </c>
      <c r="G236" t="n">
        <v>8.1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34470-2021</t>
        </is>
      </c>
      <c r="B237" s="1" t="n">
        <v>44382</v>
      </c>
      <c r="C237" s="1" t="n">
        <v>45734</v>
      </c>
      <c r="D237" t="inlineStr">
        <is>
          <t>VÄSTERBOTTENS LÄN</t>
        </is>
      </c>
      <c r="E237" t="inlineStr">
        <is>
          <t>ÅSELE</t>
        </is>
      </c>
      <c r="G237" t="n">
        <v>5.7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35561-2021</t>
        </is>
      </c>
      <c r="B238" s="1" t="n">
        <v>44386</v>
      </c>
      <c r="C238" s="1" t="n">
        <v>45734</v>
      </c>
      <c r="D238" t="inlineStr">
        <is>
          <t>VÄSTERBOTTENS LÄN</t>
        </is>
      </c>
      <c r="E238" t="inlineStr">
        <is>
          <t>ÅSELE</t>
        </is>
      </c>
      <c r="F238" t="inlineStr">
        <is>
          <t>SCA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35779-2021</t>
        </is>
      </c>
      <c r="B239" s="1" t="n">
        <v>44386</v>
      </c>
      <c r="C239" s="1" t="n">
        <v>45734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4.5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35754-2021</t>
        </is>
      </c>
      <c r="B240" s="1" t="n">
        <v>44386</v>
      </c>
      <c r="C240" s="1" t="n">
        <v>45734</v>
      </c>
      <c r="D240" t="inlineStr">
        <is>
          <t>VÄSTERBOTTENS LÄN</t>
        </is>
      </c>
      <c r="E240" t="inlineStr">
        <is>
          <t>ÅSELE</t>
        </is>
      </c>
      <c r="F240" t="inlineStr">
        <is>
          <t>Holmen skog AB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35745-2021</t>
        </is>
      </c>
      <c r="B241" s="1" t="n">
        <v>44386</v>
      </c>
      <c r="C241" s="1" t="n">
        <v>45734</v>
      </c>
      <c r="D241" t="inlineStr">
        <is>
          <t>VÄSTERBOTTENS LÄN</t>
        </is>
      </c>
      <c r="E241" t="inlineStr">
        <is>
          <t>ÅSELE</t>
        </is>
      </c>
      <c r="F241" t="inlineStr">
        <is>
          <t>Holmen skog AB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36452-2021</t>
        </is>
      </c>
      <c r="B242" s="1" t="n">
        <v>44391</v>
      </c>
      <c r="C242" s="1" t="n">
        <v>45734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12.8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36460-2021</t>
        </is>
      </c>
      <c r="B243" s="1" t="n">
        <v>44390</v>
      </c>
      <c r="C243" s="1" t="n">
        <v>45734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4.2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36449-2021</t>
        </is>
      </c>
      <c r="B244" s="1" t="n">
        <v>44391</v>
      </c>
      <c r="C244" s="1" t="n">
        <v>45734</v>
      </c>
      <c r="D244" t="inlineStr">
        <is>
          <t>VÄSTERBOTTENS LÄN</t>
        </is>
      </c>
      <c r="E244" t="inlineStr">
        <is>
          <t>ÅSELE</t>
        </is>
      </c>
      <c r="F244" t="inlineStr">
        <is>
          <t>SCA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36450-2021</t>
        </is>
      </c>
      <c r="B245" s="1" t="n">
        <v>44390</v>
      </c>
      <c r="C245" s="1" t="n">
        <v>45734</v>
      </c>
      <c r="D245" t="inlineStr">
        <is>
          <t>VÄSTERBOTTENS LÄN</t>
        </is>
      </c>
      <c r="E245" t="inlineStr">
        <is>
          <t>ÅSELE</t>
        </is>
      </c>
      <c r="F245" t="inlineStr">
        <is>
          <t>SCA</t>
        </is>
      </c>
      <c r="G245" t="n">
        <v>3.5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36676-2021</t>
        </is>
      </c>
      <c r="B246" s="1" t="n">
        <v>44392</v>
      </c>
      <c r="C246" s="1" t="n">
        <v>45734</v>
      </c>
      <c r="D246" t="inlineStr">
        <is>
          <t>VÄSTERBOTTENS LÄN</t>
        </is>
      </c>
      <c r="E246" t="inlineStr">
        <is>
          <t>ÅSELE</t>
        </is>
      </c>
      <c r="F246" t="inlineStr">
        <is>
          <t>Holmen skog AB</t>
        </is>
      </c>
      <c r="G246" t="n">
        <v>3.9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36927-2021</t>
        </is>
      </c>
      <c r="B247" s="1" t="n">
        <v>44393</v>
      </c>
      <c r="C247" s="1" t="n">
        <v>45734</v>
      </c>
      <c r="D247" t="inlineStr">
        <is>
          <t>VÄSTERBOTTENS LÄN</t>
        </is>
      </c>
      <c r="E247" t="inlineStr">
        <is>
          <t>ÅSELE</t>
        </is>
      </c>
      <c r="F247" t="inlineStr">
        <is>
          <t>Sveaskog</t>
        </is>
      </c>
      <c r="G247" t="n">
        <v>8.800000000000001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36940-2021</t>
        </is>
      </c>
      <c r="B248" s="1" t="n">
        <v>44393</v>
      </c>
      <c r="C248" s="1" t="n">
        <v>45734</v>
      </c>
      <c r="D248" t="inlineStr">
        <is>
          <t>VÄSTERBOTTENS LÄN</t>
        </is>
      </c>
      <c r="E248" t="inlineStr">
        <is>
          <t>ÅSELE</t>
        </is>
      </c>
      <c r="F248" t="inlineStr">
        <is>
          <t>Sveaskog</t>
        </is>
      </c>
      <c r="G248" t="n">
        <v>19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37483-2021</t>
        </is>
      </c>
      <c r="B249" s="1" t="n">
        <v>44399</v>
      </c>
      <c r="C249" s="1" t="n">
        <v>45734</v>
      </c>
      <c r="D249" t="inlineStr">
        <is>
          <t>VÄSTERBOTTENS LÄN</t>
        </is>
      </c>
      <c r="E249" t="inlineStr">
        <is>
          <t>ÅSELE</t>
        </is>
      </c>
      <c r="F249" t="inlineStr">
        <is>
          <t>SCA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37964-2021</t>
        </is>
      </c>
      <c r="B250" s="1" t="n">
        <v>44404</v>
      </c>
      <c r="C250" s="1" t="n">
        <v>45734</v>
      </c>
      <c r="D250" t="inlineStr">
        <is>
          <t>VÄSTERBOTTENS LÄN</t>
        </is>
      </c>
      <c r="E250" t="inlineStr">
        <is>
          <t>ÅSELE</t>
        </is>
      </c>
      <c r="F250" t="inlineStr">
        <is>
          <t>SCA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38475-2021</t>
        </is>
      </c>
      <c r="B251" s="1" t="n">
        <v>44407</v>
      </c>
      <c r="C251" s="1" t="n">
        <v>45734</v>
      </c>
      <c r="D251" t="inlineStr">
        <is>
          <t>VÄSTERBOTTENS LÄN</t>
        </is>
      </c>
      <c r="E251" t="inlineStr">
        <is>
          <t>ÅSELE</t>
        </is>
      </c>
      <c r="F251" t="inlineStr">
        <is>
          <t>Naturvårdsverket</t>
        </is>
      </c>
      <c r="G251" t="n">
        <v>4.5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38472-2021</t>
        </is>
      </c>
      <c r="B252" s="1" t="n">
        <v>44407</v>
      </c>
      <c r="C252" s="1" t="n">
        <v>45734</v>
      </c>
      <c r="D252" t="inlineStr">
        <is>
          <t>VÄSTERBOTTENS LÄN</t>
        </is>
      </c>
      <c r="E252" t="inlineStr">
        <is>
          <t>ÅSELE</t>
        </is>
      </c>
      <c r="F252" t="inlineStr">
        <is>
          <t>Holmen skog AB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38590-2021</t>
        </is>
      </c>
      <c r="B253" s="1" t="n">
        <v>44407</v>
      </c>
      <c r="C253" s="1" t="n">
        <v>45734</v>
      </c>
      <c r="D253" t="inlineStr">
        <is>
          <t>VÄSTERBOTTENS LÄN</t>
        </is>
      </c>
      <c r="E253" t="inlineStr">
        <is>
          <t>ÅSELE</t>
        </is>
      </c>
      <c r="F253" t="inlineStr">
        <is>
          <t>SCA</t>
        </is>
      </c>
      <c r="G253" t="n">
        <v>107.3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39938-2021</t>
        </is>
      </c>
      <c r="B254" s="1" t="n">
        <v>44417</v>
      </c>
      <c r="C254" s="1" t="n">
        <v>45734</v>
      </c>
      <c r="D254" t="inlineStr">
        <is>
          <t>VÄSTERBOTTENS LÄN</t>
        </is>
      </c>
      <c r="E254" t="inlineStr">
        <is>
          <t>ÅSELE</t>
        </is>
      </c>
      <c r="F254" t="inlineStr">
        <is>
          <t>SCA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40133-2021</t>
        </is>
      </c>
      <c r="B255" s="1" t="n">
        <v>44418</v>
      </c>
      <c r="C255" s="1" t="n">
        <v>45734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40503-2021</t>
        </is>
      </c>
      <c r="B256" s="1" t="n">
        <v>44420</v>
      </c>
      <c r="C256" s="1" t="n">
        <v>45734</v>
      </c>
      <c r="D256" t="inlineStr">
        <is>
          <t>VÄSTERBOTTENS LÄN</t>
        </is>
      </c>
      <c r="E256" t="inlineStr">
        <is>
          <t>ÅSELE</t>
        </is>
      </c>
      <c r="F256" t="inlineStr">
        <is>
          <t>Holmen skog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40560-2021</t>
        </is>
      </c>
      <c r="B257" s="1" t="n">
        <v>44420</v>
      </c>
      <c r="C257" s="1" t="n">
        <v>45734</v>
      </c>
      <c r="D257" t="inlineStr">
        <is>
          <t>VÄSTERBOTTENS LÄN</t>
        </is>
      </c>
      <c r="E257" t="inlineStr">
        <is>
          <t>ÅSELE</t>
        </is>
      </c>
      <c r="F257" t="inlineStr">
        <is>
          <t>Holmen skog AB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40755-2021</t>
        </is>
      </c>
      <c r="B258" s="1" t="n">
        <v>44420</v>
      </c>
      <c r="C258" s="1" t="n">
        <v>45734</v>
      </c>
      <c r="D258" t="inlineStr">
        <is>
          <t>VÄSTERBOTTENS LÄN</t>
        </is>
      </c>
      <c r="E258" t="inlineStr">
        <is>
          <t>ÅSELE</t>
        </is>
      </c>
      <c r="F258" t="inlineStr">
        <is>
          <t>Naturvårdsverket</t>
        </is>
      </c>
      <c r="G258" t="n">
        <v>21.9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41456-2021</t>
        </is>
      </c>
      <c r="B259" s="1" t="n">
        <v>44424</v>
      </c>
      <c r="C259" s="1" t="n">
        <v>45734</v>
      </c>
      <c r="D259" t="inlineStr">
        <is>
          <t>VÄSTERBOTTENS LÄN</t>
        </is>
      </c>
      <c r="E259" t="inlineStr">
        <is>
          <t>ÅSELE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42180-2021</t>
        </is>
      </c>
      <c r="B260" s="1" t="n">
        <v>44426</v>
      </c>
      <c r="C260" s="1" t="n">
        <v>45734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42193-2021</t>
        </is>
      </c>
      <c r="B261" s="1" t="n">
        <v>44426</v>
      </c>
      <c r="C261" s="1" t="n">
        <v>45734</v>
      </c>
      <c r="D261" t="inlineStr">
        <is>
          <t>VÄSTERBOTTENS LÄN</t>
        </is>
      </c>
      <c r="E261" t="inlineStr">
        <is>
          <t>ÅSELE</t>
        </is>
      </c>
      <c r="G261" t="n">
        <v>10.1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42183-2021</t>
        </is>
      </c>
      <c r="B262" s="1" t="n">
        <v>44426</v>
      </c>
      <c r="C262" s="1" t="n">
        <v>45734</v>
      </c>
      <c r="D262" t="inlineStr">
        <is>
          <t>VÄSTERBOTTENS LÄN</t>
        </is>
      </c>
      <c r="E262" t="inlineStr">
        <is>
          <t>ÅSELE</t>
        </is>
      </c>
      <c r="F262" t="inlineStr">
        <is>
          <t>Sveaskog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42568-2021</t>
        </is>
      </c>
      <c r="B263" s="1" t="n">
        <v>44428</v>
      </c>
      <c r="C263" s="1" t="n">
        <v>45734</v>
      </c>
      <c r="D263" t="inlineStr">
        <is>
          <t>VÄSTERBOTTENS LÄN</t>
        </is>
      </c>
      <c r="E263" t="inlineStr">
        <is>
          <t>ÅSELE</t>
        </is>
      </c>
      <c r="F263" t="inlineStr">
        <is>
          <t>Holmen skog AB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43494-2021</t>
        </is>
      </c>
      <c r="B264" s="1" t="n">
        <v>44433</v>
      </c>
      <c r="C264" s="1" t="n">
        <v>45734</v>
      </c>
      <c r="D264" t="inlineStr">
        <is>
          <t>VÄSTERBOTTENS LÄN</t>
        </is>
      </c>
      <c r="E264" t="inlineStr">
        <is>
          <t>ÅSELE</t>
        </is>
      </c>
      <c r="F264" t="inlineStr">
        <is>
          <t>SCA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43737-2021</t>
        </is>
      </c>
      <c r="B265" s="1" t="n">
        <v>44433</v>
      </c>
      <c r="C265" s="1" t="n">
        <v>45734</v>
      </c>
      <c r="D265" t="inlineStr">
        <is>
          <t>VÄSTERBOTTENS LÄN</t>
        </is>
      </c>
      <c r="E265" t="inlineStr">
        <is>
          <t>ÅSELE</t>
        </is>
      </c>
      <c r="F265" t="inlineStr">
        <is>
          <t>Naturvårdsverket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44820-2021</t>
        </is>
      </c>
      <c r="B266" s="1" t="n">
        <v>44438</v>
      </c>
      <c r="C266" s="1" t="n">
        <v>45734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44869-2021</t>
        </is>
      </c>
      <c r="B267" s="1" t="n">
        <v>44438</v>
      </c>
      <c r="C267" s="1" t="n">
        <v>45734</v>
      </c>
      <c r="D267" t="inlineStr">
        <is>
          <t>VÄSTERBOTTENS LÄN</t>
        </is>
      </c>
      <c r="E267" t="inlineStr">
        <is>
          <t>ÅSELE</t>
        </is>
      </c>
      <c r="F267" t="inlineStr">
        <is>
          <t>Holmen skog AB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48082-2021</t>
        </is>
      </c>
      <c r="B268" s="1" t="n">
        <v>44449</v>
      </c>
      <c r="C268" s="1" t="n">
        <v>45734</v>
      </c>
      <c r="D268" t="inlineStr">
        <is>
          <t>VÄSTERBOTTENS LÄN</t>
        </is>
      </c>
      <c r="E268" t="inlineStr">
        <is>
          <t>ÅSELE</t>
        </is>
      </c>
      <c r="F268" t="inlineStr">
        <is>
          <t>Holmen skog AB</t>
        </is>
      </c>
      <c r="G268" t="n">
        <v>9.800000000000001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48031-2021</t>
        </is>
      </c>
      <c r="B269" s="1" t="n">
        <v>44449</v>
      </c>
      <c r="C269" s="1" t="n">
        <v>45734</v>
      </c>
      <c r="D269" t="inlineStr">
        <is>
          <t>VÄSTERBOTTENS LÄN</t>
        </is>
      </c>
      <c r="E269" t="inlineStr">
        <is>
          <t>ÅSELE</t>
        </is>
      </c>
      <c r="F269" t="inlineStr">
        <is>
          <t>Sveaskog</t>
        </is>
      </c>
      <c r="G269" t="n">
        <v>3.9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48830-2021</t>
        </is>
      </c>
      <c r="B270" s="1" t="n">
        <v>44453</v>
      </c>
      <c r="C270" s="1" t="n">
        <v>45734</v>
      </c>
      <c r="D270" t="inlineStr">
        <is>
          <t>VÄSTERBOTTENS LÄN</t>
        </is>
      </c>
      <c r="E270" t="inlineStr">
        <is>
          <t>ÅSELE</t>
        </is>
      </c>
      <c r="G270" t="n">
        <v>5.6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49803-2021</t>
        </is>
      </c>
      <c r="B271" s="1" t="n">
        <v>44455</v>
      </c>
      <c r="C271" s="1" t="n">
        <v>45734</v>
      </c>
      <c r="D271" t="inlineStr">
        <is>
          <t>VÄSTERBOTTENS LÄN</t>
        </is>
      </c>
      <c r="E271" t="inlineStr">
        <is>
          <t>ÅSELE</t>
        </is>
      </c>
      <c r="F271" t="inlineStr">
        <is>
          <t>Holmen skog AB</t>
        </is>
      </c>
      <c r="G271" t="n">
        <v>13.7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50424-2021</t>
        </is>
      </c>
      <c r="B272" s="1" t="n">
        <v>44459</v>
      </c>
      <c r="C272" s="1" t="n">
        <v>45734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54098-2021</t>
        </is>
      </c>
      <c r="B273" s="1" t="n">
        <v>44470</v>
      </c>
      <c r="C273" s="1" t="n">
        <v>45734</v>
      </c>
      <c r="D273" t="inlineStr">
        <is>
          <t>VÄSTERBOTTENS LÄN</t>
        </is>
      </c>
      <c r="E273" t="inlineStr">
        <is>
          <t>ÅSELE</t>
        </is>
      </c>
      <c r="F273" t="inlineStr">
        <is>
          <t>Sveaskog</t>
        </is>
      </c>
      <c r="G273" t="n">
        <v>18.6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54136-2021</t>
        </is>
      </c>
      <c r="B274" s="1" t="n">
        <v>44470</v>
      </c>
      <c r="C274" s="1" t="n">
        <v>45734</v>
      </c>
      <c r="D274" t="inlineStr">
        <is>
          <t>VÄSTERBOTTENS LÄN</t>
        </is>
      </c>
      <c r="E274" t="inlineStr">
        <is>
          <t>ÅSELE</t>
        </is>
      </c>
      <c r="F274" t="inlineStr">
        <is>
          <t>Holmen skog AB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54432-2021</t>
        </is>
      </c>
      <c r="B275" s="1" t="n">
        <v>44472</v>
      </c>
      <c r="C275" s="1" t="n">
        <v>45734</v>
      </c>
      <c r="D275" t="inlineStr">
        <is>
          <t>VÄSTERBOTTENS LÄN</t>
        </is>
      </c>
      <c r="E275" t="inlineStr">
        <is>
          <t>ÅSELE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54624-2021</t>
        </is>
      </c>
      <c r="B276" s="1" t="n">
        <v>44473</v>
      </c>
      <c r="C276" s="1" t="n">
        <v>45734</v>
      </c>
      <c r="D276" t="inlineStr">
        <is>
          <t>VÄSTERBOTTENS LÄN</t>
        </is>
      </c>
      <c r="E276" t="inlineStr">
        <is>
          <t>ÅSELE</t>
        </is>
      </c>
      <c r="F276" t="inlineStr">
        <is>
          <t>Sveaskog</t>
        </is>
      </c>
      <c r="G276" t="n">
        <v>4.1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54619-2021</t>
        </is>
      </c>
      <c r="B277" s="1" t="n">
        <v>44473</v>
      </c>
      <c r="C277" s="1" t="n">
        <v>45734</v>
      </c>
      <c r="D277" t="inlineStr">
        <is>
          <t>VÄSTERBOTTENS LÄN</t>
        </is>
      </c>
      <c r="E277" t="inlineStr">
        <is>
          <t>ÅSELE</t>
        </is>
      </c>
      <c r="F277" t="inlineStr">
        <is>
          <t>Sveaskog</t>
        </is>
      </c>
      <c r="G277" t="n">
        <v>14.2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54911-2021</t>
        </is>
      </c>
      <c r="B278" s="1" t="n">
        <v>44474</v>
      </c>
      <c r="C278" s="1" t="n">
        <v>45734</v>
      </c>
      <c r="D278" t="inlineStr">
        <is>
          <t>VÄSTERBOTTENS LÄN</t>
        </is>
      </c>
      <c r="E278" t="inlineStr">
        <is>
          <t>ÅSELE</t>
        </is>
      </c>
      <c r="F278" t="inlineStr">
        <is>
          <t>Holmen skog AB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55921-2021</t>
        </is>
      </c>
      <c r="B279" s="1" t="n">
        <v>44476</v>
      </c>
      <c r="C279" s="1" t="n">
        <v>45734</v>
      </c>
      <c r="D279" t="inlineStr">
        <is>
          <t>VÄSTERBOTTENS LÄN</t>
        </is>
      </c>
      <c r="E279" t="inlineStr">
        <is>
          <t>ÅSELE</t>
        </is>
      </c>
      <c r="F279" t="inlineStr">
        <is>
          <t>SCA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55922-2021</t>
        </is>
      </c>
      <c r="B280" s="1" t="n">
        <v>44476</v>
      </c>
      <c r="C280" s="1" t="n">
        <v>45734</v>
      </c>
      <c r="D280" t="inlineStr">
        <is>
          <t>VÄSTERBOTTENS LÄN</t>
        </is>
      </c>
      <c r="E280" t="inlineStr">
        <is>
          <t>ÅSELE</t>
        </is>
      </c>
      <c r="F280" t="inlineStr">
        <is>
          <t>SCA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55984-2021</t>
        </is>
      </c>
      <c r="B281" s="1" t="n">
        <v>44477</v>
      </c>
      <c r="C281" s="1" t="n">
        <v>45734</v>
      </c>
      <c r="D281" t="inlineStr">
        <is>
          <t>VÄSTERBOTTENS LÄN</t>
        </is>
      </c>
      <c r="E281" t="inlineStr">
        <is>
          <t>ÅSELE</t>
        </is>
      </c>
      <c r="F281" t="inlineStr">
        <is>
          <t>Holmen skog AB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56060-2021</t>
        </is>
      </c>
      <c r="B282" s="1" t="n">
        <v>44477</v>
      </c>
      <c r="C282" s="1" t="n">
        <v>45734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57311-2021</t>
        </is>
      </c>
      <c r="B283" s="1" t="n">
        <v>44483</v>
      </c>
      <c r="C283" s="1" t="n">
        <v>45734</v>
      </c>
      <c r="D283" t="inlineStr">
        <is>
          <t>VÄSTERBOTTENS LÄN</t>
        </is>
      </c>
      <c r="E283" t="inlineStr">
        <is>
          <t>ÅSELE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58674-2021</t>
        </is>
      </c>
      <c r="B284" s="1" t="n">
        <v>44489</v>
      </c>
      <c r="C284" s="1" t="n">
        <v>45734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5.2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59206-2021</t>
        </is>
      </c>
      <c r="B285" s="1" t="n">
        <v>44490</v>
      </c>
      <c r="C285" s="1" t="n">
        <v>45734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59249-2021</t>
        </is>
      </c>
      <c r="B286" s="1" t="n">
        <v>44490</v>
      </c>
      <c r="C286" s="1" t="n">
        <v>45734</v>
      </c>
      <c r="D286" t="inlineStr">
        <is>
          <t>VÄSTERBOTTENS LÄN</t>
        </is>
      </c>
      <c r="E286" t="inlineStr">
        <is>
          <t>ÅSELE</t>
        </is>
      </c>
      <c r="F286" t="inlineStr">
        <is>
          <t>Holmen skog AB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60413-2021</t>
        </is>
      </c>
      <c r="B287" s="1" t="n">
        <v>44496</v>
      </c>
      <c r="C287" s="1" t="n">
        <v>45734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60514-2021</t>
        </is>
      </c>
      <c r="B288" s="1" t="n">
        <v>44496</v>
      </c>
      <c r="C288" s="1" t="n">
        <v>45734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20.9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60575-2021</t>
        </is>
      </c>
      <c r="B289" s="1" t="n">
        <v>44496</v>
      </c>
      <c r="C289" s="1" t="n">
        <v>45734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4.6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60517-2021</t>
        </is>
      </c>
      <c r="B290" s="1" t="n">
        <v>44496</v>
      </c>
      <c r="C290" s="1" t="n">
        <v>45734</v>
      </c>
      <c r="D290" t="inlineStr">
        <is>
          <t>VÄSTERBOTTENS LÄN</t>
        </is>
      </c>
      <c r="E290" t="inlineStr">
        <is>
          <t>ÅSELE</t>
        </is>
      </c>
      <c r="F290" t="inlineStr">
        <is>
          <t>Sveaskog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60524-2021</t>
        </is>
      </c>
      <c r="B291" s="1" t="n">
        <v>44496</v>
      </c>
      <c r="C291" s="1" t="n">
        <v>45734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1.3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61023-2021</t>
        </is>
      </c>
      <c r="B292" s="1" t="n">
        <v>44497</v>
      </c>
      <c r="C292" s="1" t="n">
        <v>45734</v>
      </c>
      <c r="D292" t="inlineStr">
        <is>
          <t>VÄSTERBOTTENS LÄN</t>
        </is>
      </c>
      <c r="E292" t="inlineStr">
        <is>
          <t>ÅSELE</t>
        </is>
      </c>
      <c r="F292" t="inlineStr">
        <is>
          <t>Holmen skog AB</t>
        </is>
      </c>
      <c r="G292" t="n">
        <v>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60984-2021</t>
        </is>
      </c>
      <c r="B293" s="1" t="n">
        <v>44497</v>
      </c>
      <c r="C293" s="1" t="n">
        <v>45734</v>
      </c>
      <c r="D293" t="inlineStr">
        <is>
          <t>VÄSTERBOTTENS LÄN</t>
        </is>
      </c>
      <c r="E293" t="inlineStr">
        <is>
          <t>ÅSELE</t>
        </is>
      </c>
      <c r="F293" t="inlineStr">
        <is>
          <t>Holmen skog AB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61289-2021</t>
        </is>
      </c>
      <c r="B294" s="1" t="n">
        <v>44498</v>
      </c>
      <c r="C294" s="1" t="n">
        <v>45734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3.3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61296-2021</t>
        </is>
      </c>
      <c r="B295" s="1" t="n">
        <v>44498</v>
      </c>
      <c r="C295" s="1" t="n">
        <v>45734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12.2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61295-2021</t>
        </is>
      </c>
      <c r="B296" s="1" t="n">
        <v>44498</v>
      </c>
      <c r="C296" s="1" t="n">
        <v>45734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13.4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61299-2021</t>
        </is>
      </c>
      <c r="B297" s="1" t="n">
        <v>44498</v>
      </c>
      <c r="C297" s="1" t="n">
        <v>45734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5.8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61297-2021</t>
        </is>
      </c>
      <c r="B298" s="1" t="n">
        <v>44498</v>
      </c>
      <c r="C298" s="1" t="n">
        <v>45734</v>
      </c>
      <c r="D298" t="inlineStr">
        <is>
          <t>VÄSTERBOTTENS LÄN</t>
        </is>
      </c>
      <c r="E298" t="inlineStr">
        <is>
          <t>ÅSELE</t>
        </is>
      </c>
      <c r="F298" t="inlineStr">
        <is>
          <t>Sveaskog</t>
        </is>
      </c>
      <c r="G298" t="n">
        <v>3.5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61542-2021</t>
        </is>
      </c>
      <c r="B299" s="1" t="n">
        <v>44501</v>
      </c>
      <c r="C299" s="1" t="n">
        <v>45734</v>
      </c>
      <c r="D299" t="inlineStr">
        <is>
          <t>VÄSTERBOTTENS LÄN</t>
        </is>
      </c>
      <c r="E299" t="inlineStr">
        <is>
          <t>ÅSELE</t>
        </is>
      </c>
      <c r="F299" t="inlineStr">
        <is>
          <t>Sveaskog</t>
        </is>
      </c>
      <c r="G299" t="n">
        <v>16.1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62268-2021</t>
        </is>
      </c>
      <c r="B300" s="1" t="n">
        <v>44503</v>
      </c>
      <c r="C300" s="1" t="n">
        <v>45734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6.5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62534-2021</t>
        </is>
      </c>
      <c r="B301" s="1" t="n">
        <v>44503</v>
      </c>
      <c r="C301" s="1" t="n">
        <v>45734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62545-2021</t>
        </is>
      </c>
      <c r="B302" s="1" t="n">
        <v>44503</v>
      </c>
      <c r="C302" s="1" t="n">
        <v>45734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62993-2021</t>
        </is>
      </c>
      <c r="B303" s="1" t="n">
        <v>44505</v>
      </c>
      <c r="C303" s="1" t="n">
        <v>45734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62975-2021</t>
        </is>
      </c>
      <c r="B304" s="1" t="n">
        <v>44505</v>
      </c>
      <c r="C304" s="1" t="n">
        <v>45734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2.1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63026-2021</t>
        </is>
      </c>
      <c r="B305" s="1" t="n">
        <v>44505</v>
      </c>
      <c r="C305" s="1" t="n">
        <v>45734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64075-2021</t>
        </is>
      </c>
      <c r="B306" s="1" t="n">
        <v>44510</v>
      </c>
      <c r="C306" s="1" t="n">
        <v>45734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64666-2021</t>
        </is>
      </c>
      <c r="B307" s="1" t="n">
        <v>44512</v>
      </c>
      <c r="C307" s="1" t="n">
        <v>45734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3.4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65502-2021</t>
        </is>
      </c>
      <c r="B308" s="1" t="n">
        <v>44516</v>
      </c>
      <c r="C308" s="1" t="n">
        <v>45734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3.3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65478-2021</t>
        </is>
      </c>
      <c r="B309" s="1" t="n">
        <v>44516</v>
      </c>
      <c r="C309" s="1" t="n">
        <v>45734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66188-2021</t>
        </is>
      </c>
      <c r="B310" s="1" t="n">
        <v>44518</v>
      </c>
      <c r="C310" s="1" t="n">
        <v>45734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66557-2021</t>
        </is>
      </c>
      <c r="B311" s="1" t="n">
        <v>44519</v>
      </c>
      <c r="C311" s="1" t="n">
        <v>45734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66514-2021</t>
        </is>
      </c>
      <c r="B312" s="1" t="n">
        <v>44519</v>
      </c>
      <c r="C312" s="1" t="n">
        <v>45734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66612-2021</t>
        </is>
      </c>
      <c r="B313" s="1" t="n">
        <v>44519</v>
      </c>
      <c r="C313" s="1" t="n">
        <v>45734</v>
      </c>
      <c r="D313" t="inlineStr">
        <is>
          <t>VÄSTERBOTTENS LÄN</t>
        </is>
      </c>
      <c r="E313" t="inlineStr">
        <is>
          <t>ÅSELE</t>
        </is>
      </c>
      <c r="F313" t="inlineStr">
        <is>
          <t>Holmen skog AB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67107-2021</t>
        </is>
      </c>
      <c r="B314" s="1" t="n">
        <v>44523</v>
      </c>
      <c r="C314" s="1" t="n">
        <v>45734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4.1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67685-2021</t>
        </is>
      </c>
      <c r="B315" s="1" t="n">
        <v>44524</v>
      </c>
      <c r="C315" s="1" t="n">
        <v>45734</v>
      </c>
      <c r="D315" t="inlineStr">
        <is>
          <t>VÄSTERBOTTENS LÄN</t>
        </is>
      </c>
      <c r="E315" t="inlineStr">
        <is>
          <t>ÅSELE</t>
        </is>
      </c>
      <c r="F315" t="inlineStr">
        <is>
          <t>SCA</t>
        </is>
      </c>
      <c r="G315" t="n">
        <v>16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67807-2021</t>
        </is>
      </c>
      <c r="B316" s="1" t="n">
        <v>44525</v>
      </c>
      <c r="C316" s="1" t="n">
        <v>45734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3.2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68077-2021</t>
        </is>
      </c>
      <c r="B317" s="1" t="n">
        <v>44526</v>
      </c>
      <c r="C317" s="1" t="n">
        <v>45734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68105-2021</t>
        </is>
      </c>
      <c r="B318" s="1" t="n">
        <v>44526</v>
      </c>
      <c r="C318" s="1" t="n">
        <v>45734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68067-2021</t>
        </is>
      </c>
      <c r="B319" s="1" t="n">
        <v>44526</v>
      </c>
      <c r="C319" s="1" t="n">
        <v>45734</v>
      </c>
      <c r="D319" t="inlineStr">
        <is>
          <t>VÄSTERBOTTENS LÄN</t>
        </is>
      </c>
      <c r="E319" t="inlineStr">
        <is>
          <t>ÅSELE</t>
        </is>
      </c>
      <c r="F319" t="inlineStr">
        <is>
          <t>Holmen skog AB</t>
        </is>
      </c>
      <c r="G319" t="n">
        <v>3.1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68826-2021</t>
        </is>
      </c>
      <c r="B320" s="1" t="n">
        <v>44530</v>
      </c>
      <c r="C320" s="1" t="n">
        <v>45734</v>
      </c>
      <c r="D320" t="inlineStr">
        <is>
          <t>VÄSTERBOTTENS LÄN</t>
        </is>
      </c>
      <c r="E320" t="inlineStr">
        <is>
          <t>ÅSELE</t>
        </is>
      </c>
      <c r="F320" t="inlineStr">
        <is>
          <t>Holmen skog AB</t>
        </is>
      </c>
      <c r="G320" t="n">
        <v>4.2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69370-2021</t>
        </is>
      </c>
      <c r="B321" s="1" t="n">
        <v>44531</v>
      </c>
      <c r="C321" s="1" t="n">
        <v>45734</v>
      </c>
      <c r="D321" t="inlineStr">
        <is>
          <t>VÄSTERBOTTENS LÄN</t>
        </is>
      </c>
      <c r="E321" t="inlineStr">
        <is>
          <t>ÅSELE</t>
        </is>
      </c>
      <c r="F321" t="inlineStr">
        <is>
          <t>Sveaskog</t>
        </is>
      </c>
      <c r="G321" t="n">
        <v>1.2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70189-2021</t>
        </is>
      </c>
      <c r="B322" s="1" t="n">
        <v>44533</v>
      </c>
      <c r="C322" s="1" t="n">
        <v>45734</v>
      </c>
      <c r="D322" t="inlineStr">
        <is>
          <t>VÄSTERBOTTENS LÄN</t>
        </is>
      </c>
      <c r="E322" t="inlineStr">
        <is>
          <t>ÅSELE</t>
        </is>
      </c>
      <c r="F322" t="inlineStr">
        <is>
          <t>SCA</t>
        </is>
      </c>
      <c r="G322" t="n">
        <v>5.5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70186-2021</t>
        </is>
      </c>
      <c r="B323" s="1" t="n">
        <v>44533</v>
      </c>
      <c r="C323" s="1" t="n">
        <v>45734</v>
      </c>
      <c r="D323" t="inlineStr">
        <is>
          <t>VÄSTERBOTTENS LÄN</t>
        </is>
      </c>
      <c r="E323" t="inlineStr">
        <is>
          <t>ÅSELE</t>
        </is>
      </c>
      <c r="F323" t="inlineStr">
        <is>
          <t>SCA</t>
        </is>
      </c>
      <c r="G323" t="n">
        <v>6.4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73402-2021</t>
        </is>
      </c>
      <c r="B324" s="1" t="n">
        <v>44551</v>
      </c>
      <c r="C324" s="1" t="n">
        <v>45734</v>
      </c>
      <c r="D324" t="inlineStr">
        <is>
          <t>VÄSTERBOTTENS LÄN</t>
        </is>
      </c>
      <c r="E324" t="inlineStr">
        <is>
          <t>ÅSELE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73419-2021</t>
        </is>
      </c>
      <c r="B325" s="1" t="n">
        <v>44551</v>
      </c>
      <c r="C325" s="1" t="n">
        <v>45734</v>
      </c>
      <c r="D325" t="inlineStr">
        <is>
          <t>VÄSTERBOTTENS LÄN</t>
        </is>
      </c>
      <c r="E325" t="inlineStr">
        <is>
          <t>ÅSELE</t>
        </is>
      </c>
      <c r="G325" t="n">
        <v>14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3463-2022</t>
        </is>
      </c>
      <c r="B326" s="1" t="n">
        <v>44585</v>
      </c>
      <c r="C326" s="1" t="n">
        <v>45734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3469-2022</t>
        </is>
      </c>
      <c r="B327" s="1" t="n">
        <v>44585</v>
      </c>
      <c r="C327" s="1" t="n">
        <v>45734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3475-2022</t>
        </is>
      </c>
      <c r="B328" s="1" t="n">
        <v>44585</v>
      </c>
      <c r="C328" s="1" t="n">
        <v>45734</v>
      </c>
      <c r="D328" t="inlineStr">
        <is>
          <t>VÄSTERBOTTENS LÄN</t>
        </is>
      </c>
      <c r="E328" t="inlineStr">
        <is>
          <t>ÅSELE</t>
        </is>
      </c>
      <c r="F328" t="inlineStr">
        <is>
          <t>Holmen skog AB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3715-2022</t>
        </is>
      </c>
      <c r="B329" s="1" t="n">
        <v>44586</v>
      </c>
      <c r="C329" s="1" t="n">
        <v>45734</v>
      </c>
      <c r="D329" t="inlineStr">
        <is>
          <t>VÄSTERBOTTENS LÄN</t>
        </is>
      </c>
      <c r="E329" t="inlineStr">
        <is>
          <t>ÅSELE</t>
        </is>
      </c>
      <c r="F329" t="inlineStr">
        <is>
          <t>Holmen skog AB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4612-2022</t>
        </is>
      </c>
      <c r="B330" s="1" t="n">
        <v>44592</v>
      </c>
      <c r="C330" s="1" t="n">
        <v>45734</v>
      </c>
      <c r="D330" t="inlineStr">
        <is>
          <t>VÄSTERBOTTENS LÄN</t>
        </is>
      </c>
      <c r="E330" t="inlineStr">
        <is>
          <t>ÅSELE</t>
        </is>
      </c>
      <c r="G330" t="n">
        <v>3.7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4619-2022</t>
        </is>
      </c>
      <c r="B331" s="1" t="n">
        <v>44592</v>
      </c>
      <c r="C331" s="1" t="n">
        <v>45734</v>
      </c>
      <c r="D331" t="inlineStr">
        <is>
          <t>VÄSTERBOTTENS LÄN</t>
        </is>
      </c>
      <c r="E331" t="inlineStr">
        <is>
          <t>ÅSELE</t>
        </is>
      </c>
      <c r="G331" t="n">
        <v>17.6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4626-2022</t>
        </is>
      </c>
      <c r="B332" s="1" t="n">
        <v>44592</v>
      </c>
      <c r="C332" s="1" t="n">
        <v>45734</v>
      </c>
      <c r="D332" t="inlineStr">
        <is>
          <t>VÄSTERBOTTENS LÄN</t>
        </is>
      </c>
      <c r="E332" t="inlineStr">
        <is>
          <t>ÅSELE</t>
        </is>
      </c>
      <c r="G332" t="n">
        <v>6.2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4996-2022</t>
        </is>
      </c>
      <c r="B333" s="1" t="n">
        <v>44593</v>
      </c>
      <c r="C333" s="1" t="n">
        <v>45734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5305-2022</t>
        </is>
      </c>
      <c r="B334" s="1" t="n">
        <v>44594</v>
      </c>
      <c r="C334" s="1" t="n">
        <v>45734</v>
      </c>
      <c r="D334" t="inlineStr">
        <is>
          <t>VÄSTERBOTTENS LÄN</t>
        </is>
      </c>
      <c r="E334" t="inlineStr">
        <is>
          <t>ÅSELE</t>
        </is>
      </c>
      <c r="G334" t="n">
        <v>5.8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5641-2022</t>
        </is>
      </c>
      <c r="B335" s="1" t="n">
        <v>44595</v>
      </c>
      <c r="C335" s="1" t="n">
        <v>45734</v>
      </c>
      <c r="D335" t="inlineStr">
        <is>
          <t>VÄSTERBOTTENS LÄN</t>
        </is>
      </c>
      <c r="E335" t="inlineStr">
        <is>
          <t>ÅSELE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7694-2022</t>
        </is>
      </c>
      <c r="B336" s="1" t="n">
        <v>44607</v>
      </c>
      <c r="C336" s="1" t="n">
        <v>45734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9007-2022</t>
        </is>
      </c>
      <c r="B337" s="1" t="n">
        <v>44615</v>
      </c>
      <c r="C337" s="1" t="n">
        <v>45734</v>
      </c>
      <c r="D337" t="inlineStr">
        <is>
          <t>VÄSTERBOTTENS LÄN</t>
        </is>
      </c>
      <c r="E337" t="inlineStr">
        <is>
          <t>ÅSELE</t>
        </is>
      </c>
      <c r="G337" t="n">
        <v>18.6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11648-2022</t>
        </is>
      </c>
      <c r="B338" s="1" t="n">
        <v>44632</v>
      </c>
      <c r="C338" s="1" t="n">
        <v>45734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28.6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12396-2022</t>
        </is>
      </c>
      <c r="B339" s="1" t="n">
        <v>44637</v>
      </c>
      <c r="C339" s="1" t="n">
        <v>45734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9.9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12949-2022</t>
        </is>
      </c>
      <c r="B340" s="1" t="n">
        <v>44642</v>
      </c>
      <c r="C340" s="1" t="n">
        <v>45734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10.3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14446-2022</t>
        </is>
      </c>
      <c r="B341" s="1" t="n">
        <v>44652</v>
      </c>
      <c r="C341" s="1" t="n">
        <v>45734</v>
      </c>
      <c r="D341" t="inlineStr">
        <is>
          <t>VÄSTERBOTTENS LÄN</t>
        </is>
      </c>
      <c r="E341" t="inlineStr">
        <is>
          <t>ÅSELE</t>
        </is>
      </c>
      <c r="F341" t="inlineStr">
        <is>
          <t>SCA</t>
        </is>
      </c>
      <c r="G341" t="n">
        <v>5.7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14451-2022</t>
        </is>
      </c>
      <c r="B342" s="1" t="n">
        <v>44652</v>
      </c>
      <c r="C342" s="1" t="n">
        <v>45734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15559-2022</t>
        </is>
      </c>
      <c r="B343" s="1" t="n">
        <v>44662</v>
      </c>
      <c r="C343" s="1" t="n">
        <v>45734</v>
      </c>
      <c r="D343" t="inlineStr">
        <is>
          <t>VÄSTERBOTTENS LÄN</t>
        </is>
      </c>
      <c r="E343" t="inlineStr">
        <is>
          <t>ÅSELE</t>
        </is>
      </c>
      <c r="G343" t="n">
        <v>6.4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15661-2022</t>
        </is>
      </c>
      <c r="B344" s="1" t="n">
        <v>44662</v>
      </c>
      <c r="C344" s="1" t="n">
        <v>45734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16527-2022</t>
        </is>
      </c>
      <c r="B345" s="1" t="n">
        <v>44672</v>
      </c>
      <c r="C345" s="1" t="n">
        <v>45734</v>
      </c>
      <c r="D345" t="inlineStr">
        <is>
          <t>VÄSTERBOTTENS LÄN</t>
        </is>
      </c>
      <c r="E345" t="inlineStr">
        <is>
          <t>ÅSELE</t>
        </is>
      </c>
      <c r="G345" t="n">
        <v>6.6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16846-2022</t>
        </is>
      </c>
      <c r="B346" s="1" t="n">
        <v>44674</v>
      </c>
      <c r="C346" s="1" t="n">
        <v>45734</v>
      </c>
      <c r="D346" t="inlineStr">
        <is>
          <t>VÄSTERBOTTENS LÄN</t>
        </is>
      </c>
      <c r="E346" t="inlineStr">
        <is>
          <t>ÅSELE</t>
        </is>
      </c>
      <c r="F346" t="inlineStr">
        <is>
          <t>SCA</t>
        </is>
      </c>
      <c r="G346" t="n">
        <v>4.4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16843-2022</t>
        </is>
      </c>
      <c r="B347" s="1" t="n">
        <v>44674</v>
      </c>
      <c r="C347" s="1" t="n">
        <v>45734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17255-2022</t>
        </is>
      </c>
      <c r="B348" s="1" t="n">
        <v>44678</v>
      </c>
      <c r="C348" s="1" t="n">
        <v>45734</v>
      </c>
      <c r="D348" t="inlineStr">
        <is>
          <t>VÄSTERBOTTENS LÄN</t>
        </is>
      </c>
      <c r="E348" t="inlineStr">
        <is>
          <t>ÅSELE</t>
        </is>
      </c>
      <c r="F348" t="inlineStr">
        <is>
          <t>Allmännings- och besparingsskogar</t>
        </is>
      </c>
      <c r="G348" t="n">
        <v>2.6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17740-2022</t>
        </is>
      </c>
      <c r="B349" s="1" t="n">
        <v>44681</v>
      </c>
      <c r="C349" s="1" t="n">
        <v>45734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18569-2022</t>
        </is>
      </c>
      <c r="B350" s="1" t="n">
        <v>44687</v>
      </c>
      <c r="C350" s="1" t="n">
        <v>45734</v>
      </c>
      <c r="D350" t="inlineStr">
        <is>
          <t>VÄSTERBOTTENS LÄN</t>
        </is>
      </c>
      <c r="E350" t="inlineStr">
        <is>
          <t>ÅSELE</t>
        </is>
      </c>
      <c r="F350" t="inlineStr">
        <is>
          <t>SCA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18568-2022</t>
        </is>
      </c>
      <c r="B351" s="1" t="n">
        <v>44687</v>
      </c>
      <c r="C351" s="1" t="n">
        <v>45734</v>
      </c>
      <c r="D351" t="inlineStr">
        <is>
          <t>VÄSTERBOTTENS LÄN</t>
        </is>
      </c>
      <c r="E351" t="inlineStr">
        <is>
          <t>ÅSELE</t>
        </is>
      </c>
      <c r="F351" t="inlineStr">
        <is>
          <t>SCA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18576-2022</t>
        </is>
      </c>
      <c r="B352" s="1" t="n">
        <v>44687</v>
      </c>
      <c r="C352" s="1" t="n">
        <v>45734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18578-2022</t>
        </is>
      </c>
      <c r="B353" s="1" t="n">
        <v>44687</v>
      </c>
      <c r="C353" s="1" t="n">
        <v>45734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18618-2022</t>
        </is>
      </c>
      <c r="B354" s="1" t="n">
        <v>44687</v>
      </c>
      <c r="C354" s="1" t="n">
        <v>45734</v>
      </c>
      <c r="D354" t="inlineStr">
        <is>
          <t>VÄSTERBOTTENS LÄN</t>
        </is>
      </c>
      <c r="E354" t="inlineStr">
        <is>
          <t>ÅSELE</t>
        </is>
      </c>
      <c r="F354" t="inlineStr">
        <is>
          <t>Holmen skog AB</t>
        </is>
      </c>
      <c r="G354" t="n">
        <v>11.9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19701-2022</t>
        </is>
      </c>
      <c r="B355" s="1" t="n">
        <v>44694</v>
      </c>
      <c r="C355" s="1" t="n">
        <v>45734</v>
      </c>
      <c r="D355" t="inlineStr">
        <is>
          <t>VÄSTERBOTTENS LÄN</t>
        </is>
      </c>
      <c r="E355" t="inlineStr">
        <is>
          <t>ÅSELE</t>
        </is>
      </c>
      <c r="F355" t="inlineStr">
        <is>
          <t>Holmen skog AB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19710-2022</t>
        </is>
      </c>
      <c r="B356" s="1" t="n">
        <v>44694</v>
      </c>
      <c r="C356" s="1" t="n">
        <v>45734</v>
      </c>
      <c r="D356" t="inlineStr">
        <is>
          <t>VÄSTERBOTTENS LÄN</t>
        </is>
      </c>
      <c r="E356" t="inlineStr">
        <is>
          <t>ÅSELE</t>
        </is>
      </c>
      <c r="F356" t="inlineStr">
        <is>
          <t>Naturvårdsverket</t>
        </is>
      </c>
      <c r="G356" t="n">
        <v>5.7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19705-2022</t>
        </is>
      </c>
      <c r="B357" s="1" t="n">
        <v>44694</v>
      </c>
      <c r="C357" s="1" t="n">
        <v>45734</v>
      </c>
      <c r="D357" t="inlineStr">
        <is>
          <t>VÄSTERBOTTENS LÄN</t>
        </is>
      </c>
      <c r="E357" t="inlineStr">
        <is>
          <t>ÅSELE</t>
        </is>
      </c>
      <c r="F357" t="inlineStr">
        <is>
          <t>Naturvårdsverket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20068-2022</t>
        </is>
      </c>
      <c r="B358" s="1" t="n">
        <v>44697</v>
      </c>
      <c r="C358" s="1" t="n">
        <v>45734</v>
      </c>
      <c r="D358" t="inlineStr">
        <is>
          <t>VÄSTERBOTTENS LÄN</t>
        </is>
      </c>
      <c r="E358" t="inlineStr">
        <is>
          <t>ÅSELE</t>
        </is>
      </c>
      <c r="F358" t="inlineStr">
        <is>
          <t>SCA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20087-2022</t>
        </is>
      </c>
      <c r="B359" s="1" t="n">
        <v>44698</v>
      </c>
      <c r="C359" s="1" t="n">
        <v>45734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8.4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20140-2022</t>
        </is>
      </c>
      <c r="B360" s="1" t="n">
        <v>44698</v>
      </c>
      <c r="C360" s="1" t="n">
        <v>45734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20803-2022</t>
        </is>
      </c>
      <c r="B361" s="1" t="n">
        <v>44701</v>
      </c>
      <c r="C361" s="1" t="n">
        <v>45734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4.3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21117-2022</t>
        </is>
      </c>
      <c r="B362" s="1" t="n">
        <v>44704</v>
      </c>
      <c r="C362" s="1" t="n">
        <v>45734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21131-2022</t>
        </is>
      </c>
      <c r="B363" s="1" t="n">
        <v>44704</v>
      </c>
      <c r="C363" s="1" t="n">
        <v>45734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21748-2022</t>
        </is>
      </c>
      <c r="B364" s="1" t="n">
        <v>44708</v>
      </c>
      <c r="C364" s="1" t="n">
        <v>45734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21720-2022</t>
        </is>
      </c>
      <c r="B365" s="1" t="n">
        <v>44708</v>
      </c>
      <c r="C365" s="1" t="n">
        <v>45734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21750-2022</t>
        </is>
      </c>
      <c r="B366" s="1" t="n">
        <v>44708</v>
      </c>
      <c r="C366" s="1" t="n">
        <v>45734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21783-2022</t>
        </is>
      </c>
      <c r="B367" s="1" t="n">
        <v>44708</v>
      </c>
      <c r="C367" s="1" t="n">
        <v>45734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5.6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21789-2022</t>
        </is>
      </c>
      <c r="B368" s="1" t="n">
        <v>44708</v>
      </c>
      <c r="C368" s="1" t="n">
        <v>45734</v>
      </c>
      <c r="D368" t="inlineStr">
        <is>
          <t>VÄSTERBOTTENS LÄN</t>
        </is>
      </c>
      <c r="E368" t="inlineStr">
        <is>
          <t>ÅSELE</t>
        </is>
      </c>
      <c r="F368" t="inlineStr">
        <is>
          <t>Holmen skog AB</t>
        </is>
      </c>
      <c r="G368" t="n">
        <v>29.7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21787-2022</t>
        </is>
      </c>
      <c r="B369" s="1" t="n">
        <v>44708</v>
      </c>
      <c r="C369" s="1" t="n">
        <v>45734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27.8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21809-2022</t>
        </is>
      </c>
      <c r="B370" s="1" t="n">
        <v>44709</v>
      </c>
      <c r="C370" s="1" t="n">
        <v>45734</v>
      </c>
      <c r="D370" t="inlineStr">
        <is>
          <t>VÄSTERBOTTENS LÄN</t>
        </is>
      </c>
      <c r="E370" t="inlineStr">
        <is>
          <t>ÅSELE</t>
        </is>
      </c>
      <c r="F370" t="inlineStr">
        <is>
          <t>SCA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21972-2022</t>
        </is>
      </c>
      <c r="B371" s="1" t="n">
        <v>44711</v>
      </c>
      <c r="C371" s="1" t="n">
        <v>45734</v>
      </c>
      <c r="D371" t="inlineStr">
        <is>
          <t>VÄSTERBOTTENS LÄN</t>
        </is>
      </c>
      <c r="E371" t="inlineStr">
        <is>
          <t>ÅSELE</t>
        </is>
      </c>
      <c r="F371" t="inlineStr">
        <is>
          <t>Holmen skog AB</t>
        </is>
      </c>
      <c r="G371" t="n">
        <v>22.1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22011-2022</t>
        </is>
      </c>
      <c r="B372" s="1" t="n">
        <v>44711</v>
      </c>
      <c r="C372" s="1" t="n">
        <v>45734</v>
      </c>
      <c r="D372" t="inlineStr">
        <is>
          <t>VÄSTERBOTTENS LÄN</t>
        </is>
      </c>
      <c r="E372" t="inlineStr">
        <is>
          <t>ÅSELE</t>
        </is>
      </c>
      <c r="G372" t="n">
        <v>9.199999999999999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22550-2022</t>
        </is>
      </c>
      <c r="B373" s="1" t="n">
        <v>44713</v>
      </c>
      <c r="C373" s="1" t="n">
        <v>45734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7.9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23189-2022</t>
        </is>
      </c>
      <c r="B374" s="1" t="n">
        <v>44719</v>
      </c>
      <c r="C374" s="1" t="n">
        <v>45734</v>
      </c>
      <c r="D374" t="inlineStr">
        <is>
          <t>VÄSTERBOTTENS LÄN</t>
        </is>
      </c>
      <c r="E374" t="inlineStr">
        <is>
          <t>ÅSELE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23996-2022</t>
        </is>
      </c>
      <c r="B375" s="1" t="n">
        <v>44722</v>
      </c>
      <c r="C375" s="1" t="n">
        <v>45734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5.5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24311-2022</t>
        </is>
      </c>
      <c r="B376" s="1" t="n">
        <v>44726</v>
      </c>
      <c r="C376" s="1" t="n">
        <v>45734</v>
      </c>
      <c r="D376" t="inlineStr">
        <is>
          <t>VÄSTERBOTTENS LÄN</t>
        </is>
      </c>
      <c r="E376" t="inlineStr">
        <is>
          <t>ÅSELE</t>
        </is>
      </c>
      <c r="F376" t="inlineStr">
        <is>
          <t>SCA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24310-2022</t>
        </is>
      </c>
      <c r="B377" s="1" t="n">
        <v>44726</v>
      </c>
      <c r="C377" s="1" t="n">
        <v>45734</v>
      </c>
      <c r="D377" t="inlineStr">
        <is>
          <t>VÄSTERBOTTENS LÄN</t>
        </is>
      </c>
      <c r="E377" t="inlineStr">
        <is>
          <t>ÅSELE</t>
        </is>
      </c>
      <c r="F377" t="inlineStr">
        <is>
          <t>SCA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24669-2022</t>
        </is>
      </c>
      <c r="B378" s="1" t="n">
        <v>44727</v>
      </c>
      <c r="C378" s="1" t="n">
        <v>45734</v>
      </c>
      <c r="D378" t="inlineStr">
        <is>
          <t>VÄSTERBOTTENS LÄN</t>
        </is>
      </c>
      <c r="E378" t="inlineStr">
        <is>
          <t>ÅSELE</t>
        </is>
      </c>
      <c r="F378" t="inlineStr">
        <is>
          <t>Holmen skog AB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24943-2022</t>
        </is>
      </c>
      <c r="B379" s="1" t="n">
        <v>44728</v>
      </c>
      <c r="C379" s="1" t="n">
        <v>45734</v>
      </c>
      <c r="D379" t="inlineStr">
        <is>
          <t>VÄSTERBOTTENS LÄN</t>
        </is>
      </c>
      <c r="E379" t="inlineStr">
        <is>
          <t>ÅSELE</t>
        </is>
      </c>
      <c r="F379" t="inlineStr">
        <is>
          <t>Holmen skog AB</t>
        </is>
      </c>
      <c r="G379" t="n">
        <v>4.5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24931-2022</t>
        </is>
      </c>
      <c r="B380" s="1" t="n">
        <v>44728</v>
      </c>
      <c r="C380" s="1" t="n">
        <v>45734</v>
      </c>
      <c r="D380" t="inlineStr">
        <is>
          <t>VÄSTERBOTTENS LÄN</t>
        </is>
      </c>
      <c r="E380" t="inlineStr">
        <is>
          <t>ÅSELE</t>
        </is>
      </c>
      <c r="F380" t="inlineStr">
        <is>
          <t>Sveaskog</t>
        </is>
      </c>
      <c r="G380" t="n">
        <v>14.8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25022-2022</t>
        </is>
      </c>
      <c r="B381" s="1" t="n">
        <v>44729</v>
      </c>
      <c r="C381" s="1" t="n">
        <v>45734</v>
      </c>
      <c r="D381" t="inlineStr">
        <is>
          <t>VÄSTERBOTTENS LÄN</t>
        </is>
      </c>
      <c r="E381" t="inlineStr">
        <is>
          <t>ÅSELE</t>
        </is>
      </c>
      <c r="F381" t="inlineStr">
        <is>
          <t>SCA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26737-2022</t>
        </is>
      </c>
      <c r="B382" s="1" t="n">
        <v>44740</v>
      </c>
      <c r="C382" s="1" t="n">
        <v>45734</v>
      </c>
      <c r="D382" t="inlineStr">
        <is>
          <t>VÄSTERBOTTENS LÄN</t>
        </is>
      </c>
      <c r="E382" t="inlineStr">
        <is>
          <t>ÅSELE</t>
        </is>
      </c>
      <c r="F382" t="inlineStr">
        <is>
          <t>SCA</t>
        </is>
      </c>
      <c r="G382" t="n">
        <v>6.9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26540-2022</t>
        </is>
      </c>
      <c r="B383" s="1" t="n">
        <v>44739</v>
      </c>
      <c r="C383" s="1" t="n">
        <v>45734</v>
      </c>
      <c r="D383" t="inlineStr">
        <is>
          <t>VÄSTERBOTTENS LÄN</t>
        </is>
      </c>
      <c r="E383" t="inlineStr">
        <is>
          <t>ÅSELE</t>
        </is>
      </c>
      <c r="G383" t="n">
        <v>10.8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27094-2022</t>
        </is>
      </c>
      <c r="B384" s="1" t="n">
        <v>44741</v>
      </c>
      <c r="C384" s="1" t="n">
        <v>45734</v>
      </c>
      <c r="D384" t="inlineStr">
        <is>
          <t>VÄSTERBOTTENS LÄN</t>
        </is>
      </c>
      <c r="E384" t="inlineStr">
        <is>
          <t>ÅSELE</t>
        </is>
      </c>
      <c r="F384" t="inlineStr">
        <is>
          <t>Naturvårdsverket</t>
        </is>
      </c>
      <c r="G384" t="n">
        <v>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27294-2022</t>
        </is>
      </c>
      <c r="B385" s="1" t="n">
        <v>44742</v>
      </c>
      <c r="C385" s="1" t="n">
        <v>45734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27293-2022</t>
        </is>
      </c>
      <c r="B386" s="1" t="n">
        <v>44742</v>
      </c>
      <c r="C386" s="1" t="n">
        <v>45734</v>
      </c>
      <c r="D386" t="inlineStr">
        <is>
          <t>VÄSTERBOTTENS LÄN</t>
        </is>
      </c>
      <c r="E386" t="inlineStr">
        <is>
          <t>ÅSELE</t>
        </is>
      </c>
      <c r="F386" t="inlineStr">
        <is>
          <t>SCA</t>
        </is>
      </c>
      <c r="G386" t="n">
        <v>3.6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27947-2022</t>
        </is>
      </c>
      <c r="B387" s="1" t="n">
        <v>44744</v>
      </c>
      <c r="C387" s="1" t="n">
        <v>45734</v>
      </c>
      <c r="D387" t="inlineStr">
        <is>
          <t>VÄSTERBOTTENS LÄN</t>
        </is>
      </c>
      <c r="E387" t="inlineStr">
        <is>
          <t>ÅSELE</t>
        </is>
      </c>
      <c r="F387" t="inlineStr">
        <is>
          <t>SCA</t>
        </is>
      </c>
      <c r="G387" t="n">
        <v>3.5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28381-2022</t>
        </is>
      </c>
      <c r="B388" s="1" t="n">
        <v>44747</v>
      </c>
      <c r="C388" s="1" t="n">
        <v>45734</v>
      </c>
      <c r="D388" t="inlineStr">
        <is>
          <t>VÄSTERBOTTENS LÄN</t>
        </is>
      </c>
      <c r="E388" t="inlineStr">
        <is>
          <t>ÅSELE</t>
        </is>
      </c>
      <c r="F388" t="inlineStr">
        <is>
          <t>Sveaskog</t>
        </is>
      </c>
      <c r="G388" t="n">
        <v>19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28383-2022</t>
        </is>
      </c>
      <c r="B389" s="1" t="n">
        <v>44747</v>
      </c>
      <c r="C389" s="1" t="n">
        <v>45734</v>
      </c>
      <c r="D389" t="inlineStr">
        <is>
          <t>VÄSTERBOTTENS LÄN</t>
        </is>
      </c>
      <c r="E389" t="inlineStr">
        <is>
          <t>ÅSELE</t>
        </is>
      </c>
      <c r="F389" t="inlineStr">
        <is>
          <t>Sveaskog</t>
        </is>
      </c>
      <c r="G389" t="n">
        <v>6.3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28740-2022</t>
        </is>
      </c>
      <c r="B390" s="1" t="n">
        <v>44749</v>
      </c>
      <c r="C390" s="1" t="n">
        <v>45734</v>
      </c>
      <c r="D390" t="inlineStr">
        <is>
          <t>VÄSTERBOTTENS LÄN</t>
        </is>
      </c>
      <c r="E390" t="inlineStr">
        <is>
          <t>ÅSELE</t>
        </is>
      </c>
      <c r="F390" t="inlineStr">
        <is>
          <t>SCA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29303-2022</t>
        </is>
      </c>
      <c r="B391" s="1" t="n">
        <v>44751</v>
      </c>
      <c r="C391" s="1" t="n">
        <v>45734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29209-2022</t>
        </is>
      </c>
      <c r="B392" s="1" t="n">
        <v>44750</v>
      </c>
      <c r="C392" s="1" t="n">
        <v>45734</v>
      </c>
      <c r="D392" t="inlineStr">
        <is>
          <t>VÄSTERBOTTENS LÄN</t>
        </is>
      </c>
      <c r="E392" t="inlineStr">
        <is>
          <t>ÅSELE</t>
        </is>
      </c>
      <c r="F392" t="inlineStr">
        <is>
          <t>Holmen skog AB</t>
        </is>
      </c>
      <c r="G392" t="n">
        <v>15.7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29304-2022</t>
        </is>
      </c>
      <c r="B393" s="1" t="n">
        <v>44750</v>
      </c>
      <c r="C393" s="1" t="n">
        <v>45734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29683-2022</t>
        </is>
      </c>
      <c r="B394" s="1" t="n">
        <v>44754</v>
      </c>
      <c r="C394" s="1" t="n">
        <v>45734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29681-2022</t>
        </is>
      </c>
      <c r="B395" s="1" t="n">
        <v>44755</v>
      </c>
      <c r="C395" s="1" t="n">
        <v>45734</v>
      </c>
      <c r="D395" t="inlineStr">
        <is>
          <t>VÄSTERBOTTENS LÄN</t>
        </is>
      </c>
      <c r="E395" t="inlineStr">
        <is>
          <t>ÅSELE</t>
        </is>
      </c>
      <c r="F395" t="inlineStr">
        <is>
          <t>SCA</t>
        </is>
      </c>
      <c r="G395" t="n">
        <v>2.4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29682-2022</t>
        </is>
      </c>
      <c r="B396" s="1" t="n">
        <v>44755</v>
      </c>
      <c r="C396" s="1" t="n">
        <v>45734</v>
      </c>
      <c r="D396" t="inlineStr">
        <is>
          <t>VÄSTERBOTTENS LÄN</t>
        </is>
      </c>
      <c r="E396" t="inlineStr">
        <is>
          <t>ÅSELE</t>
        </is>
      </c>
      <c r="F396" t="inlineStr">
        <is>
          <t>SCA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29780-2022</t>
        </is>
      </c>
      <c r="B397" s="1" t="n">
        <v>44755</v>
      </c>
      <c r="C397" s="1" t="n">
        <v>45734</v>
      </c>
      <c r="D397" t="inlineStr">
        <is>
          <t>VÄSTERBOTTENS LÄN</t>
        </is>
      </c>
      <c r="E397" t="inlineStr">
        <is>
          <t>ÅSELE</t>
        </is>
      </c>
      <c r="F397" t="inlineStr">
        <is>
          <t>Sveaskog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29776-2022</t>
        </is>
      </c>
      <c r="B398" s="1" t="n">
        <v>44755</v>
      </c>
      <c r="C398" s="1" t="n">
        <v>45734</v>
      </c>
      <c r="D398" t="inlineStr">
        <is>
          <t>VÄSTERBOTTENS LÄN</t>
        </is>
      </c>
      <c r="E398" t="inlineStr">
        <is>
          <t>ÅSELE</t>
        </is>
      </c>
      <c r="F398" t="inlineStr">
        <is>
          <t>Sveaskog</t>
        </is>
      </c>
      <c r="G398" t="n">
        <v>3.5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29883-2022</t>
        </is>
      </c>
      <c r="B399" s="1" t="n">
        <v>44756</v>
      </c>
      <c r="C399" s="1" t="n">
        <v>45734</v>
      </c>
      <c r="D399" t="inlineStr">
        <is>
          <t>VÄSTERBOTTENS LÄN</t>
        </is>
      </c>
      <c r="E399" t="inlineStr">
        <is>
          <t>ÅSELE</t>
        </is>
      </c>
      <c r="F399" t="inlineStr">
        <is>
          <t>Holmen skog AB</t>
        </is>
      </c>
      <c r="G399" t="n">
        <v>2.9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29902-2022</t>
        </is>
      </c>
      <c r="B400" s="1" t="n">
        <v>44756</v>
      </c>
      <c r="C400" s="1" t="n">
        <v>45734</v>
      </c>
      <c r="D400" t="inlineStr">
        <is>
          <t>VÄSTERBOTTENS LÄN</t>
        </is>
      </c>
      <c r="E400" t="inlineStr">
        <is>
          <t>ÅSELE</t>
        </is>
      </c>
      <c r="F400" t="inlineStr">
        <is>
          <t>Holmen skog AB</t>
        </is>
      </c>
      <c r="G400" t="n">
        <v>20.6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30129-2022</t>
        </is>
      </c>
      <c r="B401" s="1" t="n">
        <v>44757</v>
      </c>
      <c r="C401" s="1" t="n">
        <v>45734</v>
      </c>
      <c r="D401" t="inlineStr">
        <is>
          <t>VÄSTERBOTTENS LÄN</t>
        </is>
      </c>
      <c r="E401" t="inlineStr">
        <is>
          <t>ÅSELE</t>
        </is>
      </c>
      <c r="F401" t="inlineStr">
        <is>
          <t>Sveaskog</t>
        </is>
      </c>
      <c r="G401" t="n">
        <v>9.9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30475-2022</t>
        </is>
      </c>
      <c r="B402" s="1" t="n">
        <v>44762</v>
      </c>
      <c r="C402" s="1" t="n">
        <v>45734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30491-2022</t>
        </is>
      </c>
      <c r="B403" s="1" t="n">
        <v>44761</v>
      </c>
      <c r="C403" s="1" t="n">
        <v>45734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30476-2022</t>
        </is>
      </c>
      <c r="B404" s="1" t="n">
        <v>44761</v>
      </c>
      <c r="C404" s="1" t="n">
        <v>45734</v>
      </c>
      <c r="D404" t="inlineStr">
        <is>
          <t>VÄSTERBOTTENS LÄN</t>
        </is>
      </c>
      <c r="E404" t="inlineStr">
        <is>
          <t>ÅSELE</t>
        </is>
      </c>
      <c r="F404" t="inlineStr">
        <is>
          <t>SCA</t>
        </is>
      </c>
      <c r="G404" t="n">
        <v>2.5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30938-2022</t>
        </is>
      </c>
      <c r="B405" s="1" t="n">
        <v>44768</v>
      </c>
      <c r="C405" s="1" t="n">
        <v>45734</v>
      </c>
      <c r="D405" t="inlineStr">
        <is>
          <t>VÄSTERBOTTENS LÄN</t>
        </is>
      </c>
      <c r="E405" t="inlineStr">
        <is>
          <t>ÅSELE</t>
        </is>
      </c>
      <c r="F405" t="inlineStr">
        <is>
          <t>SCA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31134-2022</t>
        </is>
      </c>
      <c r="B406" s="1" t="n">
        <v>44770</v>
      </c>
      <c r="C406" s="1" t="n">
        <v>45734</v>
      </c>
      <c r="D406" t="inlineStr">
        <is>
          <t>VÄSTERBOTTENS LÄN</t>
        </is>
      </c>
      <c r="E406" t="inlineStr">
        <is>
          <t>ÅSELE</t>
        </is>
      </c>
      <c r="F406" t="inlineStr">
        <is>
          <t>Naturvårdsverket</t>
        </is>
      </c>
      <c r="G406" t="n">
        <v>5.2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31154-2022</t>
        </is>
      </c>
      <c r="B407" s="1" t="n">
        <v>44770</v>
      </c>
      <c r="C407" s="1" t="n">
        <v>45734</v>
      </c>
      <c r="D407" t="inlineStr">
        <is>
          <t>VÄSTERBOTTENS LÄN</t>
        </is>
      </c>
      <c r="E407" t="inlineStr">
        <is>
          <t>ÅSELE</t>
        </is>
      </c>
      <c r="F407" t="inlineStr">
        <is>
          <t>Holmen skog AB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31402-2022</t>
        </is>
      </c>
      <c r="B408" s="1" t="n">
        <v>44774</v>
      </c>
      <c r="C408" s="1" t="n">
        <v>45734</v>
      </c>
      <c r="D408" t="inlineStr">
        <is>
          <t>VÄSTERBOTTENS LÄN</t>
        </is>
      </c>
      <c r="E408" t="inlineStr">
        <is>
          <t>ÅSELE</t>
        </is>
      </c>
      <c r="G408" t="n">
        <v>7.7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31488-2022</t>
        </is>
      </c>
      <c r="B409" s="1" t="n">
        <v>44775</v>
      </c>
      <c r="C409" s="1" t="n">
        <v>45734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31848-2022</t>
        </is>
      </c>
      <c r="B410" s="1" t="n">
        <v>44776</v>
      </c>
      <c r="C410" s="1" t="n">
        <v>45734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32120-2022</t>
        </is>
      </c>
      <c r="B411" s="1" t="n">
        <v>44779</v>
      </c>
      <c r="C411" s="1" t="n">
        <v>45734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4.9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32117-2022</t>
        </is>
      </c>
      <c r="B412" s="1" t="n">
        <v>44778</v>
      </c>
      <c r="C412" s="1" t="n">
        <v>45734</v>
      </c>
      <c r="D412" t="inlineStr">
        <is>
          <t>VÄSTERBOTTENS LÄN</t>
        </is>
      </c>
      <c r="E412" t="inlineStr">
        <is>
          <t>ÅSELE</t>
        </is>
      </c>
      <c r="F412" t="inlineStr">
        <is>
          <t>SCA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32116-2022</t>
        </is>
      </c>
      <c r="B413" s="1" t="n">
        <v>44779</v>
      </c>
      <c r="C413" s="1" t="n">
        <v>45734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32214-2022</t>
        </is>
      </c>
      <c r="B414" s="1" t="n">
        <v>44781</v>
      </c>
      <c r="C414" s="1" t="n">
        <v>45734</v>
      </c>
      <c r="D414" t="inlineStr">
        <is>
          <t>VÄSTERBOTTENS LÄN</t>
        </is>
      </c>
      <c r="E414" t="inlineStr">
        <is>
          <t>ÅSELE</t>
        </is>
      </c>
      <c r="G414" t="n">
        <v>1.3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32359-2022</t>
        </is>
      </c>
      <c r="B415" s="1" t="n">
        <v>44781</v>
      </c>
      <c r="C415" s="1" t="n">
        <v>45734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11.8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32775-2022</t>
        </is>
      </c>
      <c r="B416" s="1" t="n">
        <v>44783</v>
      </c>
      <c r="C416" s="1" t="n">
        <v>45734</v>
      </c>
      <c r="D416" t="inlineStr">
        <is>
          <t>VÄSTERBOTTENS LÄN</t>
        </is>
      </c>
      <c r="E416" t="inlineStr">
        <is>
          <t>ÅSELE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34786-2022</t>
        </is>
      </c>
      <c r="B417" s="1" t="n">
        <v>44796</v>
      </c>
      <c r="C417" s="1" t="n">
        <v>45734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34788-2022</t>
        </is>
      </c>
      <c r="B418" s="1" t="n">
        <v>44795</v>
      </c>
      <c r="C418" s="1" t="n">
        <v>45734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18.4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34787-2022</t>
        </is>
      </c>
      <c r="B419" s="1" t="n">
        <v>44795</v>
      </c>
      <c r="C419" s="1" t="n">
        <v>45734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34807-2022</t>
        </is>
      </c>
      <c r="B420" s="1" t="n">
        <v>44796</v>
      </c>
      <c r="C420" s="1" t="n">
        <v>45734</v>
      </c>
      <c r="D420" t="inlineStr">
        <is>
          <t>VÄSTERBOTTENS LÄN</t>
        </is>
      </c>
      <c r="E420" t="inlineStr">
        <is>
          <t>ÅSELE</t>
        </is>
      </c>
      <c r="F420" t="inlineStr">
        <is>
          <t>SCA</t>
        </is>
      </c>
      <c r="G420" t="n">
        <v>5.4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35227-2022</t>
        </is>
      </c>
      <c r="B421" s="1" t="n">
        <v>44798</v>
      </c>
      <c r="C421" s="1" t="n">
        <v>45734</v>
      </c>
      <c r="D421" t="inlineStr">
        <is>
          <t>VÄSTERBOTTENS LÄN</t>
        </is>
      </c>
      <c r="E421" t="inlineStr">
        <is>
          <t>ÅSELE</t>
        </is>
      </c>
      <c r="F421" t="inlineStr">
        <is>
          <t>SCA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35585-2022</t>
        </is>
      </c>
      <c r="B422" s="1" t="n">
        <v>44799</v>
      </c>
      <c r="C422" s="1" t="n">
        <v>45734</v>
      </c>
      <c r="D422" t="inlineStr">
        <is>
          <t>VÄSTERBOTTENS LÄN</t>
        </is>
      </c>
      <c r="E422" t="inlineStr">
        <is>
          <t>ÅSELE</t>
        </is>
      </c>
      <c r="F422" t="inlineStr">
        <is>
          <t>Holmen skog AB</t>
        </is>
      </c>
      <c r="G422" t="n">
        <v>5.7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35598-2022</t>
        </is>
      </c>
      <c r="B423" s="1" t="n">
        <v>44799</v>
      </c>
      <c r="C423" s="1" t="n">
        <v>45734</v>
      </c>
      <c r="D423" t="inlineStr">
        <is>
          <t>VÄSTERBOTTENS LÄN</t>
        </is>
      </c>
      <c r="E423" t="inlineStr">
        <is>
          <t>ÅSELE</t>
        </is>
      </c>
      <c r="F423" t="inlineStr">
        <is>
          <t>Naturvårdsverket</t>
        </is>
      </c>
      <c r="G423" t="n">
        <v>16.2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36094-2022</t>
        </is>
      </c>
      <c r="B424" s="1" t="n">
        <v>44803</v>
      </c>
      <c r="C424" s="1" t="n">
        <v>45734</v>
      </c>
      <c r="D424" t="inlineStr">
        <is>
          <t>VÄSTERBOTTENS LÄN</t>
        </is>
      </c>
      <c r="E424" t="inlineStr">
        <is>
          <t>ÅSELE</t>
        </is>
      </c>
      <c r="F424" t="inlineStr">
        <is>
          <t>SCA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36186-2022</t>
        </is>
      </c>
      <c r="B425" s="1" t="n">
        <v>44803</v>
      </c>
      <c r="C425" s="1" t="n">
        <v>45734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36185-2022</t>
        </is>
      </c>
      <c r="B426" s="1" t="n">
        <v>44803</v>
      </c>
      <c r="C426" s="1" t="n">
        <v>45734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10.2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36184-2022</t>
        </is>
      </c>
      <c r="B427" s="1" t="n">
        <v>44803</v>
      </c>
      <c r="C427" s="1" t="n">
        <v>45734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7.9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36188-2022</t>
        </is>
      </c>
      <c r="B428" s="1" t="n">
        <v>44803</v>
      </c>
      <c r="C428" s="1" t="n">
        <v>45734</v>
      </c>
      <c r="D428" t="inlineStr">
        <is>
          <t>VÄSTERBOTTENS LÄN</t>
        </is>
      </c>
      <c r="E428" t="inlineStr">
        <is>
          <t>ÅSELE</t>
        </is>
      </c>
      <c r="F428" t="inlineStr">
        <is>
          <t>Sveaskog</t>
        </is>
      </c>
      <c r="G428" t="n">
        <v>14.2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36194-2022</t>
        </is>
      </c>
      <c r="B429" s="1" t="n">
        <v>44803</v>
      </c>
      <c r="C429" s="1" t="n">
        <v>45734</v>
      </c>
      <c r="D429" t="inlineStr">
        <is>
          <t>VÄSTERBOTTENS LÄN</t>
        </is>
      </c>
      <c r="E429" t="inlineStr">
        <is>
          <t>ÅSELE</t>
        </is>
      </c>
      <c r="F429" t="inlineStr">
        <is>
          <t>Sveaskog</t>
        </is>
      </c>
      <c r="G429" t="n">
        <v>14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37025-2022</t>
        </is>
      </c>
      <c r="B430" s="1" t="n">
        <v>44806</v>
      </c>
      <c r="C430" s="1" t="n">
        <v>45734</v>
      </c>
      <c r="D430" t="inlineStr">
        <is>
          <t>VÄSTERBOTTENS LÄN</t>
        </is>
      </c>
      <c r="E430" t="inlineStr">
        <is>
          <t>ÅSELE</t>
        </is>
      </c>
      <c r="F430" t="inlineStr">
        <is>
          <t>Naturvårdsverket</t>
        </is>
      </c>
      <c r="G430" t="n">
        <v>29.5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37284-2022</t>
        </is>
      </c>
      <c r="B431" s="1" t="n">
        <v>44807</v>
      </c>
      <c r="C431" s="1" t="n">
        <v>45734</v>
      </c>
      <c r="D431" t="inlineStr">
        <is>
          <t>VÄSTERBOTTENS LÄN</t>
        </is>
      </c>
      <c r="E431" t="inlineStr">
        <is>
          <t>ÅSELE</t>
        </is>
      </c>
      <c r="G431" t="n">
        <v>10.1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37311-2022</t>
        </is>
      </c>
      <c r="B432" s="1" t="n">
        <v>44809</v>
      </c>
      <c r="C432" s="1" t="n">
        <v>45734</v>
      </c>
      <c r="D432" t="inlineStr">
        <is>
          <t>VÄSTERBOTTENS LÄN</t>
        </is>
      </c>
      <c r="E432" t="inlineStr">
        <is>
          <t>ÅSELE</t>
        </is>
      </c>
      <c r="G432" t="n">
        <v>8.9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37313-2022</t>
        </is>
      </c>
      <c r="B433" s="1" t="n">
        <v>44809</v>
      </c>
      <c r="C433" s="1" t="n">
        <v>45734</v>
      </c>
      <c r="D433" t="inlineStr">
        <is>
          <t>VÄSTERBOTTENS LÄN</t>
        </is>
      </c>
      <c r="E433" t="inlineStr">
        <is>
          <t>ÅSELE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38513-2022</t>
        </is>
      </c>
      <c r="B434" s="1" t="n">
        <v>44813</v>
      </c>
      <c r="C434" s="1" t="n">
        <v>45734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16.3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38519-2022</t>
        </is>
      </c>
      <c r="B435" s="1" t="n">
        <v>44813</v>
      </c>
      <c r="C435" s="1" t="n">
        <v>45734</v>
      </c>
      <c r="D435" t="inlineStr">
        <is>
          <t>VÄSTERBOTTENS LÄN</t>
        </is>
      </c>
      <c r="E435" t="inlineStr">
        <is>
          <t>ÅSELE</t>
        </is>
      </c>
      <c r="F435" t="inlineStr">
        <is>
          <t>Sveaskog</t>
        </is>
      </c>
      <c r="G435" t="n">
        <v>14.2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38521-2022</t>
        </is>
      </c>
      <c r="B436" s="1" t="n">
        <v>44813</v>
      </c>
      <c r="C436" s="1" t="n">
        <v>45734</v>
      </c>
      <c r="D436" t="inlineStr">
        <is>
          <t>VÄSTERBOTTENS LÄN</t>
        </is>
      </c>
      <c r="E436" t="inlineStr">
        <is>
          <t>ÅSELE</t>
        </is>
      </c>
      <c r="F436" t="inlineStr">
        <is>
          <t>Sveaskog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38621-2022</t>
        </is>
      </c>
      <c r="B437" s="1" t="n">
        <v>44813</v>
      </c>
      <c r="C437" s="1" t="n">
        <v>45734</v>
      </c>
      <c r="D437" t="inlineStr">
        <is>
          <t>VÄSTERBOTTENS LÄN</t>
        </is>
      </c>
      <c r="E437" t="inlineStr">
        <is>
          <t>ÅSELE</t>
        </is>
      </c>
      <c r="F437" t="inlineStr">
        <is>
          <t>Holmen skog AB</t>
        </is>
      </c>
      <c r="G437" t="n">
        <v>42.7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38671-2022</t>
        </is>
      </c>
      <c r="B438" s="1" t="n">
        <v>44814</v>
      </c>
      <c r="C438" s="1" t="n">
        <v>45734</v>
      </c>
      <c r="D438" t="inlineStr">
        <is>
          <t>VÄSTERBOTTENS LÄN</t>
        </is>
      </c>
      <c r="E438" t="inlineStr">
        <is>
          <t>ÅSELE</t>
        </is>
      </c>
      <c r="F438" t="inlineStr">
        <is>
          <t>SCA</t>
        </is>
      </c>
      <c r="G438" t="n">
        <v>4.7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38979-2022</t>
        </is>
      </c>
      <c r="B439" s="1" t="n">
        <v>44816</v>
      </c>
      <c r="C439" s="1" t="n">
        <v>45734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38973-2022</t>
        </is>
      </c>
      <c r="B440" s="1" t="n">
        <v>44816</v>
      </c>
      <c r="C440" s="1" t="n">
        <v>45734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38977-2022</t>
        </is>
      </c>
      <c r="B441" s="1" t="n">
        <v>44816</v>
      </c>
      <c r="C441" s="1" t="n">
        <v>45734</v>
      </c>
      <c r="D441" t="inlineStr">
        <is>
          <t>VÄSTERBOTTENS LÄN</t>
        </is>
      </c>
      <c r="E441" t="inlineStr">
        <is>
          <t>ÅSELE</t>
        </is>
      </c>
      <c r="F441" t="inlineStr">
        <is>
          <t>Sveaskog</t>
        </is>
      </c>
      <c r="G441" t="n">
        <v>11.2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38976-2022</t>
        </is>
      </c>
      <c r="B442" s="1" t="n">
        <v>44816</v>
      </c>
      <c r="C442" s="1" t="n">
        <v>45734</v>
      </c>
      <c r="D442" t="inlineStr">
        <is>
          <t>VÄSTERBOTTENS LÄN</t>
        </is>
      </c>
      <c r="E442" t="inlineStr">
        <is>
          <t>ÅSELE</t>
        </is>
      </c>
      <c r="F442" t="inlineStr">
        <is>
          <t>Sveaskog</t>
        </is>
      </c>
      <c r="G442" t="n">
        <v>5.8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39386-2022</t>
        </is>
      </c>
      <c r="B443" s="1" t="n">
        <v>44818</v>
      </c>
      <c r="C443" s="1" t="n">
        <v>45734</v>
      </c>
      <c r="D443" t="inlineStr">
        <is>
          <t>VÄSTERBOTTENS LÄN</t>
        </is>
      </c>
      <c r="E443" t="inlineStr">
        <is>
          <t>ÅSELE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39401-2022</t>
        </is>
      </c>
      <c r="B444" s="1" t="n">
        <v>44818</v>
      </c>
      <c r="C444" s="1" t="n">
        <v>45734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3.2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39382-2022</t>
        </is>
      </c>
      <c r="B445" s="1" t="n">
        <v>44818</v>
      </c>
      <c r="C445" s="1" t="n">
        <v>45734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39400-2022</t>
        </is>
      </c>
      <c r="B446" s="1" t="n">
        <v>44818</v>
      </c>
      <c r="C446" s="1" t="n">
        <v>45734</v>
      </c>
      <c r="D446" t="inlineStr">
        <is>
          <t>VÄSTERBOTTENS LÄN</t>
        </is>
      </c>
      <c r="E446" t="inlineStr">
        <is>
          <t>ÅSELE</t>
        </is>
      </c>
      <c r="F446" t="inlineStr">
        <is>
          <t>SCA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39381-2022</t>
        </is>
      </c>
      <c r="B447" s="1" t="n">
        <v>44818</v>
      </c>
      <c r="C447" s="1" t="n">
        <v>45734</v>
      </c>
      <c r="D447" t="inlineStr">
        <is>
          <t>VÄSTERBOTTENS LÄN</t>
        </is>
      </c>
      <c r="E447" t="inlineStr">
        <is>
          <t>ÅSELE</t>
        </is>
      </c>
      <c r="F447" t="inlineStr">
        <is>
          <t>SCA</t>
        </is>
      </c>
      <c r="G447" t="n">
        <v>3.8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39722-2022</t>
        </is>
      </c>
      <c r="B448" s="1" t="n">
        <v>44819</v>
      </c>
      <c r="C448" s="1" t="n">
        <v>45734</v>
      </c>
      <c r="D448" t="inlineStr">
        <is>
          <t>VÄSTERBOTTENS LÄN</t>
        </is>
      </c>
      <c r="E448" t="inlineStr">
        <is>
          <t>ÅSELE</t>
        </is>
      </c>
      <c r="G448" t="n">
        <v>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40250-2022</t>
        </is>
      </c>
      <c r="B449" s="1" t="n">
        <v>44820</v>
      </c>
      <c r="C449" s="1" t="n">
        <v>45734</v>
      </c>
      <c r="D449" t="inlineStr">
        <is>
          <t>VÄSTERBOTTENS LÄN</t>
        </is>
      </c>
      <c r="E449" t="inlineStr">
        <is>
          <t>ÅSELE</t>
        </is>
      </c>
      <c r="F449" t="inlineStr">
        <is>
          <t>Sveaskog</t>
        </is>
      </c>
      <c r="G449" t="n">
        <v>4.1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41468-2022</t>
        </is>
      </c>
      <c r="B450" s="1" t="n">
        <v>44826</v>
      </c>
      <c r="C450" s="1" t="n">
        <v>45734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5.8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41466-2022</t>
        </is>
      </c>
      <c r="B451" s="1" t="n">
        <v>44826</v>
      </c>
      <c r="C451" s="1" t="n">
        <v>45734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4.2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42293-2022</t>
        </is>
      </c>
      <c r="B452" s="1" t="n">
        <v>44830</v>
      </c>
      <c r="C452" s="1" t="n">
        <v>45734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42658-2022</t>
        </is>
      </c>
      <c r="B453" s="1" t="n">
        <v>44832</v>
      </c>
      <c r="C453" s="1" t="n">
        <v>45734</v>
      </c>
      <c r="D453" t="inlineStr">
        <is>
          <t>VÄSTERBOTTENS LÄN</t>
        </is>
      </c>
      <c r="E453" t="inlineStr">
        <is>
          <t>ÅSELE</t>
        </is>
      </c>
      <c r="F453" t="inlineStr">
        <is>
          <t>SCA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43434-2022</t>
        </is>
      </c>
      <c r="B454" s="1" t="n">
        <v>44834</v>
      </c>
      <c r="C454" s="1" t="n">
        <v>45734</v>
      </c>
      <c r="D454" t="inlineStr">
        <is>
          <t>VÄSTERBOTTENS LÄN</t>
        </is>
      </c>
      <c r="E454" t="inlineStr">
        <is>
          <t>ÅSELE</t>
        </is>
      </c>
      <c r="F454" t="inlineStr">
        <is>
          <t>SCA</t>
        </is>
      </c>
      <c r="G454" t="n">
        <v>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44186-2022</t>
        </is>
      </c>
      <c r="B455" s="1" t="n">
        <v>44839</v>
      </c>
      <c r="C455" s="1" t="n">
        <v>45734</v>
      </c>
      <c r="D455" t="inlineStr">
        <is>
          <t>VÄSTERBOTTENS LÄN</t>
        </is>
      </c>
      <c r="E455" t="inlineStr">
        <is>
          <t>ÅSELE</t>
        </is>
      </c>
      <c r="F455" t="inlineStr">
        <is>
          <t>Holmen skog AB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44314-2022</t>
        </is>
      </c>
      <c r="B456" s="1" t="n">
        <v>44839</v>
      </c>
      <c r="C456" s="1" t="n">
        <v>45734</v>
      </c>
      <c r="D456" t="inlineStr">
        <is>
          <t>VÄSTERBOTTENS LÄN</t>
        </is>
      </c>
      <c r="E456" t="inlineStr">
        <is>
          <t>ÅSELE</t>
        </is>
      </c>
      <c r="F456" t="inlineStr">
        <is>
          <t>Holmen skog AB</t>
        </is>
      </c>
      <c r="G456" t="n">
        <v>5.4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45694-2022</t>
        </is>
      </c>
      <c r="B457" s="1" t="n">
        <v>44846</v>
      </c>
      <c r="C457" s="1" t="n">
        <v>45734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45693-2022</t>
        </is>
      </c>
      <c r="B458" s="1" t="n">
        <v>44846</v>
      </c>
      <c r="C458" s="1" t="n">
        <v>45734</v>
      </c>
      <c r="D458" t="inlineStr">
        <is>
          <t>VÄSTERBOTTENS LÄN</t>
        </is>
      </c>
      <c r="E458" t="inlineStr">
        <is>
          <t>ÅSELE</t>
        </is>
      </c>
      <c r="F458" t="inlineStr">
        <is>
          <t>SCA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45689-2022</t>
        </is>
      </c>
      <c r="B459" s="1" t="n">
        <v>44846</v>
      </c>
      <c r="C459" s="1" t="n">
        <v>45734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9.5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46102-2022</t>
        </is>
      </c>
      <c r="B460" s="1" t="n">
        <v>44847</v>
      </c>
      <c r="C460" s="1" t="n">
        <v>45734</v>
      </c>
      <c r="D460" t="inlineStr">
        <is>
          <t>VÄSTERBOTTENS LÄN</t>
        </is>
      </c>
      <c r="E460" t="inlineStr">
        <is>
          <t>ÅSELE</t>
        </is>
      </c>
      <c r="G460" t="n">
        <v>0.9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46340-2022</t>
        </is>
      </c>
      <c r="B461" s="1" t="n">
        <v>44848</v>
      </c>
      <c r="C461" s="1" t="n">
        <v>45734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2.2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46059-2022</t>
        </is>
      </c>
      <c r="B462" s="1" t="n">
        <v>44847</v>
      </c>
      <c r="C462" s="1" t="n">
        <v>45734</v>
      </c>
      <c r="D462" t="inlineStr">
        <is>
          <t>VÄSTERBOTTENS LÄN</t>
        </is>
      </c>
      <c r="E462" t="inlineStr">
        <is>
          <t>ÅSELE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46981-2022</t>
        </is>
      </c>
      <c r="B463" s="1" t="n">
        <v>44852</v>
      </c>
      <c r="C463" s="1" t="n">
        <v>45734</v>
      </c>
      <c r="D463" t="inlineStr">
        <is>
          <t>VÄSTERBOTTENS LÄN</t>
        </is>
      </c>
      <c r="E463" t="inlineStr">
        <is>
          <t>ÅSELE</t>
        </is>
      </c>
      <c r="F463" t="inlineStr">
        <is>
          <t>SCA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47789-2022</t>
        </is>
      </c>
      <c r="B464" s="1" t="n">
        <v>44855</v>
      </c>
      <c r="C464" s="1" t="n">
        <v>45734</v>
      </c>
      <c r="D464" t="inlineStr">
        <is>
          <t>VÄSTERBOTTENS LÄN</t>
        </is>
      </c>
      <c r="E464" t="inlineStr">
        <is>
          <t>ÅSELE</t>
        </is>
      </c>
      <c r="F464" t="inlineStr">
        <is>
          <t>SCA</t>
        </is>
      </c>
      <c r="G464" t="n">
        <v>5.3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48283-2022</t>
        </is>
      </c>
      <c r="B465" s="1" t="n">
        <v>44858</v>
      </c>
      <c r="C465" s="1" t="n">
        <v>45734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48280-2022</t>
        </is>
      </c>
      <c r="B466" s="1" t="n">
        <v>44858</v>
      </c>
      <c r="C466" s="1" t="n">
        <v>45734</v>
      </c>
      <c r="D466" t="inlineStr">
        <is>
          <t>VÄSTERBOTTENS LÄN</t>
        </is>
      </c>
      <c r="E466" t="inlineStr">
        <is>
          <t>ÅSELE</t>
        </is>
      </c>
      <c r="F466" t="inlineStr">
        <is>
          <t>Sveaskog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48772-2022</t>
        </is>
      </c>
      <c r="B467" s="1" t="n">
        <v>44859</v>
      </c>
      <c r="C467" s="1" t="n">
        <v>45734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26.9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49428-2022</t>
        </is>
      </c>
      <c r="B468" s="1" t="n">
        <v>44859</v>
      </c>
      <c r="C468" s="1" t="n">
        <v>45734</v>
      </c>
      <c r="D468" t="inlineStr">
        <is>
          <t>VÄSTERBOTTENS LÄN</t>
        </is>
      </c>
      <c r="E468" t="inlineStr">
        <is>
          <t>ÅSELE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49063-2022</t>
        </is>
      </c>
      <c r="B469" s="1" t="n">
        <v>44860</v>
      </c>
      <c r="C469" s="1" t="n">
        <v>45734</v>
      </c>
      <c r="D469" t="inlineStr">
        <is>
          <t>VÄSTERBOTTENS LÄN</t>
        </is>
      </c>
      <c r="E469" t="inlineStr">
        <is>
          <t>ÅSELE</t>
        </is>
      </c>
      <c r="F469" t="inlineStr">
        <is>
          <t>Sveaskog</t>
        </is>
      </c>
      <c r="G469" t="n">
        <v>17.1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49066-2022</t>
        </is>
      </c>
      <c r="B470" s="1" t="n">
        <v>44860</v>
      </c>
      <c r="C470" s="1" t="n">
        <v>45734</v>
      </c>
      <c r="D470" t="inlineStr">
        <is>
          <t>VÄSTERBOTTENS LÄN</t>
        </is>
      </c>
      <c r="E470" t="inlineStr">
        <is>
          <t>ÅSELE</t>
        </is>
      </c>
      <c r="F470" t="inlineStr">
        <is>
          <t>Sveaskog</t>
        </is>
      </c>
      <c r="G470" t="n">
        <v>3.9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49527-2022</t>
        </is>
      </c>
      <c r="B471" s="1" t="n">
        <v>44862</v>
      </c>
      <c r="C471" s="1" t="n">
        <v>45734</v>
      </c>
      <c r="D471" t="inlineStr">
        <is>
          <t>VÄSTERBOTTENS LÄN</t>
        </is>
      </c>
      <c r="E471" t="inlineStr">
        <is>
          <t>ÅSELE</t>
        </is>
      </c>
      <c r="F471" t="inlineStr">
        <is>
          <t>SCA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49664-2022</t>
        </is>
      </c>
      <c r="B472" s="1" t="n">
        <v>44862</v>
      </c>
      <c r="C472" s="1" t="n">
        <v>45734</v>
      </c>
      <c r="D472" t="inlineStr">
        <is>
          <t>VÄSTERBOTTENS LÄN</t>
        </is>
      </c>
      <c r="E472" t="inlineStr">
        <is>
          <t>ÅSELE</t>
        </is>
      </c>
      <c r="F472" t="inlineStr">
        <is>
          <t>Holmen skog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50539-2022</t>
        </is>
      </c>
      <c r="B473" s="1" t="n">
        <v>44866</v>
      </c>
      <c r="C473" s="1" t="n">
        <v>45734</v>
      </c>
      <c r="D473" t="inlineStr">
        <is>
          <t>VÄSTERBOTTENS LÄN</t>
        </is>
      </c>
      <c r="E473" t="inlineStr">
        <is>
          <t>ÅSELE</t>
        </is>
      </c>
      <c r="F473" t="inlineStr">
        <is>
          <t>Holmen skog AB</t>
        </is>
      </c>
      <c r="G473" t="n">
        <v>4.9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52159-2022</t>
        </is>
      </c>
      <c r="B474" s="1" t="n">
        <v>44868</v>
      </c>
      <c r="C474" s="1" t="n">
        <v>45734</v>
      </c>
      <c r="D474" t="inlineStr">
        <is>
          <t>VÄSTERBOTTENS LÄN</t>
        </is>
      </c>
      <c r="E474" t="inlineStr">
        <is>
          <t>ÅSELE</t>
        </is>
      </c>
      <c r="G474" t="n">
        <v>6.3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51994-2022</t>
        </is>
      </c>
      <c r="B475" s="1" t="n">
        <v>44872</v>
      </c>
      <c r="C475" s="1" t="n">
        <v>45734</v>
      </c>
      <c r="D475" t="inlineStr">
        <is>
          <t>VÄSTERBOTTENS LÄN</t>
        </is>
      </c>
      <c r="E475" t="inlineStr">
        <is>
          <t>ÅSELE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52025-2022</t>
        </is>
      </c>
      <c r="B476" s="1" t="n">
        <v>44872</v>
      </c>
      <c r="C476" s="1" t="n">
        <v>45734</v>
      </c>
      <c r="D476" t="inlineStr">
        <is>
          <t>VÄSTERBOTTENS LÄN</t>
        </is>
      </c>
      <c r="E476" t="inlineStr">
        <is>
          <t>ÅSELE</t>
        </is>
      </c>
      <c r="F476" t="inlineStr">
        <is>
          <t>SCA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53285-2022</t>
        </is>
      </c>
      <c r="B477" s="1" t="n">
        <v>44876</v>
      </c>
      <c r="C477" s="1" t="n">
        <v>45734</v>
      </c>
      <c r="D477" t="inlineStr">
        <is>
          <t>VÄSTERBOTTENS LÄN</t>
        </is>
      </c>
      <c r="E477" t="inlineStr">
        <is>
          <t>ÅSELE</t>
        </is>
      </c>
      <c r="F477" t="inlineStr">
        <is>
          <t>SCA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53638-2022</t>
        </is>
      </c>
      <c r="B478" s="1" t="n">
        <v>44879</v>
      </c>
      <c r="C478" s="1" t="n">
        <v>45734</v>
      </c>
      <c r="D478" t="inlineStr">
        <is>
          <t>VÄSTERBOTTENS LÄN</t>
        </is>
      </c>
      <c r="E478" t="inlineStr">
        <is>
          <t>ÅSELE</t>
        </is>
      </c>
      <c r="G478" t="n">
        <v>4.7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55132-2022</t>
        </is>
      </c>
      <c r="B479" s="1" t="n">
        <v>44886</v>
      </c>
      <c r="C479" s="1" t="n">
        <v>45734</v>
      </c>
      <c r="D479" t="inlineStr">
        <is>
          <t>VÄSTERBOTTENS LÄN</t>
        </is>
      </c>
      <c r="E479" t="inlineStr">
        <is>
          <t>ÅSELE</t>
        </is>
      </c>
      <c r="G479" t="n">
        <v>5.8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55128-2022</t>
        </is>
      </c>
      <c r="B480" s="1" t="n">
        <v>44886</v>
      </c>
      <c r="C480" s="1" t="n">
        <v>45734</v>
      </c>
      <c r="D480" t="inlineStr">
        <is>
          <t>VÄSTERBOTTENS LÄN</t>
        </is>
      </c>
      <c r="E480" t="inlineStr">
        <is>
          <t>ÅSELE</t>
        </is>
      </c>
      <c r="G480" t="n">
        <v>3.4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55139-2022</t>
        </is>
      </c>
      <c r="B481" s="1" t="n">
        <v>44886</v>
      </c>
      <c r="C481" s="1" t="n">
        <v>45734</v>
      </c>
      <c r="D481" t="inlineStr">
        <is>
          <t>VÄSTERBOTTENS LÄN</t>
        </is>
      </c>
      <c r="E481" t="inlineStr">
        <is>
          <t>ÅSELE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55238-2022</t>
        </is>
      </c>
      <c r="B482" s="1" t="n">
        <v>44887</v>
      </c>
      <c r="C482" s="1" t="n">
        <v>45734</v>
      </c>
      <c r="D482" t="inlineStr">
        <is>
          <t>VÄSTERBOTTENS LÄN</t>
        </is>
      </c>
      <c r="E482" t="inlineStr">
        <is>
          <t>ÅSELE</t>
        </is>
      </c>
      <c r="F482" t="inlineStr">
        <is>
          <t>SCA</t>
        </is>
      </c>
      <c r="G482" t="n">
        <v>3.8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56572-2022</t>
        </is>
      </c>
      <c r="B483" s="1" t="n">
        <v>44888</v>
      </c>
      <c r="C483" s="1" t="n">
        <v>45734</v>
      </c>
      <c r="D483" t="inlineStr">
        <is>
          <t>VÄSTERBOTTENS LÄN</t>
        </is>
      </c>
      <c r="E483" t="inlineStr">
        <is>
          <t>ÅSELE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56646-2022</t>
        </is>
      </c>
      <c r="B484" s="1" t="n">
        <v>44888</v>
      </c>
      <c r="C484" s="1" t="n">
        <v>45734</v>
      </c>
      <c r="D484" t="inlineStr">
        <is>
          <t>VÄSTERBOTTENS LÄN</t>
        </is>
      </c>
      <c r="E484" t="inlineStr">
        <is>
          <t>ÅSELE</t>
        </is>
      </c>
      <c r="G484" t="n">
        <v>5.1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58386-2022</t>
        </is>
      </c>
      <c r="B485" s="1" t="n">
        <v>44894</v>
      </c>
      <c r="C485" s="1" t="n">
        <v>45734</v>
      </c>
      <c r="D485" t="inlineStr">
        <is>
          <t>VÄSTERBOTTENS LÄN</t>
        </is>
      </c>
      <c r="E485" t="inlineStr">
        <is>
          <t>ÅSELE</t>
        </is>
      </c>
      <c r="F485" t="inlineStr">
        <is>
          <t>Kommuner</t>
        </is>
      </c>
      <c r="G485" t="n">
        <v>25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59690-2022</t>
        </is>
      </c>
      <c r="B486" s="1" t="n">
        <v>44908</v>
      </c>
      <c r="C486" s="1" t="n">
        <v>45734</v>
      </c>
      <c r="D486" t="inlineStr">
        <is>
          <t>VÄSTERBOTTENS LÄN</t>
        </is>
      </c>
      <c r="E486" t="inlineStr">
        <is>
          <t>ÅSELE</t>
        </is>
      </c>
      <c r="G486" t="n">
        <v>6.2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59691-2022</t>
        </is>
      </c>
      <c r="B487" s="1" t="n">
        <v>44908</v>
      </c>
      <c r="C487" s="1" t="n">
        <v>45734</v>
      </c>
      <c r="D487" t="inlineStr">
        <is>
          <t>VÄSTERBOTTENS LÄN</t>
        </is>
      </c>
      <c r="E487" t="inlineStr">
        <is>
          <t>ÅSELE</t>
        </is>
      </c>
      <c r="G487" t="n">
        <v>2.7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60873-2022</t>
        </is>
      </c>
      <c r="B488" s="1" t="n">
        <v>44908</v>
      </c>
      <c r="C488" s="1" t="n">
        <v>45734</v>
      </c>
      <c r="D488" t="inlineStr">
        <is>
          <t>VÄSTERBOTTENS LÄN</t>
        </is>
      </c>
      <c r="E488" t="inlineStr">
        <is>
          <t>ÅSELE</t>
        </is>
      </c>
      <c r="G488" t="n">
        <v>1.6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60868-2022</t>
        </is>
      </c>
      <c r="B489" s="1" t="n">
        <v>44908</v>
      </c>
      <c r="C489" s="1" t="n">
        <v>45734</v>
      </c>
      <c r="D489" t="inlineStr">
        <is>
          <t>VÄSTERBOTTENS LÄN</t>
        </is>
      </c>
      <c r="E489" t="inlineStr">
        <is>
          <t>ÅSELE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60967-2022</t>
        </is>
      </c>
      <c r="B490" s="1" t="n">
        <v>44908</v>
      </c>
      <c r="C490" s="1" t="n">
        <v>45734</v>
      </c>
      <c r="D490" t="inlineStr">
        <is>
          <t>VÄSTERBOTTENS LÄN</t>
        </is>
      </c>
      <c r="E490" t="inlineStr">
        <is>
          <t>ÅSELE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60866-2022</t>
        </is>
      </c>
      <c r="B491" s="1" t="n">
        <v>44908</v>
      </c>
      <c r="C491" s="1" t="n">
        <v>45734</v>
      </c>
      <c r="D491" t="inlineStr">
        <is>
          <t>VÄSTERBOTTENS LÄN</t>
        </is>
      </c>
      <c r="E491" t="inlineStr">
        <is>
          <t>ÅSELE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60698-2022</t>
        </is>
      </c>
      <c r="B492" s="1" t="n">
        <v>44911</v>
      </c>
      <c r="C492" s="1" t="n">
        <v>45734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60694-2022</t>
        </is>
      </c>
      <c r="B493" s="1" t="n">
        <v>44911</v>
      </c>
      <c r="C493" s="1" t="n">
        <v>45734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61397-2022</t>
        </is>
      </c>
      <c r="B494" s="1" t="n">
        <v>44915</v>
      </c>
      <c r="C494" s="1" t="n">
        <v>45734</v>
      </c>
      <c r="D494" t="inlineStr">
        <is>
          <t>VÄSTERBOTTENS LÄN</t>
        </is>
      </c>
      <c r="E494" t="inlineStr">
        <is>
          <t>ÅSELE</t>
        </is>
      </c>
      <c r="F494" t="inlineStr">
        <is>
          <t>SCA</t>
        </is>
      </c>
      <c r="G494" t="n">
        <v>3.2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61398-2022</t>
        </is>
      </c>
      <c r="B495" s="1" t="n">
        <v>44915</v>
      </c>
      <c r="C495" s="1" t="n">
        <v>45734</v>
      </c>
      <c r="D495" t="inlineStr">
        <is>
          <t>VÄSTERBOTTENS LÄN</t>
        </is>
      </c>
      <c r="E495" t="inlineStr">
        <is>
          <t>ÅSELE</t>
        </is>
      </c>
      <c r="F495" t="inlineStr">
        <is>
          <t>SCA</t>
        </is>
      </c>
      <c r="G495" t="n">
        <v>7.2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61691-2022</t>
        </is>
      </c>
      <c r="B496" s="1" t="n">
        <v>44917</v>
      </c>
      <c r="C496" s="1" t="n">
        <v>45734</v>
      </c>
      <c r="D496" t="inlineStr">
        <is>
          <t>VÄSTERBOTTENS LÄN</t>
        </is>
      </c>
      <c r="E496" t="inlineStr">
        <is>
          <t>ÅSELE</t>
        </is>
      </c>
      <c r="F496" t="inlineStr">
        <is>
          <t>Sveaskog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61689-2022</t>
        </is>
      </c>
      <c r="B497" s="1" t="n">
        <v>44917</v>
      </c>
      <c r="C497" s="1" t="n">
        <v>45734</v>
      </c>
      <c r="D497" t="inlineStr">
        <is>
          <t>VÄSTERBOTTENS LÄN</t>
        </is>
      </c>
      <c r="E497" t="inlineStr">
        <is>
          <t>ÅSELE</t>
        </is>
      </c>
      <c r="F497" t="inlineStr">
        <is>
          <t>Sveaskog</t>
        </is>
      </c>
      <c r="G497" t="n">
        <v>9.6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62259-2022</t>
        </is>
      </c>
      <c r="B498" s="1" t="n">
        <v>44922</v>
      </c>
      <c r="C498" s="1" t="n">
        <v>45734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5.4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62748-2022</t>
        </is>
      </c>
      <c r="B499" s="1" t="n">
        <v>44925</v>
      </c>
      <c r="C499" s="1" t="n">
        <v>45734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62747-2022</t>
        </is>
      </c>
      <c r="B500" s="1" t="n">
        <v>44925</v>
      </c>
      <c r="C500" s="1" t="n">
        <v>45734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289-2023</t>
        </is>
      </c>
      <c r="B501" s="1" t="n">
        <v>44928</v>
      </c>
      <c r="C501" s="1" t="n">
        <v>45734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479-2023</t>
        </is>
      </c>
      <c r="B502" s="1" t="n">
        <v>44929</v>
      </c>
      <c r="C502" s="1" t="n">
        <v>45734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9.800000000000001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1225-2023</t>
        </is>
      </c>
      <c r="B503" s="1" t="n">
        <v>44936</v>
      </c>
      <c r="C503" s="1" t="n">
        <v>45734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3.1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1227-2023</t>
        </is>
      </c>
      <c r="B504" s="1" t="n">
        <v>44936</v>
      </c>
      <c r="C504" s="1" t="n">
        <v>45734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6.6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1228-2023</t>
        </is>
      </c>
      <c r="B505" s="1" t="n">
        <v>44936</v>
      </c>
      <c r="C505" s="1" t="n">
        <v>45734</v>
      </c>
      <c r="D505" t="inlineStr">
        <is>
          <t>VÄSTERBOTTENS LÄN</t>
        </is>
      </c>
      <c r="E505" t="inlineStr">
        <is>
          <t>ÅSELE</t>
        </is>
      </c>
      <c r="F505" t="inlineStr">
        <is>
          <t>SCA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1226-2023</t>
        </is>
      </c>
      <c r="B506" s="1" t="n">
        <v>44936</v>
      </c>
      <c r="C506" s="1" t="n">
        <v>45734</v>
      </c>
      <c r="D506" t="inlineStr">
        <is>
          <t>VÄSTERBOTTENS LÄN</t>
        </is>
      </c>
      <c r="E506" t="inlineStr">
        <is>
          <t>ÅSELE</t>
        </is>
      </c>
      <c r="F506" t="inlineStr">
        <is>
          <t>SCA</t>
        </is>
      </c>
      <c r="G506" t="n">
        <v>1.8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1719-2023</t>
        </is>
      </c>
      <c r="B507" s="1" t="n">
        <v>44936</v>
      </c>
      <c r="C507" s="1" t="n">
        <v>45734</v>
      </c>
      <c r="D507" t="inlineStr">
        <is>
          <t>VÄSTERBOTTENS LÄN</t>
        </is>
      </c>
      <c r="E507" t="inlineStr">
        <is>
          <t>ÅSELE</t>
        </is>
      </c>
      <c r="G507" t="n">
        <v>7.4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1407-2023</t>
        </is>
      </c>
      <c r="B508" s="1" t="n">
        <v>44936</v>
      </c>
      <c r="C508" s="1" t="n">
        <v>45734</v>
      </c>
      <c r="D508" t="inlineStr">
        <is>
          <t>VÄSTERBOTTENS LÄN</t>
        </is>
      </c>
      <c r="E508" t="inlineStr">
        <is>
          <t>ÅSELE</t>
        </is>
      </c>
      <c r="G508" t="n">
        <v>11.5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1409-2023</t>
        </is>
      </c>
      <c r="B509" s="1" t="n">
        <v>44936</v>
      </c>
      <c r="C509" s="1" t="n">
        <v>45734</v>
      </c>
      <c r="D509" t="inlineStr">
        <is>
          <t>VÄSTERBOTTENS LÄN</t>
        </is>
      </c>
      <c r="E509" t="inlineStr">
        <is>
          <t>ÅSELE</t>
        </is>
      </c>
      <c r="G509" t="n">
        <v>4.8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1651-2023</t>
        </is>
      </c>
      <c r="B510" s="1" t="n">
        <v>44937</v>
      </c>
      <c r="C510" s="1" t="n">
        <v>45734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12.2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1872-2023</t>
        </is>
      </c>
      <c r="B511" s="1" t="n">
        <v>44938</v>
      </c>
      <c r="C511" s="1" t="n">
        <v>45734</v>
      </c>
      <c r="D511" t="inlineStr">
        <is>
          <t>VÄSTERBOTTENS LÄN</t>
        </is>
      </c>
      <c r="E511" t="inlineStr">
        <is>
          <t>ÅSELE</t>
        </is>
      </c>
      <c r="F511" t="inlineStr">
        <is>
          <t>SCA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1873-2023</t>
        </is>
      </c>
      <c r="B512" s="1" t="n">
        <v>44938</v>
      </c>
      <c r="C512" s="1" t="n">
        <v>45734</v>
      </c>
      <c r="D512" t="inlineStr">
        <is>
          <t>VÄSTERBOTTENS LÄN</t>
        </is>
      </c>
      <c r="E512" t="inlineStr">
        <is>
          <t>ÅSELE</t>
        </is>
      </c>
      <c r="F512" t="inlineStr">
        <is>
          <t>SCA</t>
        </is>
      </c>
      <c r="G512" t="n">
        <v>5.5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2485-2023</t>
        </is>
      </c>
      <c r="B513" s="1" t="n">
        <v>44943</v>
      </c>
      <c r="C513" s="1" t="n">
        <v>45734</v>
      </c>
      <c r="D513" t="inlineStr">
        <is>
          <t>VÄSTERBOTTENS LÄN</t>
        </is>
      </c>
      <c r="E513" t="inlineStr">
        <is>
          <t>ÅSELE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2475-2023</t>
        </is>
      </c>
      <c r="B514" s="1" t="n">
        <v>44943</v>
      </c>
      <c r="C514" s="1" t="n">
        <v>45734</v>
      </c>
      <c r="D514" t="inlineStr">
        <is>
          <t>VÄSTERBOTTENS LÄN</t>
        </is>
      </c>
      <c r="E514" t="inlineStr">
        <is>
          <t>ÅSELE</t>
        </is>
      </c>
      <c r="G514" t="n">
        <v>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2469-2023</t>
        </is>
      </c>
      <c r="B515" s="1" t="n">
        <v>44943</v>
      </c>
      <c r="C515" s="1" t="n">
        <v>45734</v>
      </c>
      <c r="D515" t="inlineStr">
        <is>
          <t>VÄSTERBOTTENS LÄN</t>
        </is>
      </c>
      <c r="E515" t="inlineStr">
        <is>
          <t>ÅSELE</t>
        </is>
      </c>
      <c r="G515" t="n">
        <v>13.3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2593-2023</t>
        </is>
      </c>
      <c r="B516" s="1" t="n">
        <v>44943</v>
      </c>
      <c r="C516" s="1" t="n">
        <v>45734</v>
      </c>
      <c r="D516" t="inlineStr">
        <is>
          <t>VÄSTERBOTTENS LÄN</t>
        </is>
      </c>
      <c r="E516" t="inlineStr">
        <is>
          <t>ÅSELE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3701-2023</t>
        </is>
      </c>
      <c r="B517" s="1" t="n">
        <v>44950</v>
      </c>
      <c r="C517" s="1" t="n">
        <v>45734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15.5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3700-2023</t>
        </is>
      </c>
      <c r="B518" s="1" t="n">
        <v>44950</v>
      </c>
      <c r="C518" s="1" t="n">
        <v>45734</v>
      </c>
      <c r="D518" t="inlineStr">
        <is>
          <t>VÄSTERBOTTENS LÄN</t>
        </is>
      </c>
      <c r="E518" t="inlineStr">
        <is>
          <t>ÅSELE</t>
        </is>
      </c>
      <c r="F518" t="inlineStr">
        <is>
          <t>SCA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3898-2023</t>
        </is>
      </c>
      <c r="B519" s="1" t="n">
        <v>44951</v>
      </c>
      <c r="C519" s="1" t="n">
        <v>45734</v>
      </c>
      <c r="D519" t="inlineStr">
        <is>
          <t>VÄSTERBOTTENS LÄN</t>
        </is>
      </c>
      <c r="E519" t="inlineStr">
        <is>
          <t>ÅSELE</t>
        </is>
      </c>
      <c r="F519" t="inlineStr">
        <is>
          <t>SCA</t>
        </is>
      </c>
      <c r="G519" t="n">
        <v>9.300000000000001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4086-2023</t>
        </is>
      </c>
      <c r="B520" s="1" t="n">
        <v>44952</v>
      </c>
      <c r="C520" s="1" t="n">
        <v>45734</v>
      </c>
      <c r="D520" t="inlineStr">
        <is>
          <t>VÄSTERBOTTENS LÄN</t>
        </is>
      </c>
      <c r="E520" t="inlineStr">
        <is>
          <t>ÅSELE</t>
        </is>
      </c>
      <c r="G520" t="n">
        <v>5.3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4462-2023</t>
        </is>
      </c>
      <c r="B521" s="1" t="n">
        <v>44952</v>
      </c>
      <c r="C521" s="1" t="n">
        <v>45734</v>
      </c>
      <c r="D521" t="inlineStr">
        <is>
          <t>VÄSTERBOTTENS LÄN</t>
        </is>
      </c>
      <c r="E521" t="inlineStr">
        <is>
          <t>ÅSELE</t>
        </is>
      </c>
      <c r="G521" t="n">
        <v>0.9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4084-2023</t>
        </is>
      </c>
      <c r="B522" s="1" t="n">
        <v>44952</v>
      </c>
      <c r="C522" s="1" t="n">
        <v>45734</v>
      </c>
      <c r="D522" t="inlineStr">
        <is>
          <t>VÄSTERBOTTENS LÄN</t>
        </is>
      </c>
      <c r="E522" t="inlineStr">
        <is>
          <t>ÅSELE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4093-2023</t>
        </is>
      </c>
      <c r="B523" s="1" t="n">
        <v>44952</v>
      </c>
      <c r="C523" s="1" t="n">
        <v>45734</v>
      </c>
      <c r="D523" t="inlineStr">
        <is>
          <t>VÄSTERBOTTENS LÄN</t>
        </is>
      </c>
      <c r="E523" t="inlineStr">
        <is>
          <t>ÅSELE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4464-2023</t>
        </is>
      </c>
      <c r="B524" s="1" t="n">
        <v>44952</v>
      </c>
      <c r="C524" s="1" t="n">
        <v>45734</v>
      </c>
      <c r="D524" t="inlineStr">
        <is>
          <t>VÄSTERBOTTENS LÄN</t>
        </is>
      </c>
      <c r="E524" t="inlineStr">
        <is>
          <t>ÅSELE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4465-2023</t>
        </is>
      </c>
      <c r="B525" s="1" t="n">
        <v>44952</v>
      </c>
      <c r="C525" s="1" t="n">
        <v>45734</v>
      </c>
      <c r="D525" t="inlineStr">
        <is>
          <t>VÄSTERBOTTENS LÄN</t>
        </is>
      </c>
      <c r="E525" t="inlineStr">
        <is>
          <t>ÅSELE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4342-2023</t>
        </is>
      </c>
      <c r="B526" s="1" t="n">
        <v>44954</v>
      </c>
      <c r="C526" s="1" t="n">
        <v>45734</v>
      </c>
      <c r="D526" t="inlineStr">
        <is>
          <t>VÄSTERBOTTENS LÄN</t>
        </is>
      </c>
      <c r="E526" t="inlineStr">
        <is>
          <t>ÅSELE</t>
        </is>
      </c>
      <c r="F526" t="inlineStr">
        <is>
          <t>SCA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4786-2023</t>
        </is>
      </c>
      <c r="B527" s="1" t="n">
        <v>44953</v>
      </c>
      <c r="C527" s="1" t="n">
        <v>45734</v>
      </c>
      <c r="D527" t="inlineStr">
        <is>
          <t>VÄSTERBOTTENS LÄN</t>
        </is>
      </c>
      <c r="E527" t="inlineStr">
        <is>
          <t>ÅSELE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5800-2023</t>
        </is>
      </c>
      <c r="B528" s="1" t="n">
        <v>44958</v>
      </c>
      <c r="C528" s="1" t="n">
        <v>45734</v>
      </c>
      <c r="D528" t="inlineStr">
        <is>
          <t>VÄSTERBOTTENS LÄN</t>
        </is>
      </c>
      <c r="E528" t="inlineStr">
        <is>
          <t>ÅSELE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5444-2023</t>
        </is>
      </c>
      <c r="B529" s="1" t="n">
        <v>44959</v>
      </c>
      <c r="C529" s="1" t="n">
        <v>45734</v>
      </c>
      <c r="D529" t="inlineStr">
        <is>
          <t>VÄSTERBOTTENS LÄN</t>
        </is>
      </c>
      <c r="E529" t="inlineStr">
        <is>
          <t>ÅSELE</t>
        </is>
      </c>
      <c r="F529" t="inlineStr">
        <is>
          <t>SCA</t>
        </is>
      </c>
      <c r="G529" t="n">
        <v>4.5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5696-2023</t>
        </is>
      </c>
      <c r="B530" s="1" t="n">
        <v>44960</v>
      </c>
      <c r="C530" s="1" t="n">
        <v>45734</v>
      </c>
      <c r="D530" t="inlineStr">
        <is>
          <t>VÄSTERBOTTENS LÄN</t>
        </is>
      </c>
      <c r="E530" t="inlineStr">
        <is>
          <t>ÅSELE</t>
        </is>
      </c>
      <c r="F530" t="inlineStr">
        <is>
          <t>SCA</t>
        </is>
      </c>
      <c r="G530" t="n">
        <v>23.2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5621-2023</t>
        </is>
      </c>
      <c r="B531" s="1" t="n">
        <v>44960</v>
      </c>
      <c r="C531" s="1" t="n">
        <v>45734</v>
      </c>
      <c r="D531" t="inlineStr">
        <is>
          <t>VÄSTERBOTTENS LÄN</t>
        </is>
      </c>
      <c r="E531" t="inlineStr">
        <is>
          <t>ÅSELE</t>
        </is>
      </c>
      <c r="G531" t="n">
        <v>4.2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5613-2023</t>
        </is>
      </c>
      <c r="B532" s="1" t="n">
        <v>44960</v>
      </c>
      <c r="C532" s="1" t="n">
        <v>45734</v>
      </c>
      <c r="D532" t="inlineStr">
        <is>
          <t>VÄSTERBOTTENS LÄN</t>
        </is>
      </c>
      <c r="E532" t="inlineStr">
        <is>
          <t>ÅSELE</t>
        </is>
      </c>
      <c r="G532" t="n">
        <v>13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6233-2023</t>
        </is>
      </c>
      <c r="B533" s="1" t="n">
        <v>44964</v>
      </c>
      <c r="C533" s="1" t="n">
        <v>45734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6784-2023</t>
        </is>
      </c>
      <c r="B534" s="1" t="n">
        <v>44966</v>
      </c>
      <c r="C534" s="1" t="n">
        <v>45734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6.9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6785-2023</t>
        </is>
      </c>
      <c r="B535" s="1" t="n">
        <v>44966</v>
      </c>
      <c r="C535" s="1" t="n">
        <v>45734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4.8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7016-2023</t>
        </is>
      </c>
      <c r="B536" s="1" t="n">
        <v>44967</v>
      </c>
      <c r="C536" s="1" t="n">
        <v>45734</v>
      </c>
      <c r="D536" t="inlineStr">
        <is>
          <t>VÄSTERBOTTENS LÄN</t>
        </is>
      </c>
      <c r="E536" t="inlineStr">
        <is>
          <t>ÅSELE</t>
        </is>
      </c>
      <c r="F536" t="inlineStr">
        <is>
          <t>SCA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7017-2023</t>
        </is>
      </c>
      <c r="B537" s="1" t="n">
        <v>44967</v>
      </c>
      <c r="C537" s="1" t="n">
        <v>45734</v>
      </c>
      <c r="D537" t="inlineStr">
        <is>
          <t>VÄSTERBOTTENS LÄN</t>
        </is>
      </c>
      <c r="E537" t="inlineStr">
        <is>
          <t>ÅSELE</t>
        </is>
      </c>
      <c r="F537" t="inlineStr">
        <is>
          <t>SCA</t>
        </is>
      </c>
      <c r="G537" t="n">
        <v>6.8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8136-2023</t>
        </is>
      </c>
      <c r="B538" s="1" t="n">
        <v>44970</v>
      </c>
      <c r="C538" s="1" t="n">
        <v>45734</v>
      </c>
      <c r="D538" t="inlineStr">
        <is>
          <t>VÄSTERBOTTENS LÄN</t>
        </is>
      </c>
      <c r="E538" t="inlineStr">
        <is>
          <t>ÅSELE</t>
        </is>
      </c>
      <c r="G538" t="n">
        <v>4.8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8094-2023</t>
        </is>
      </c>
      <c r="B539" s="1" t="n">
        <v>44970</v>
      </c>
      <c r="C539" s="1" t="n">
        <v>45734</v>
      </c>
      <c r="D539" t="inlineStr">
        <is>
          <t>VÄSTERBOTTENS LÄN</t>
        </is>
      </c>
      <c r="E539" t="inlineStr">
        <is>
          <t>ÅSELE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8055-2023</t>
        </is>
      </c>
      <c r="B540" s="1" t="n">
        <v>44970</v>
      </c>
      <c r="C540" s="1" t="n">
        <v>45734</v>
      </c>
      <c r="D540" t="inlineStr">
        <is>
          <t>VÄSTERBOTTENS LÄN</t>
        </is>
      </c>
      <c r="E540" t="inlineStr">
        <is>
          <t>ÅSELE</t>
        </is>
      </c>
      <c r="G540" t="n">
        <v>12.7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7512-2023</t>
        </is>
      </c>
      <c r="B541" s="1" t="n">
        <v>44971</v>
      </c>
      <c r="C541" s="1" t="n">
        <v>45734</v>
      </c>
      <c r="D541" t="inlineStr">
        <is>
          <t>VÄSTERBOTTENS LÄN</t>
        </is>
      </c>
      <c r="E541" t="inlineStr">
        <is>
          <t>ÅSELE</t>
        </is>
      </c>
      <c r="G541" t="n">
        <v>0.8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8247-2023</t>
        </is>
      </c>
      <c r="B542" s="1" t="n">
        <v>44971</v>
      </c>
      <c r="C542" s="1" t="n">
        <v>45734</v>
      </c>
      <c r="D542" t="inlineStr">
        <is>
          <t>VÄSTERBOTTENS LÄN</t>
        </is>
      </c>
      <c r="E542" t="inlineStr">
        <is>
          <t>ÅSELE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8190-2023</t>
        </is>
      </c>
      <c r="B543" s="1" t="n">
        <v>44971</v>
      </c>
      <c r="C543" s="1" t="n">
        <v>45734</v>
      </c>
      <c r="D543" t="inlineStr">
        <is>
          <t>VÄSTERBOTTENS LÄN</t>
        </is>
      </c>
      <c r="E543" t="inlineStr">
        <is>
          <t>ÅSELE</t>
        </is>
      </c>
      <c r="G543" t="n">
        <v>5.8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7991-2023</t>
        </is>
      </c>
      <c r="B544" s="1" t="n">
        <v>44973</v>
      </c>
      <c r="C544" s="1" t="n">
        <v>45734</v>
      </c>
      <c r="D544" t="inlineStr">
        <is>
          <t>VÄSTERBOTTENS LÄN</t>
        </is>
      </c>
      <c r="E544" t="inlineStr">
        <is>
          <t>ÅSELE</t>
        </is>
      </c>
      <c r="G544" t="n">
        <v>4.2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9495-2023</t>
        </is>
      </c>
      <c r="B545" s="1" t="n">
        <v>44973</v>
      </c>
      <c r="C545" s="1" t="n">
        <v>45734</v>
      </c>
      <c r="D545" t="inlineStr">
        <is>
          <t>VÄSTERBOTTENS LÄN</t>
        </is>
      </c>
      <c r="E545" t="inlineStr">
        <is>
          <t>ÅSELE</t>
        </is>
      </c>
      <c r="G545" t="n">
        <v>0.9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8634-2023</t>
        </is>
      </c>
      <c r="B546" s="1" t="n">
        <v>44977</v>
      </c>
      <c r="C546" s="1" t="n">
        <v>45734</v>
      </c>
      <c r="D546" t="inlineStr">
        <is>
          <t>VÄSTERBOTTENS LÄN</t>
        </is>
      </c>
      <c r="E546" t="inlineStr">
        <is>
          <t>ÅSELE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8682-2023</t>
        </is>
      </c>
      <c r="B547" s="1" t="n">
        <v>44978</v>
      </c>
      <c r="C547" s="1" t="n">
        <v>45734</v>
      </c>
      <c r="D547" t="inlineStr">
        <is>
          <t>VÄSTERBOTTENS LÄN</t>
        </is>
      </c>
      <c r="E547" t="inlineStr">
        <is>
          <t>ÅSELE</t>
        </is>
      </c>
      <c r="F547" t="inlineStr">
        <is>
          <t>SCA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8681-2023</t>
        </is>
      </c>
      <c r="B548" s="1" t="n">
        <v>44978</v>
      </c>
      <c r="C548" s="1" t="n">
        <v>45734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9266-2023</t>
        </is>
      </c>
      <c r="B549" s="1" t="n">
        <v>44977</v>
      </c>
      <c r="C549" s="1" t="n">
        <v>45734</v>
      </c>
      <c r="D549" t="inlineStr">
        <is>
          <t>VÄSTERBOTTENS LÄN</t>
        </is>
      </c>
      <c r="E549" t="inlineStr">
        <is>
          <t>ÅSELE</t>
        </is>
      </c>
      <c r="G549" t="n">
        <v>4.6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9355-2023</t>
        </is>
      </c>
      <c r="B550" s="1" t="n">
        <v>44980</v>
      </c>
      <c r="C550" s="1" t="n">
        <v>45734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9856-2023</t>
        </is>
      </c>
      <c r="B551" s="1" t="n">
        <v>44984</v>
      </c>
      <c r="C551" s="1" t="n">
        <v>45734</v>
      </c>
      <c r="D551" t="inlineStr">
        <is>
          <t>VÄSTERBOTTENS LÄN</t>
        </is>
      </c>
      <c r="E551" t="inlineStr">
        <is>
          <t>ÅSELE</t>
        </is>
      </c>
      <c r="F551" t="inlineStr">
        <is>
          <t>SCA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9855-2023</t>
        </is>
      </c>
      <c r="B552" s="1" t="n">
        <v>44984</v>
      </c>
      <c r="C552" s="1" t="n">
        <v>45734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10582-2023</t>
        </is>
      </c>
      <c r="B553" s="1" t="n">
        <v>44984</v>
      </c>
      <c r="C553" s="1" t="n">
        <v>45734</v>
      </c>
      <c r="D553" t="inlineStr">
        <is>
          <t>VÄSTERBOTTENS LÄN</t>
        </is>
      </c>
      <c r="E553" t="inlineStr">
        <is>
          <t>ÅSELE</t>
        </is>
      </c>
      <c r="G553" t="n">
        <v>1.9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10080-2023</t>
        </is>
      </c>
      <c r="B554" s="1" t="n">
        <v>44985</v>
      </c>
      <c r="C554" s="1" t="n">
        <v>45734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6.6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10082-2023</t>
        </is>
      </c>
      <c r="B555" s="1" t="n">
        <v>44985</v>
      </c>
      <c r="C555" s="1" t="n">
        <v>45734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10302-2023</t>
        </is>
      </c>
      <c r="B556" s="1" t="n">
        <v>44986</v>
      </c>
      <c r="C556" s="1" t="n">
        <v>45734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3.2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10301-2023</t>
        </is>
      </c>
      <c r="B557" s="1" t="n">
        <v>44986</v>
      </c>
      <c r="C557" s="1" t="n">
        <v>45734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8.4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10299-2023</t>
        </is>
      </c>
      <c r="B558" s="1" t="n">
        <v>44986</v>
      </c>
      <c r="C558" s="1" t="n">
        <v>45734</v>
      </c>
      <c r="D558" t="inlineStr">
        <is>
          <t>VÄSTERBOTTENS LÄN</t>
        </is>
      </c>
      <c r="E558" t="inlineStr">
        <is>
          <t>ÅSELE</t>
        </is>
      </c>
      <c r="F558" t="inlineStr">
        <is>
          <t>SCA</t>
        </is>
      </c>
      <c r="G558" t="n">
        <v>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10547-2023</t>
        </is>
      </c>
      <c r="B559" s="1" t="n">
        <v>44987</v>
      </c>
      <c r="C559" s="1" t="n">
        <v>45734</v>
      </c>
      <c r="D559" t="inlineStr">
        <is>
          <t>VÄSTERBOTTENS LÄN</t>
        </is>
      </c>
      <c r="E559" t="inlineStr">
        <is>
          <t>ÅSELE</t>
        </is>
      </c>
      <c r="F559" t="inlineStr">
        <is>
          <t>SCA</t>
        </is>
      </c>
      <c r="G559" t="n">
        <v>10.4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10761-2023</t>
        </is>
      </c>
      <c r="B560" s="1" t="n">
        <v>44988</v>
      </c>
      <c r="C560" s="1" t="n">
        <v>45734</v>
      </c>
      <c r="D560" t="inlineStr">
        <is>
          <t>VÄSTERBOTTENS LÄN</t>
        </is>
      </c>
      <c r="E560" t="inlineStr">
        <is>
          <t>ÅSELE</t>
        </is>
      </c>
      <c r="G560" t="n">
        <v>0.3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10760-2023</t>
        </is>
      </c>
      <c r="B561" s="1" t="n">
        <v>44988</v>
      </c>
      <c r="C561" s="1" t="n">
        <v>45734</v>
      </c>
      <c r="D561" t="inlineStr">
        <is>
          <t>VÄSTERBOTTENS LÄN</t>
        </is>
      </c>
      <c r="E561" t="inlineStr">
        <is>
          <t>ÅSELE</t>
        </is>
      </c>
      <c r="G561" t="n">
        <v>0.3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10769-2023</t>
        </is>
      </c>
      <c r="B562" s="1" t="n">
        <v>44988</v>
      </c>
      <c r="C562" s="1" t="n">
        <v>45734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4.8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10779-2023</t>
        </is>
      </c>
      <c r="B563" s="1" t="n">
        <v>44988</v>
      </c>
      <c r="C563" s="1" t="n">
        <v>45734</v>
      </c>
      <c r="D563" t="inlineStr">
        <is>
          <t>VÄSTERBOTTENS LÄN</t>
        </is>
      </c>
      <c r="E563" t="inlineStr">
        <is>
          <t>ÅSELE</t>
        </is>
      </c>
      <c r="F563" t="inlineStr">
        <is>
          <t>SCA</t>
        </is>
      </c>
      <c r="G563" t="n">
        <v>25.1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10772-2023</t>
        </is>
      </c>
      <c r="B564" s="1" t="n">
        <v>44988</v>
      </c>
      <c r="C564" s="1" t="n">
        <v>45734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11291-2023</t>
        </is>
      </c>
      <c r="B565" s="1" t="n">
        <v>44992</v>
      </c>
      <c r="C565" s="1" t="n">
        <v>45734</v>
      </c>
      <c r="D565" t="inlineStr">
        <is>
          <t>VÄSTERBOTTENS LÄN</t>
        </is>
      </c>
      <c r="E565" t="inlineStr">
        <is>
          <t>ÅSELE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11321-2023</t>
        </is>
      </c>
      <c r="B566" s="1" t="n">
        <v>44993</v>
      </c>
      <c r="C566" s="1" t="n">
        <v>45734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7.1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11320-2023</t>
        </is>
      </c>
      <c r="B567" s="1" t="n">
        <v>44993</v>
      </c>
      <c r="C567" s="1" t="n">
        <v>45734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11830-2023</t>
        </is>
      </c>
      <c r="B568" s="1" t="n">
        <v>44994</v>
      </c>
      <c r="C568" s="1" t="n">
        <v>45734</v>
      </c>
      <c r="D568" t="inlineStr">
        <is>
          <t>VÄSTERBOTTENS LÄN</t>
        </is>
      </c>
      <c r="E568" t="inlineStr">
        <is>
          <t>ÅSELE</t>
        </is>
      </c>
      <c r="F568" t="inlineStr">
        <is>
          <t>SCA</t>
        </is>
      </c>
      <c r="G568" t="n">
        <v>3.6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12527-2023</t>
        </is>
      </c>
      <c r="B569" s="1" t="n">
        <v>45000</v>
      </c>
      <c r="C569" s="1" t="n">
        <v>45734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12.6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13348-2023</t>
        </is>
      </c>
      <c r="B570" s="1" t="n">
        <v>45005</v>
      </c>
      <c r="C570" s="1" t="n">
        <v>45734</v>
      </c>
      <c r="D570" t="inlineStr">
        <is>
          <t>VÄSTERBOTTENS LÄN</t>
        </is>
      </c>
      <c r="E570" t="inlineStr">
        <is>
          <t>ÅSELE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13498-2023</t>
        </is>
      </c>
      <c r="B571" s="1" t="n">
        <v>45005</v>
      </c>
      <c r="C571" s="1" t="n">
        <v>45734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1.7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13497-2023</t>
        </is>
      </c>
      <c r="B572" s="1" t="n">
        <v>45005</v>
      </c>
      <c r="C572" s="1" t="n">
        <v>45734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14261-2023</t>
        </is>
      </c>
      <c r="B573" s="1" t="n">
        <v>45009</v>
      </c>
      <c r="C573" s="1" t="n">
        <v>45734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3.6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14269-2023</t>
        </is>
      </c>
      <c r="B574" s="1" t="n">
        <v>45010</v>
      </c>
      <c r="C574" s="1" t="n">
        <v>45734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14273-2023</t>
        </is>
      </c>
      <c r="B575" s="1" t="n">
        <v>45010</v>
      </c>
      <c r="C575" s="1" t="n">
        <v>45734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8.9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14270-2023</t>
        </is>
      </c>
      <c r="B576" s="1" t="n">
        <v>45010</v>
      </c>
      <c r="C576" s="1" t="n">
        <v>45734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14267-2023</t>
        </is>
      </c>
      <c r="B577" s="1" t="n">
        <v>45010</v>
      </c>
      <c r="C577" s="1" t="n">
        <v>45734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4.5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14271-2023</t>
        </is>
      </c>
      <c r="B578" s="1" t="n">
        <v>45010</v>
      </c>
      <c r="C578" s="1" t="n">
        <v>45734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14268-2023</t>
        </is>
      </c>
      <c r="B579" s="1" t="n">
        <v>45010</v>
      </c>
      <c r="C579" s="1" t="n">
        <v>45734</v>
      </c>
      <c r="D579" t="inlineStr">
        <is>
          <t>VÄSTERBOTTENS LÄN</t>
        </is>
      </c>
      <c r="E579" t="inlineStr">
        <is>
          <t>ÅSELE</t>
        </is>
      </c>
      <c r="F579" t="inlineStr">
        <is>
          <t>SCA</t>
        </is>
      </c>
      <c r="G579" t="n">
        <v>11.4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14272-2023</t>
        </is>
      </c>
      <c r="B580" s="1" t="n">
        <v>45009</v>
      </c>
      <c r="C580" s="1" t="n">
        <v>45734</v>
      </c>
      <c r="D580" t="inlineStr">
        <is>
          <t>VÄSTERBOTTENS LÄN</t>
        </is>
      </c>
      <c r="E580" t="inlineStr">
        <is>
          <t>ÅSELE</t>
        </is>
      </c>
      <c r="F580" t="inlineStr">
        <is>
          <t>SCA</t>
        </is>
      </c>
      <c r="G580" t="n">
        <v>9.300000000000001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14915-2023</t>
        </is>
      </c>
      <c r="B581" s="1" t="n">
        <v>45014</v>
      </c>
      <c r="C581" s="1" t="n">
        <v>45734</v>
      </c>
      <c r="D581" t="inlineStr">
        <is>
          <t>VÄSTERBOTTENS LÄN</t>
        </is>
      </c>
      <c r="E581" t="inlineStr">
        <is>
          <t>ÅSELE</t>
        </is>
      </c>
      <c r="G581" t="n">
        <v>24.6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14925-2023</t>
        </is>
      </c>
      <c r="B582" s="1" t="n">
        <v>45014</v>
      </c>
      <c r="C582" s="1" t="n">
        <v>45734</v>
      </c>
      <c r="D582" t="inlineStr">
        <is>
          <t>VÄSTERBOTTENS LÄN</t>
        </is>
      </c>
      <c r="E582" t="inlineStr">
        <is>
          <t>ÅSELE</t>
        </is>
      </c>
      <c r="G582" t="n">
        <v>9.4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15082-2023</t>
        </is>
      </c>
      <c r="B583" s="1" t="n">
        <v>45016</v>
      </c>
      <c r="C583" s="1" t="n">
        <v>45734</v>
      </c>
      <c r="D583" t="inlineStr">
        <is>
          <t>VÄSTERBOTTENS LÄN</t>
        </is>
      </c>
      <c r="E583" t="inlineStr">
        <is>
          <t>ÅSELE</t>
        </is>
      </c>
      <c r="F583" t="inlineStr">
        <is>
          <t>SCA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16570-2023</t>
        </is>
      </c>
      <c r="B584" s="1" t="n">
        <v>45030</v>
      </c>
      <c r="C584" s="1" t="n">
        <v>45734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17698-2023</t>
        </is>
      </c>
      <c r="B585" s="1" t="n">
        <v>45035</v>
      </c>
      <c r="C585" s="1" t="n">
        <v>45734</v>
      </c>
      <c r="D585" t="inlineStr">
        <is>
          <t>VÄSTERBOTTENS LÄN</t>
        </is>
      </c>
      <c r="E585" t="inlineStr">
        <is>
          <t>ÅSELE</t>
        </is>
      </c>
      <c r="G585" t="n">
        <v>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17672-2023</t>
        </is>
      </c>
      <c r="B586" s="1" t="n">
        <v>45036</v>
      </c>
      <c r="C586" s="1" t="n">
        <v>45734</v>
      </c>
      <c r="D586" t="inlineStr">
        <is>
          <t>VÄSTERBOTTENS LÄN</t>
        </is>
      </c>
      <c r="E586" t="inlineStr">
        <is>
          <t>ÅSELE</t>
        </is>
      </c>
      <c r="F586" t="inlineStr">
        <is>
          <t>SCA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17885-2023</t>
        </is>
      </c>
      <c r="B587" s="1" t="n">
        <v>45037</v>
      </c>
      <c r="C587" s="1" t="n">
        <v>45734</v>
      </c>
      <c r="D587" t="inlineStr">
        <is>
          <t>VÄSTERBOTTENS LÄN</t>
        </is>
      </c>
      <c r="E587" t="inlineStr">
        <is>
          <t>ÅSELE</t>
        </is>
      </c>
      <c r="G587" t="n">
        <v>7.6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17996-2023</t>
        </is>
      </c>
      <c r="B588" s="1" t="n">
        <v>45037</v>
      </c>
      <c r="C588" s="1" t="n">
        <v>45734</v>
      </c>
      <c r="D588" t="inlineStr">
        <is>
          <t>VÄSTERBOTTENS LÄN</t>
        </is>
      </c>
      <c r="E588" t="inlineStr">
        <is>
          <t>ÅSELE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17858-2023</t>
        </is>
      </c>
      <c r="B589" s="1" t="n">
        <v>45038</v>
      </c>
      <c r="C589" s="1" t="n">
        <v>45734</v>
      </c>
      <c r="D589" t="inlineStr">
        <is>
          <t>VÄSTERBOTTENS LÄN</t>
        </is>
      </c>
      <c r="E589" t="inlineStr">
        <is>
          <t>ÅSELE</t>
        </is>
      </c>
      <c r="F589" t="inlineStr">
        <is>
          <t>SCA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17886-2023</t>
        </is>
      </c>
      <c r="B590" s="1" t="n">
        <v>45037</v>
      </c>
      <c r="C590" s="1" t="n">
        <v>45734</v>
      </c>
      <c r="D590" t="inlineStr">
        <is>
          <t>VÄSTERBOTTENS LÄN</t>
        </is>
      </c>
      <c r="E590" t="inlineStr">
        <is>
          <t>ÅSELE</t>
        </is>
      </c>
      <c r="G590" t="n">
        <v>2.1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18000-2023</t>
        </is>
      </c>
      <c r="B591" s="1" t="n">
        <v>45037</v>
      </c>
      <c r="C591" s="1" t="n">
        <v>45734</v>
      </c>
      <c r="D591" t="inlineStr">
        <is>
          <t>VÄSTERBOTTENS LÄN</t>
        </is>
      </c>
      <c r="E591" t="inlineStr">
        <is>
          <t>ÅSELE</t>
        </is>
      </c>
      <c r="G591" t="n">
        <v>1.5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18230-2023</t>
        </is>
      </c>
      <c r="B592" s="1" t="n">
        <v>45040</v>
      </c>
      <c r="C592" s="1" t="n">
        <v>45734</v>
      </c>
      <c r="D592" t="inlineStr">
        <is>
          <t>VÄSTERBOTTENS LÄN</t>
        </is>
      </c>
      <c r="E592" t="inlineStr">
        <is>
          <t>ÅSELE</t>
        </is>
      </c>
      <c r="G592" t="n">
        <v>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18605-2023</t>
        </is>
      </c>
      <c r="B593" s="1" t="n">
        <v>45041</v>
      </c>
      <c r="C593" s="1" t="n">
        <v>45734</v>
      </c>
      <c r="D593" t="inlineStr">
        <is>
          <t>VÄSTERBOTTENS LÄN</t>
        </is>
      </c>
      <c r="E593" t="inlineStr">
        <is>
          <t>ÅSELE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18565-2023</t>
        </is>
      </c>
      <c r="B594" s="1" t="n">
        <v>45042</v>
      </c>
      <c r="C594" s="1" t="n">
        <v>45734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28.9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18807-2023</t>
        </is>
      </c>
      <c r="B595" s="1" t="n">
        <v>45042</v>
      </c>
      <c r="C595" s="1" t="n">
        <v>45734</v>
      </c>
      <c r="D595" t="inlineStr">
        <is>
          <t>VÄSTERBOTTENS LÄN</t>
        </is>
      </c>
      <c r="E595" t="inlineStr">
        <is>
          <t>ÅSELE</t>
        </is>
      </c>
      <c r="G595" t="n">
        <v>14.9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18769-2023</t>
        </is>
      </c>
      <c r="B596" s="1" t="n">
        <v>45044</v>
      </c>
      <c r="C596" s="1" t="n">
        <v>45734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18770-2023</t>
        </is>
      </c>
      <c r="B597" s="1" t="n">
        <v>45044</v>
      </c>
      <c r="C597" s="1" t="n">
        <v>45734</v>
      </c>
      <c r="D597" t="inlineStr">
        <is>
          <t>VÄSTERBOTTENS LÄN</t>
        </is>
      </c>
      <c r="E597" t="inlineStr">
        <is>
          <t>ÅSELE</t>
        </is>
      </c>
      <c r="F597" t="inlineStr">
        <is>
          <t>SCA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19241-2023</t>
        </is>
      </c>
      <c r="B598" s="1" t="n">
        <v>45048</v>
      </c>
      <c r="C598" s="1" t="n">
        <v>45734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266.4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19781-2023</t>
        </is>
      </c>
      <c r="B599" s="1" t="n">
        <v>45051</v>
      </c>
      <c r="C599" s="1" t="n">
        <v>45734</v>
      </c>
      <c r="D599" t="inlineStr">
        <is>
          <t>VÄSTERBOTTENS LÄN</t>
        </is>
      </c>
      <c r="E599" t="inlineStr">
        <is>
          <t>ÅSELE</t>
        </is>
      </c>
      <c r="G599" t="n">
        <v>6.9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21107-2023</t>
        </is>
      </c>
      <c r="B600" s="1" t="n">
        <v>45061</v>
      </c>
      <c r="C600" s="1" t="n">
        <v>45734</v>
      </c>
      <c r="D600" t="inlineStr">
        <is>
          <t>VÄSTERBOTTENS LÄN</t>
        </is>
      </c>
      <c r="E600" t="inlineStr">
        <is>
          <t>ÅSELE</t>
        </is>
      </c>
      <c r="F600" t="inlineStr">
        <is>
          <t>SCA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22123-2023</t>
        </is>
      </c>
      <c r="B601" s="1" t="n">
        <v>45068</v>
      </c>
      <c r="C601" s="1" t="n">
        <v>45734</v>
      </c>
      <c r="D601" t="inlineStr">
        <is>
          <t>VÄSTERBOTTENS LÄN</t>
        </is>
      </c>
      <c r="E601" t="inlineStr">
        <is>
          <t>ÅSELE</t>
        </is>
      </c>
      <c r="G601" t="n">
        <v>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22095-2023</t>
        </is>
      </c>
      <c r="B602" s="1" t="n">
        <v>45068</v>
      </c>
      <c r="C602" s="1" t="n">
        <v>45734</v>
      </c>
      <c r="D602" t="inlineStr">
        <is>
          <t>VÄSTERBOTTENS LÄN</t>
        </is>
      </c>
      <c r="E602" t="inlineStr">
        <is>
          <t>ÅSELE</t>
        </is>
      </c>
      <c r="G602" t="n">
        <v>10.4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22037-2023</t>
        </is>
      </c>
      <c r="B603" s="1" t="n">
        <v>45068</v>
      </c>
      <c r="C603" s="1" t="n">
        <v>45734</v>
      </c>
      <c r="D603" t="inlineStr">
        <is>
          <t>VÄSTERBOTTENS LÄN</t>
        </is>
      </c>
      <c r="E603" t="inlineStr">
        <is>
          <t>ÅSELE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22078-2023</t>
        </is>
      </c>
      <c r="B604" s="1" t="n">
        <v>45068</v>
      </c>
      <c r="C604" s="1" t="n">
        <v>45734</v>
      </c>
      <c r="D604" t="inlineStr">
        <is>
          <t>VÄSTERBOTTENS LÄN</t>
        </is>
      </c>
      <c r="E604" t="inlineStr">
        <is>
          <t>ÅSELE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22267-2023</t>
        </is>
      </c>
      <c r="B605" s="1" t="n">
        <v>45068</v>
      </c>
      <c r="C605" s="1" t="n">
        <v>45734</v>
      </c>
      <c r="D605" t="inlineStr">
        <is>
          <t>VÄSTERBOTTENS LÄN</t>
        </is>
      </c>
      <c r="E605" t="inlineStr">
        <is>
          <t>ÅSELE</t>
        </is>
      </c>
      <c r="G605" t="n">
        <v>2.1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22093-2023</t>
        </is>
      </c>
      <c r="B606" s="1" t="n">
        <v>45068</v>
      </c>
      <c r="C606" s="1" t="n">
        <v>45734</v>
      </c>
      <c r="D606" t="inlineStr">
        <is>
          <t>VÄSTERBOTTENS LÄN</t>
        </is>
      </c>
      <c r="E606" t="inlineStr">
        <is>
          <t>ÅSELE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22739-2023</t>
        </is>
      </c>
      <c r="B607" s="1" t="n">
        <v>45072</v>
      </c>
      <c r="C607" s="1" t="n">
        <v>45734</v>
      </c>
      <c r="D607" t="inlineStr">
        <is>
          <t>VÄSTERBOTTENS LÄN</t>
        </is>
      </c>
      <c r="E607" t="inlineStr">
        <is>
          <t>ÅSELE</t>
        </is>
      </c>
      <c r="G607" t="n">
        <v>4.1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22831-2023</t>
        </is>
      </c>
      <c r="B608" s="1" t="n">
        <v>45072</v>
      </c>
      <c r="C608" s="1" t="n">
        <v>45734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1.7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22837-2023</t>
        </is>
      </c>
      <c r="B609" s="1" t="n">
        <v>45072</v>
      </c>
      <c r="C609" s="1" t="n">
        <v>45734</v>
      </c>
      <c r="D609" t="inlineStr">
        <is>
          <t>VÄSTERBOTTENS LÄN</t>
        </is>
      </c>
      <c r="E609" t="inlineStr">
        <is>
          <t>ÅSELE</t>
        </is>
      </c>
      <c r="F609" t="inlineStr">
        <is>
          <t>Holmen skog AB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23604-2023</t>
        </is>
      </c>
      <c r="B610" s="1" t="n">
        <v>45077</v>
      </c>
      <c r="C610" s="1" t="n">
        <v>45734</v>
      </c>
      <c r="D610" t="inlineStr">
        <is>
          <t>VÄSTERBOTTENS LÄN</t>
        </is>
      </c>
      <c r="E610" t="inlineStr">
        <is>
          <t>ÅSELE</t>
        </is>
      </c>
      <c r="F610" t="inlineStr">
        <is>
          <t>Holmen skog AB</t>
        </is>
      </c>
      <c r="G610" t="n">
        <v>5.8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23548-2023</t>
        </is>
      </c>
      <c r="B611" s="1" t="n">
        <v>45077</v>
      </c>
      <c r="C611" s="1" t="n">
        <v>45734</v>
      </c>
      <c r="D611" t="inlineStr">
        <is>
          <t>VÄSTERBOTTENS LÄN</t>
        </is>
      </c>
      <c r="E611" t="inlineStr">
        <is>
          <t>ÅSELE</t>
        </is>
      </c>
      <c r="G611" t="n">
        <v>42.6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23648-2023</t>
        </is>
      </c>
      <c r="B612" s="1" t="n">
        <v>45077</v>
      </c>
      <c r="C612" s="1" t="n">
        <v>45734</v>
      </c>
      <c r="D612" t="inlineStr">
        <is>
          <t>VÄSTERBOTTENS LÄN</t>
        </is>
      </c>
      <c r="E612" t="inlineStr">
        <is>
          <t>ÅSELE</t>
        </is>
      </c>
      <c r="F612" t="inlineStr">
        <is>
          <t>Naturvårdsverket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23676-2023</t>
        </is>
      </c>
      <c r="B613" s="1" t="n">
        <v>45077</v>
      </c>
      <c r="C613" s="1" t="n">
        <v>45734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23901-2023</t>
        </is>
      </c>
      <c r="B614" s="1" t="n">
        <v>45078</v>
      </c>
      <c r="C614" s="1" t="n">
        <v>45734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5.4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23915-2023</t>
        </is>
      </c>
      <c r="B615" s="1" t="n">
        <v>45078</v>
      </c>
      <c r="C615" s="1" t="n">
        <v>45734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23913-2023</t>
        </is>
      </c>
      <c r="B616" s="1" t="n">
        <v>45078</v>
      </c>
      <c r="C616" s="1" t="n">
        <v>45734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23972-2023</t>
        </is>
      </c>
      <c r="B617" s="1" t="n">
        <v>45078</v>
      </c>
      <c r="C617" s="1" t="n">
        <v>45734</v>
      </c>
      <c r="D617" t="inlineStr">
        <is>
          <t>VÄSTERBOTTENS LÄN</t>
        </is>
      </c>
      <c r="E617" t="inlineStr">
        <is>
          <t>ÅSELE</t>
        </is>
      </c>
      <c r="F617" t="inlineStr">
        <is>
          <t>Holmen skog AB</t>
        </is>
      </c>
      <c r="G617" t="n">
        <v>14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23896-2023</t>
        </is>
      </c>
      <c r="B618" s="1" t="n">
        <v>45078</v>
      </c>
      <c r="C618" s="1" t="n">
        <v>45734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23949-2023</t>
        </is>
      </c>
      <c r="B619" s="1" t="n">
        <v>45078</v>
      </c>
      <c r="C619" s="1" t="n">
        <v>45734</v>
      </c>
      <c r="D619" t="inlineStr">
        <is>
          <t>VÄSTERBOTTENS LÄN</t>
        </is>
      </c>
      <c r="E619" t="inlineStr">
        <is>
          <t>ÅSELE</t>
        </is>
      </c>
      <c r="F619" t="inlineStr">
        <is>
          <t>Naturvårdsverket</t>
        </is>
      </c>
      <c r="G619" t="n">
        <v>20.5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23998-2023</t>
        </is>
      </c>
      <c r="B620" s="1" t="n">
        <v>45078</v>
      </c>
      <c r="C620" s="1" t="n">
        <v>45734</v>
      </c>
      <c r="D620" t="inlineStr">
        <is>
          <t>VÄSTERBOTTENS LÄN</t>
        </is>
      </c>
      <c r="E620" t="inlineStr">
        <is>
          <t>ÅSELE</t>
        </is>
      </c>
      <c r="F620" t="inlineStr">
        <is>
          <t>Holmen skog AB</t>
        </is>
      </c>
      <c r="G620" t="n">
        <v>13.3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23997-2023</t>
        </is>
      </c>
      <c r="B621" s="1" t="n">
        <v>45078</v>
      </c>
      <c r="C621" s="1" t="n">
        <v>45734</v>
      </c>
      <c r="D621" t="inlineStr">
        <is>
          <t>VÄSTERBOTTENS LÄN</t>
        </is>
      </c>
      <c r="E621" t="inlineStr">
        <is>
          <t>ÅSELE</t>
        </is>
      </c>
      <c r="F621" t="inlineStr">
        <is>
          <t>Holmen skog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24067-2023</t>
        </is>
      </c>
      <c r="B622" s="1" t="n">
        <v>45079</v>
      </c>
      <c r="C622" s="1" t="n">
        <v>45734</v>
      </c>
      <c r="D622" t="inlineStr">
        <is>
          <t>VÄSTERBOTTENS LÄN</t>
        </is>
      </c>
      <c r="E622" t="inlineStr">
        <is>
          <t>ÅSELE</t>
        </is>
      </c>
      <c r="F622" t="inlineStr">
        <is>
          <t>SCA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25087-2023</t>
        </is>
      </c>
      <c r="B623" s="1" t="n">
        <v>45078</v>
      </c>
      <c r="C623" s="1" t="n">
        <v>45734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7.6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25110-2023</t>
        </is>
      </c>
      <c r="B624" s="1" t="n">
        <v>45078</v>
      </c>
      <c r="C624" s="1" t="n">
        <v>45734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25106-2023</t>
        </is>
      </c>
      <c r="B625" s="1" t="n">
        <v>45078</v>
      </c>
      <c r="C625" s="1" t="n">
        <v>45734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2.1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25100-2023</t>
        </is>
      </c>
      <c r="B626" s="1" t="n">
        <v>45078</v>
      </c>
      <c r="C626" s="1" t="n">
        <v>45734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9.199999999999999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25225-2023</t>
        </is>
      </c>
      <c r="B627" s="1" t="n">
        <v>45079</v>
      </c>
      <c r="C627" s="1" t="n">
        <v>45734</v>
      </c>
      <c r="D627" t="inlineStr">
        <is>
          <t>VÄSTERBOTTENS LÄN</t>
        </is>
      </c>
      <c r="E627" t="inlineStr">
        <is>
          <t>ÅSELE</t>
        </is>
      </c>
      <c r="F627" t="inlineStr">
        <is>
          <t>Kommuner</t>
        </is>
      </c>
      <c r="G627" t="n">
        <v>5.9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25232-2023</t>
        </is>
      </c>
      <c r="B628" s="1" t="n">
        <v>45079</v>
      </c>
      <c r="C628" s="1" t="n">
        <v>45734</v>
      </c>
      <c r="D628" t="inlineStr">
        <is>
          <t>VÄSTERBOTTENS LÄN</t>
        </is>
      </c>
      <c r="E628" t="inlineStr">
        <is>
          <t>ÅSELE</t>
        </is>
      </c>
      <c r="F628" t="inlineStr">
        <is>
          <t>Kommuner</t>
        </is>
      </c>
      <c r="G628" t="n">
        <v>6.7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25211-2023</t>
        </is>
      </c>
      <c r="B629" s="1" t="n">
        <v>45079</v>
      </c>
      <c r="C629" s="1" t="n">
        <v>45734</v>
      </c>
      <c r="D629" t="inlineStr">
        <is>
          <t>VÄSTERBOTTENS LÄN</t>
        </is>
      </c>
      <c r="E629" t="inlineStr">
        <is>
          <t>ÅSELE</t>
        </is>
      </c>
      <c r="G629" t="n">
        <v>16.6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24827-2023</t>
        </is>
      </c>
      <c r="B630" s="1" t="n">
        <v>45084</v>
      </c>
      <c r="C630" s="1" t="n">
        <v>45734</v>
      </c>
      <c r="D630" t="inlineStr">
        <is>
          <t>VÄSTERBOTTENS LÄN</t>
        </is>
      </c>
      <c r="E630" t="inlineStr">
        <is>
          <t>ÅSELE</t>
        </is>
      </c>
      <c r="F630" t="inlineStr">
        <is>
          <t>SCA</t>
        </is>
      </c>
      <c r="G630" t="n">
        <v>18.2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25993-2023</t>
        </is>
      </c>
      <c r="B631" s="1" t="n">
        <v>45091</v>
      </c>
      <c r="C631" s="1" t="n">
        <v>45734</v>
      </c>
      <c r="D631" t="inlineStr">
        <is>
          <t>VÄSTERBOTTENS LÄN</t>
        </is>
      </c>
      <c r="E631" t="inlineStr">
        <is>
          <t>ÅSELE</t>
        </is>
      </c>
      <c r="G631" t="n">
        <v>4.4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25994-2023</t>
        </is>
      </c>
      <c r="B632" s="1" t="n">
        <v>45091</v>
      </c>
      <c r="C632" s="1" t="n">
        <v>45734</v>
      </c>
      <c r="D632" t="inlineStr">
        <is>
          <t>VÄSTERBOTTENS LÄN</t>
        </is>
      </c>
      <c r="E632" t="inlineStr">
        <is>
          <t>ÅSELE</t>
        </is>
      </c>
      <c r="G632" t="n">
        <v>5.6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26366-2023</t>
        </is>
      </c>
      <c r="B633" s="1" t="n">
        <v>45092</v>
      </c>
      <c r="C633" s="1" t="n">
        <v>45734</v>
      </c>
      <c r="D633" t="inlineStr">
        <is>
          <t>VÄSTERBOTTENS LÄN</t>
        </is>
      </c>
      <c r="E633" t="inlineStr">
        <is>
          <t>ÅSELE</t>
        </is>
      </c>
      <c r="F633" t="inlineStr">
        <is>
          <t>SCA</t>
        </is>
      </c>
      <c r="G633" t="n">
        <v>10.4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26447-2023</t>
        </is>
      </c>
      <c r="B634" s="1" t="n">
        <v>45092</v>
      </c>
      <c r="C634" s="1" t="n">
        <v>45734</v>
      </c>
      <c r="D634" t="inlineStr">
        <is>
          <t>VÄSTERBOTTENS LÄN</t>
        </is>
      </c>
      <c r="E634" t="inlineStr">
        <is>
          <t>ÅSELE</t>
        </is>
      </c>
      <c r="F634" t="inlineStr">
        <is>
          <t>Holmen skog AB</t>
        </is>
      </c>
      <c r="G634" t="n">
        <v>3.5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26395-2023</t>
        </is>
      </c>
      <c r="B635" s="1" t="n">
        <v>45092</v>
      </c>
      <c r="C635" s="1" t="n">
        <v>45734</v>
      </c>
      <c r="D635" t="inlineStr">
        <is>
          <t>VÄSTERBOTTENS LÄN</t>
        </is>
      </c>
      <c r="E635" t="inlineStr">
        <is>
          <t>ÅSELE</t>
        </is>
      </c>
      <c r="F635" t="inlineStr">
        <is>
          <t>Holmen skog AB</t>
        </is>
      </c>
      <c r="G635" t="n">
        <v>4.1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26383-2023</t>
        </is>
      </c>
      <c r="B636" s="1" t="n">
        <v>45092</v>
      </c>
      <c r="C636" s="1" t="n">
        <v>45734</v>
      </c>
      <c r="D636" t="inlineStr">
        <is>
          <t>VÄSTERBOTTENS LÄN</t>
        </is>
      </c>
      <c r="E636" t="inlineStr">
        <is>
          <t>ÅSELE</t>
        </is>
      </c>
      <c r="F636" t="inlineStr">
        <is>
          <t>Naturvårdsverket</t>
        </is>
      </c>
      <c r="G636" t="n">
        <v>10.5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27426-2023</t>
        </is>
      </c>
      <c r="B637" s="1" t="n">
        <v>45092</v>
      </c>
      <c r="C637" s="1" t="n">
        <v>45734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5.4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27483-2023</t>
        </is>
      </c>
      <c r="B638" s="1" t="n">
        <v>45092</v>
      </c>
      <c r="C638" s="1" t="n">
        <v>45734</v>
      </c>
      <c r="D638" t="inlineStr">
        <is>
          <t>VÄSTERBOTTENS LÄN</t>
        </is>
      </c>
      <c r="E638" t="inlineStr">
        <is>
          <t>ÅSELE</t>
        </is>
      </c>
      <c r="G638" t="n">
        <v>4.8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27420-2023</t>
        </is>
      </c>
      <c r="B639" s="1" t="n">
        <v>45092</v>
      </c>
      <c r="C639" s="1" t="n">
        <v>45734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3.6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27473-2023</t>
        </is>
      </c>
      <c r="B640" s="1" t="n">
        <v>45092</v>
      </c>
      <c r="C640" s="1" t="n">
        <v>45734</v>
      </c>
      <c r="D640" t="inlineStr">
        <is>
          <t>VÄSTERBOTTENS LÄN</t>
        </is>
      </c>
      <c r="E640" t="inlineStr">
        <is>
          <t>ÅSELE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27436-2023</t>
        </is>
      </c>
      <c r="B641" s="1" t="n">
        <v>45092</v>
      </c>
      <c r="C641" s="1" t="n">
        <v>45734</v>
      </c>
      <c r="D641" t="inlineStr">
        <is>
          <t>VÄSTERBOTTENS LÄN</t>
        </is>
      </c>
      <c r="E641" t="inlineStr">
        <is>
          <t>ÅSELE</t>
        </is>
      </c>
      <c r="F641" t="inlineStr">
        <is>
          <t>Övriga Aktiebolag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26677-2023</t>
        </is>
      </c>
      <c r="B642" s="1" t="n">
        <v>45093</v>
      </c>
      <c r="C642" s="1" t="n">
        <v>45734</v>
      </c>
      <c r="D642" t="inlineStr">
        <is>
          <t>VÄSTERBOTTENS LÄN</t>
        </is>
      </c>
      <c r="E642" t="inlineStr">
        <is>
          <t>ÅSELE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26676-2023</t>
        </is>
      </c>
      <c r="B643" s="1" t="n">
        <v>45093</v>
      </c>
      <c r="C643" s="1" t="n">
        <v>45734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27247-2023</t>
        </is>
      </c>
      <c r="B644" s="1" t="n">
        <v>45096</v>
      </c>
      <c r="C644" s="1" t="n">
        <v>45734</v>
      </c>
      <c r="D644" t="inlineStr">
        <is>
          <t>VÄSTERBOTTENS LÄN</t>
        </is>
      </c>
      <c r="E644" t="inlineStr">
        <is>
          <t>ÅSELE</t>
        </is>
      </c>
      <c r="G644" t="n">
        <v>18.9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27864-2023</t>
        </is>
      </c>
      <c r="B645" s="1" t="n">
        <v>45098</v>
      </c>
      <c r="C645" s="1" t="n">
        <v>45734</v>
      </c>
      <c r="D645" t="inlineStr">
        <is>
          <t>VÄSTERBOTTENS LÄN</t>
        </is>
      </c>
      <c r="E645" t="inlineStr">
        <is>
          <t>ÅSELE</t>
        </is>
      </c>
      <c r="F645" t="inlineStr">
        <is>
          <t>Sveaskog</t>
        </is>
      </c>
      <c r="G645" t="n">
        <v>26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27868-2023</t>
        </is>
      </c>
      <c r="B646" s="1" t="n">
        <v>45098</v>
      </c>
      <c r="C646" s="1" t="n">
        <v>45734</v>
      </c>
      <c r="D646" t="inlineStr">
        <is>
          <t>VÄSTERBOTTENS LÄN</t>
        </is>
      </c>
      <c r="E646" t="inlineStr">
        <is>
          <t>ÅSELE</t>
        </is>
      </c>
      <c r="F646" t="inlineStr">
        <is>
          <t>Sveaskog</t>
        </is>
      </c>
      <c r="G646" t="n">
        <v>2.3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28087-2023</t>
        </is>
      </c>
      <c r="B647" s="1" t="n">
        <v>45099</v>
      </c>
      <c r="C647" s="1" t="n">
        <v>45734</v>
      </c>
      <c r="D647" t="inlineStr">
        <is>
          <t>VÄSTERBOTTENS LÄN</t>
        </is>
      </c>
      <c r="E647" t="inlineStr">
        <is>
          <t>ÅSELE</t>
        </is>
      </c>
      <c r="F647" t="inlineStr">
        <is>
          <t>Holmen skog AB</t>
        </is>
      </c>
      <c r="G647" t="n">
        <v>2.3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28097-2023</t>
        </is>
      </c>
      <c r="B648" s="1" t="n">
        <v>45099</v>
      </c>
      <c r="C648" s="1" t="n">
        <v>45734</v>
      </c>
      <c r="D648" t="inlineStr">
        <is>
          <t>VÄSTERBOTTENS LÄN</t>
        </is>
      </c>
      <c r="E648" t="inlineStr">
        <is>
          <t>ÅSELE</t>
        </is>
      </c>
      <c r="F648" t="inlineStr">
        <is>
          <t>Holmen skog AB</t>
        </is>
      </c>
      <c r="G648" t="n">
        <v>12.2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28276-2023</t>
        </is>
      </c>
      <c r="B649" s="1" t="n">
        <v>45099</v>
      </c>
      <c r="C649" s="1" t="n">
        <v>45734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14.2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28279-2023</t>
        </is>
      </c>
      <c r="B650" s="1" t="n">
        <v>45099</v>
      </c>
      <c r="C650" s="1" t="n">
        <v>45734</v>
      </c>
      <c r="D650" t="inlineStr">
        <is>
          <t>VÄSTERBOTTENS LÄN</t>
        </is>
      </c>
      <c r="E650" t="inlineStr">
        <is>
          <t>ÅSELE</t>
        </is>
      </c>
      <c r="F650" t="inlineStr">
        <is>
          <t>Sveaskog</t>
        </is>
      </c>
      <c r="G650" t="n">
        <v>16.6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28282-2023</t>
        </is>
      </c>
      <c r="B651" s="1" t="n">
        <v>45099</v>
      </c>
      <c r="C651" s="1" t="n">
        <v>45734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31119-2023</t>
        </is>
      </c>
      <c r="B652" s="1" t="n">
        <v>45099</v>
      </c>
      <c r="C652" s="1" t="n">
        <v>45734</v>
      </c>
      <c r="D652" t="inlineStr">
        <is>
          <t>VÄSTERBOTTENS LÄN</t>
        </is>
      </c>
      <c r="E652" t="inlineStr">
        <is>
          <t>ÅSELE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28720-2023</t>
        </is>
      </c>
      <c r="B653" s="1" t="n">
        <v>45103</v>
      </c>
      <c r="C653" s="1" t="n">
        <v>45734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34.9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28724-2023</t>
        </is>
      </c>
      <c r="B654" s="1" t="n">
        <v>45103</v>
      </c>
      <c r="C654" s="1" t="n">
        <v>45734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9.199999999999999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28728-2023</t>
        </is>
      </c>
      <c r="B655" s="1" t="n">
        <v>45103</v>
      </c>
      <c r="C655" s="1" t="n">
        <v>45734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28721-2023</t>
        </is>
      </c>
      <c r="B656" s="1" t="n">
        <v>45103</v>
      </c>
      <c r="C656" s="1" t="n">
        <v>45734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8.9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28726-2023</t>
        </is>
      </c>
      <c r="B657" s="1" t="n">
        <v>45103</v>
      </c>
      <c r="C657" s="1" t="n">
        <v>45734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28725-2023</t>
        </is>
      </c>
      <c r="B658" s="1" t="n">
        <v>45103</v>
      </c>
      <c r="C658" s="1" t="n">
        <v>45734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9.1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28719-2023</t>
        </is>
      </c>
      <c r="B659" s="1" t="n">
        <v>45103</v>
      </c>
      <c r="C659" s="1" t="n">
        <v>45734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28723-2023</t>
        </is>
      </c>
      <c r="B660" s="1" t="n">
        <v>45103</v>
      </c>
      <c r="C660" s="1" t="n">
        <v>45734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31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28727-2023</t>
        </is>
      </c>
      <c r="B661" s="1" t="n">
        <v>45103</v>
      </c>
      <c r="C661" s="1" t="n">
        <v>45734</v>
      </c>
      <c r="D661" t="inlineStr">
        <is>
          <t>VÄSTERBOTTENS LÄN</t>
        </is>
      </c>
      <c r="E661" t="inlineStr">
        <is>
          <t>ÅSELE</t>
        </is>
      </c>
      <c r="F661" t="inlineStr">
        <is>
          <t>Sveaskog</t>
        </is>
      </c>
      <c r="G661" t="n">
        <v>16.9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28731-2023</t>
        </is>
      </c>
      <c r="B662" s="1" t="n">
        <v>45103</v>
      </c>
      <c r="C662" s="1" t="n">
        <v>45734</v>
      </c>
      <c r="D662" t="inlineStr">
        <is>
          <t>VÄSTERBOTTENS LÄN</t>
        </is>
      </c>
      <c r="E662" t="inlineStr">
        <is>
          <t>ÅSELE</t>
        </is>
      </c>
      <c r="F662" t="inlineStr">
        <is>
          <t>Sveaskog</t>
        </is>
      </c>
      <c r="G662" t="n">
        <v>4.9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28854-2023</t>
        </is>
      </c>
      <c r="B663" s="1" t="n">
        <v>45104</v>
      </c>
      <c r="C663" s="1" t="n">
        <v>45734</v>
      </c>
      <c r="D663" t="inlineStr">
        <is>
          <t>VÄSTERBOTTENS LÄN</t>
        </is>
      </c>
      <c r="E663" t="inlineStr">
        <is>
          <t>ÅSELE</t>
        </is>
      </c>
      <c r="F663" t="inlineStr">
        <is>
          <t>Naturvårdsverket</t>
        </is>
      </c>
      <c r="G663" t="n">
        <v>15.8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28807-2023</t>
        </is>
      </c>
      <c r="B664" s="1" t="n">
        <v>45104</v>
      </c>
      <c r="C664" s="1" t="n">
        <v>45734</v>
      </c>
      <c r="D664" t="inlineStr">
        <is>
          <t>VÄSTERBOTTENS LÄN</t>
        </is>
      </c>
      <c r="E664" t="inlineStr">
        <is>
          <t>ÅSELE</t>
        </is>
      </c>
      <c r="F664" t="inlineStr">
        <is>
          <t>Holmen skog AB</t>
        </is>
      </c>
      <c r="G664" t="n">
        <v>5.9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29055-2023</t>
        </is>
      </c>
      <c r="B665" s="1" t="n">
        <v>45105</v>
      </c>
      <c r="C665" s="1" t="n">
        <v>45734</v>
      </c>
      <c r="D665" t="inlineStr">
        <is>
          <t>VÄSTERBOTTENS LÄN</t>
        </is>
      </c>
      <c r="E665" t="inlineStr">
        <is>
          <t>ÅSELE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29054-2023</t>
        </is>
      </c>
      <c r="B666" s="1" t="n">
        <v>45105</v>
      </c>
      <c r="C666" s="1" t="n">
        <v>45734</v>
      </c>
      <c r="D666" t="inlineStr">
        <is>
          <t>VÄSTERBOTTENS LÄN</t>
        </is>
      </c>
      <c r="E666" t="inlineStr">
        <is>
          <t>ÅSELE</t>
        </is>
      </c>
      <c r="G666" t="n">
        <v>1.9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29106-2023</t>
        </is>
      </c>
      <c r="B667" s="1" t="n">
        <v>45105</v>
      </c>
      <c r="C667" s="1" t="n">
        <v>45734</v>
      </c>
      <c r="D667" t="inlineStr">
        <is>
          <t>VÄSTERBOTTENS LÄN</t>
        </is>
      </c>
      <c r="E667" t="inlineStr">
        <is>
          <t>ÅSELE</t>
        </is>
      </c>
      <c r="F667" t="inlineStr">
        <is>
          <t>Holmen skog AB</t>
        </is>
      </c>
      <c r="G667" t="n">
        <v>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29297-2023</t>
        </is>
      </c>
      <c r="B668" s="1" t="n">
        <v>45105</v>
      </c>
      <c r="C668" s="1" t="n">
        <v>45734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3.6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29298-2023</t>
        </is>
      </c>
      <c r="B669" s="1" t="n">
        <v>45105</v>
      </c>
      <c r="C669" s="1" t="n">
        <v>45734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29300-2023</t>
        </is>
      </c>
      <c r="B670" s="1" t="n">
        <v>45105</v>
      </c>
      <c r="C670" s="1" t="n">
        <v>45734</v>
      </c>
      <c r="D670" t="inlineStr">
        <is>
          <t>VÄSTERBOTTENS LÄN</t>
        </is>
      </c>
      <c r="E670" t="inlineStr">
        <is>
          <t>ÅSELE</t>
        </is>
      </c>
      <c r="F670" t="inlineStr">
        <is>
          <t>Sveaskog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29299-2023</t>
        </is>
      </c>
      <c r="B671" s="1" t="n">
        <v>45105</v>
      </c>
      <c r="C671" s="1" t="n">
        <v>45734</v>
      </c>
      <c r="D671" t="inlineStr">
        <is>
          <t>VÄSTERBOTTENS LÄN</t>
        </is>
      </c>
      <c r="E671" t="inlineStr">
        <is>
          <t>ÅSELE</t>
        </is>
      </c>
      <c r="F671" t="inlineStr">
        <is>
          <t>Sveaskog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29616-2023</t>
        </is>
      </c>
      <c r="B672" s="1" t="n">
        <v>45106</v>
      </c>
      <c r="C672" s="1" t="n">
        <v>45734</v>
      </c>
      <c r="D672" t="inlineStr">
        <is>
          <t>VÄSTERBOTTENS LÄN</t>
        </is>
      </c>
      <c r="E672" t="inlineStr">
        <is>
          <t>ÅSELE</t>
        </is>
      </c>
      <c r="F672" t="inlineStr">
        <is>
          <t>SCA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29617-2023</t>
        </is>
      </c>
      <c r="B673" s="1" t="n">
        <v>45107</v>
      </c>
      <c r="C673" s="1" t="n">
        <v>45734</v>
      </c>
      <c r="D673" t="inlineStr">
        <is>
          <t>VÄSTERBOTTENS LÄN</t>
        </is>
      </c>
      <c r="E673" t="inlineStr">
        <is>
          <t>ÅSELE</t>
        </is>
      </c>
      <c r="F673" t="inlineStr">
        <is>
          <t>SCA</t>
        </is>
      </c>
      <c r="G673" t="n">
        <v>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29726-2023</t>
        </is>
      </c>
      <c r="B674" s="1" t="n">
        <v>45107</v>
      </c>
      <c r="C674" s="1" t="n">
        <v>45734</v>
      </c>
      <c r="D674" t="inlineStr">
        <is>
          <t>VÄSTERBOTTENS LÄN</t>
        </is>
      </c>
      <c r="E674" t="inlineStr">
        <is>
          <t>ÅSELE</t>
        </is>
      </c>
      <c r="F674" t="inlineStr">
        <is>
          <t>Holmen skog AB</t>
        </is>
      </c>
      <c r="G674" t="n">
        <v>3.3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31954-2023</t>
        </is>
      </c>
      <c r="B675" s="1" t="n">
        <v>45107</v>
      </c>
      <c r="C675" s="1" t="n">
        <v>45734</v>
      </c>
      <c r="D675" t="inlineStr">
        <is>
          <t>VÄSTERBOTTENS LÄN</t>
        </is>
      </c>
      <c r="E675" t="inlineStr">
        <is>
          <t>ÅSELE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31891-2023</t>
        </is>
      </c>
      <c r="B676" s="1" t="n">
        <v>45107</v>
      </c>
      <c r="C676" s="1" t="n">
        <v>45734</v>
      </c>
      <c r="D676" t="inlineStr">
        <is>
          <t>VÄSTERBOTTENS LÄN</t>
        </is>
      </c>
      <c r="E676" t="inlineStr">
        <is>
          <t>ÅSELE</t>
        </is>
      </c>
      <c r="F676" t="inlineStr">
        <is>
          <t>Kommuner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31962-2023</t>
        </is>
      </c>
      <c r="B677" s="1" t="n">
        <v>45107</v>
      </c>
      <c r="C677" s="1" t="n">
        <v>45734</v>
      </c>
      <c r="D677" t="inlineStr">
        <is>
          <t>VÄSTERBOTTENS LÄN</t>
        </is>
      </c>
      <c r="E677" t="inlineStr">
        <is>
          <t>ÅSELE</t>
        </is>
      </c>
      <c r="G677" t="n">
        <v>2.3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30594-2023</t>
        </is>
      </c>
      <c r="B678" s="1" t="n">
        <v>45112</v>
      </c>
      <c r="C678" s="1" t="n">
        <v>45734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30642-2023</t>
        </is>
      </c>
      <c r="B679" s="1" t="n">
        <v>45112</v>
      </c>
      <c r="C679" s="1" t="n">
        <v>45734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30701-2023</t>
        </is>
      </c>
      <c r="B680" s="1" t="n">
        <v>45112</v>
      </c>
      <c r="C680" s="1" t="n">
        <v>45734</v>
      </c>
      <c r="D680" t="inlineStr">
        <is>
          <t>VÄSTERBOTTENS LÄN</t>
        </is>
      </c>
      <c r="E680" t="inlineStr">
        <is>
          <t>ÅSELE</t>
        </is>
      </c>
      <c r="F680" t="inlineStr">
        <is>
          <t>Naturvårdsverket</t>
        </is>
      </c>
      <c r="G680" t="n">
        <v>61.9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30618-2023</t>
        </is>
      </c>
      <c r="B681" s="1" t="n">
        <v>45112</v>
      </c>
      <c r="C681" s="1" t="n">
        <v>45734</v>
      </c>
      <c r="D681" t="inlineStr">
        <is>
          <t>VÄSTERBOTTENS LÄN</t>
        </is>
      </c>
      <c r="E681" t="inlineStr">
        <is>
          <t>ÅSELE</t>
        </is>
      </c>
      <c r="F681" t="inlineStr">
        <is>
          <t>Sveaskog</t>
        </is>
      </c>
      <c r="G681" t="n">
        <v>18.7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31193-2023</t>
        </is>
      </c>
      <c r="B682" s="1" t="n">
        <v>45114</v>
      </c>
      <c r="C682" s="1" t="n">
        <v>45734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31185-2023</t>
        </is>
      </c>
      <c r="B683" s="1" t="n">
        <v>45114</v>
      </c>
      <c r="C683" s="1" t="n">
        <v>45734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31189-2023</t>
        </is>
      </c>
      <c r="B684" s="1" t="n">
        <v>45114</v>
      </c>
      <c r="C684" s="1" t="n">
        <v>45734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9.6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31186-2023</t>
        </is>
      </c>
      <c r="B685" s="1" t="n">
        <v>45114</v>
      </c>
      <c r="C685" s="1" t="n">
        <v>45734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12.5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31183-2023</t>
        </is>
      </c>
      <c r="B686" s="1" t="n">
        <v>45114</v>
      </c>
      <c r="C686" s="1" t="n">
        <v>45734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31184-2023</t>
        </is>
      </c>
      <c r="B687" s="1" t="n">
        <v>45113</v>
      </c>
      <c r="C687" s="1" t="n">
        <v>45734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7.2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31191-2023</t>
        </is>
      </c>
      <c r="B688" s="1" t="n">
        <v>45114</v>
      </c>
      <c r="C688" s="1" t="n">
        <v>45734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31187-2023</t>
        </is>
      </c>
      <c r="B689" s="1" t="n">
        <v>45114</v>
      </c>
      <c r="C689" s="1" t="n">
        <v>45734</v>
      </c>
      <c r="D689" t="inlineStr">
        <is>
          <t>VÄSTERBOTTENS LÄN</t>
        </is>
      </c>
      <c r="E689" t="inlineStr">
        <is>
          <t>ÅSELE</t>
        </is>
      </c>
      <c r="F689" t="inlineStr">
        <is>
          <t>SCA</t>
        </is>
      </c>
      <c r="G689" t="n">
        <v>2.6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31190-2023</t>
        </is>
      </c>
      <c r="B690" s="1" t="n">
        <v>45114</v>
      </c>
      <c r="C690" s="1" t="n">
        <v>45734</v>
      </c>
      <c r="D690" t="inlineStr">
        <is>
          <t>VÄSTERBOTTENS LÄN</t>
        </is>
      </c>
      <c r="E690" t="inlineStr">
        <is>
          <t>ÅSELE</t>
        </is>
      </c>
      <c r="F690" t="inlineStr">
        <is>
          <t>SCA</t>
        </is>
      </c>
      <c r="G690" t="n">
        <v>3.3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32993-2023</t>
        </is>
      </c>
      <c r="B691" s="1" t="n">
        <v>45113</v>
      </c>
      <c r="C691" s="1" t="n">
        <v>45734</v>
      </c>
      <c r="D691" t="inlineStr">
        <is>
          <t>VÄSTERBOTTENS LÄN</t>
        </is>
      </c>
      <c r="E691" t="inlineStr">
        <is>
          <t>ÅSELE</t>
        </is>
      </c>
      <c r="G691" t="n">
        <v>3.2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33009-2023</t>
        </is>
      </c>
      <c r="B692" s="1" t="n">
        <v>45113</v>
      </c>
      <c r="C692" s="1" t="n">
        <v>45734</v>
      </c>
      <c r="D692" t="inlineStr">
        <is>
          <t>VÄSTERBOTTENS LÄN</t>
        </is>
      </c>
      <c r="E692" t="inlineStr">
        <is>
          <t>ÅSELE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32996-2023</t>
        </is>
      </c>
      <c r="B693" s="1" t="n">
        <v>45113</v>
      </c>
      <c r="C693" s="1" t="n">
        <v>45734</v>
      </c>
      <c r="D693" t="inlineStr">
        <is>
          <t>VÄSTERBOTTENS LÄN</t>
        </is>
      </c>
      <c r="E693" t="inlineStr">
        <is>
          <t>ÅSELE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33008-2023</t>
        </is>
      </c>
      <c r="B694" s="1" t="n">
        <v>45113</v>
      </c>
      <c r="C694" s="1" t="n">
        <v>45734</v>
      </c>
      <c r="D694" t="inlineStr">
        <is>
          <t>VÄSTERBOTTENS LÄN</t>
        </is>
      </c>
      <c r="E694" t="inlineStr">
        <is>
          <t>ÅSELE</t>
        </is>
      </c>
      <c r="G694" t="n">
        <v>6.4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33012-2023</t>
        </is>
      </c>
      <c r="B695" s="1" t="n">
        <v>45113</v>
      </c>
      <c r="C695" s="1" t="n">
        <v>45734</v>
      </c>
      <c r="D695" t="inlineStr">
        <is>
          <t>VÄSTERBOTTENS LÄN</t>
        </is>
      </c>
      <c r="E695" t="inlineStr">
        <is>
          <t>ÅSELE</t>
        </is>
      </c>
      <c r="G695" t="n">
        <v>6.3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33004-2023</t>
        </is>
      </c>
      <c r="B696" s="1" t="n">
        <v>45113</v>
      </c>
      <c r="C696" s="1" t="n">
        <v>45734</v>
      </c>
      <c r="D696" t="inlineStr">
        <is>
          <t>VÄSTERBOTTENS LÄN</t>
        </is>
      </c>
      <c r="E696" t="inlineStr">
        <is>
          <t>ÅSELE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31287-2023</t>
        </is>
      </c>
      <c r="B697" s="1" t="n">
        <v>45114</v>
      </c>
      <c r="C697" s="1" t="n">
        <v>45734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31348-2023</t>
        </is>
      </c>
      <c r="B698" s="1" t="n">
        <v>45114</v>
      </c>
      <c r="C698" s="1" t="n">
        <v>45734</v>
      </c>
      <c r="D698" t="inlineStr">
        <is>
          <t>VÄSTERBOTTENS LÄN</t>
        </is>
      </c>
      <c r="E698" t="inlineStr">
        <is>
          <t>ÅSELE</t>
        </is>
      </c>
      <c r="F698" t="inlineStr">
        <is>
          <t>Holmen skog AB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31304-2023</t>
        </is>
      </c>
      <c r="B699" s="1" t="n">
        <v>45114</v>
      </c>
      <c r="C699" s="1" t="n">
        <v>45734</v>
      </c>
      <c r="D699" t="inlineStr">
        <is>
          <t>VÄSTERBOTTENS LÄN</t>
        </is>
      </c>
      <c r="E699" t="inlineStr">
        <is>
          <t>ÅSELE</t>
        </is>
      </c>
      <c r="F699" t="inlineStr">
        <is>
          <t>Holmen skog AB</t>
        </is>
      </c>
      <c r="G699" t="n">
        <v>3.3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33241-2023</t>
        </is>
      </c>
      <c r="B700" s="1" t="n">
        <v>45114</v>
      </c>
      <c r="C700" s="1" t="n">
        <v>45734</v>
      </c>
      <c r="D700" t="inlineStr">
        <is>
          <t>VÄSTERBOTTENS LÄN</t>
        </is>
      </c>
      <c r="E700" t="inlineStr">
        <is>
          <t>ÅSELE</t>
        </is>
      </c>
      <c r="G700" t="n">
        <v>22.8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33413-2023</t>
        </is>
      </c>
      <c r="B701" s="1" t="n">
        <v>45117</v>
      </c>
      <c r="C701" s="1" t="n">
        <v>45734</v>
      </c>
      <c r="D701" t="inlineStr">
        <is>
          <t>VÄSTERBOTTENS LÄN</t>
        </is>
      </c>
      <c r="E701" t="inlineStr">
        <is>
          <t>ÅSELE</t>
        </is>
      </c>
      <c r="G701" t="n">
        <v>2.2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32007-2023</t>
        </is>
      </c>
      <c r="B702" s="1" t="n">
        <v>45119</v>
      </c>
      <c r="C702" s="1" t="n">
        <v>45734</v>
      </c>
      <c r="D702" t="inlineStr">
        <is>
          <t>VÄSTERBOTTENS LÄN</t>
        </is>
      </c>
      <c r="E702" t="inlineStr">
        <is>
          <t>ÅSELE</t>
        </is>
      </c>
      <c r="F702" t="inlineStr">
        <is>
          <t>Sveaskog</t>
        </is>
      </c>
      <c r="G702" t="n">
        <v>17.5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32006-2023</t>
        </is>
      </c>
      <c r="B703" s="1" t="n">
        <v>45119</v>
      </c>
      <c r="C703" s="1" t="n">
        <v>45734</v>
      </c>
      <c r="D703" t="inlineStr">
        <is>
          <t>VÄSTERBOTTENS LÄN</t>
        </is>
      </c>
      <c r="E703" t="inlineStr">
        <is>
          <t>ÅSELE</t>
        </is>
      </c>
      <c r="F703" t="inlineStr">
        <is>
          <t>Sveaskog</t>
        </is>
      </c>
      <c r="G703" t="n">
        <v>12.6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33682-2023</t>
        </is>
      </c>
      <c r="B704" s="1" t="n">
        <v>45119</v>
      </c>
      <c r="C704" s="1" t="n">
        <v>45734</v>
      </c>
      <c r="D704" t="inlineStr">
        <is>
          <t>VÄSTERBOTTENS LÄN</t>
        </is>
      </c>
      <c r="E704" t="inlineStr">
        <is>
          <t>ÅSELE</t>
        </is>
      </c>
      <c r="F704" t="inlineStr">
        <is>
          <t>Allmännings- och besparingsskogar</t>
        </is>
      </c>
      <c r="G704" t="n">
        <v>12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33685-2023</t>
        </is>
      </c>
      <c r="B705" s="1" t="n">
        <v>45119</v>
      </c>
      <c r="C705" s="1" t="n">
        <v>45734</v>
      </c>
      <c r="D705" t="inlineStr">
        <is>
          <t>VÄSTERBOTTENS LÄN</t>
        </is>
      </c>
      <c r="E705" t="inlineStr">
        <is>
          <t>ÅSELE</t>
        </is>
      </c>
      <c r="F705" t="inlineStr">
        <is>
          <t>Allmännings- och besparingsskogar</t>
        </is>
      </c>
      <c r="G705" t="n">
        <v>30.5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32305-2023</t>
        </is>
      </c>
      <c r="B706" s="1" t="n">
        <v>45120</v>
      </c>
      <c r="C706" s="1" t="n">
        <v>45734</v>
      </c>
      <c r="D706" t="inlineStr">
        <is>
          <t>VÄSTERBOTTENS LÄN</t>
        </is>
      </c>
      <c r="E706" t="inlineStr">
        <is>
          <t>ÅSELE</t>
        </is>
      </c>
      <c r="F706" t="inlineStr">
        <is>
          <t>Sveaskog</t>
        </is>
      </c>
      <c r="G706" t="n">
        <v>19.8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32308-2023</t>
        </is>
      </c>
      <c r="B707" s="1" t="n">
        <v>45120</v>
      </c>
      <c r="C707" s="1" t="n">
        <v>45734</v>
      </c>
      <c r="D707" t="inlineStr">
        <is>
          <t>VÄSTERBOTTENS LÄN</t>
        </is>
      </c>
      <c r="E707" t="inlineStr">
        <is>
          <t>ÅSELE</t>
        </is>
      </c>
      <c r="F707" t="inlineStr">
        <is>
          <t>Sveaskog</t>
        </is>
      </c>
      <c r="G707" t="n">
        <v>22.9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32370-2023</t>
        </is>
      </c>
      <c r="B708" s="1" t="n">
        <v>45120</v>
      </c>
      <c r="C708" s="1" t="n">
        <v>45734</v>
      </c>
      <c r="D708" t="inlineStr">
        <is>
          <t>VÄSTERBOTTENS LÄN</t>
        </is>
      </c>
      <c r="E708" t="inlineStr">
        <is>
          <t>ÅSELE</t>
        </is>
      </c>
      <c r="G708" t="n">
        <v>14.7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32359-2023</t>
        </is>
      </c>
      <c r="B709" s="1" t="n">
        <v>45120</v>
      </c>
      <c r="C709" s="1" t="n">
        <v>45734</v>
      </c>
      <c r="D709" t="inlineStr">
        <is>
          <t>VÄSTERBOTTENS LÄN</t>
        </is>
      </c>
      <c r="E709" t="inlineStr">
        <is>
          <t>ÅSELE</t>
        </is>
      </c>
      <c r="G709" t="n">
        <v>14.4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32586-2023</t>
        </is>
      </c>
      <c r="B710" s="1" t="n">
        <v>45121</v>
      </c>
      <c r="C710" s="1" t="n">
        <v>45734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32561-2023</t>
        </is>
      </c>
      <c r="B711" s="1" t="n">
        <v>45121</v>
      </c>
      <c r="C711" s="1" t="n">
        <v>45734</v>
      </c>
      <c r="D711" t="inlineStr">
        <is>
          <t>VÄSTERBOTTENS LÄN</t>
        </is>
      </c>
      <c r="E711" t="inlineStr">
        <is>
          <t>ÅSELE</t>
        </is>
      </c>
      <c r="F711" t="inlineStr">
        <is>
          <t>Naturvårdsverket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32579-2023</t>
        </is>
      </c>
      <c r="B712" s="1" t="n">
        <v>45121</v>
      </c>
      <c r="C712" s="1" t="n">
        <v>45734</v>
      </c>
      <c r="D712" t="inlineStr">
        <is>
          <t>VÄSTERBOTTENS LÄN</t>
        </is>
      </c>
      <c r="E712" t="inlineStr">
        <is>
          <t>ÅSELE</t>
        </is>
      </c>
      <c r="F712" t="inlineStr">
        <is>
          <t>Holmen skog AB</t>
        </is>
      </c>
      <c r="G712" t="n">
        <v>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34178-2023</t>
        </is>
      </c>
      <c r="B713" s="1" t="n">
        <v>45126</v>
      </c>
      <c r="C713" s="1" t="n">
        <v>45734</v>
      </c>
      <c r="D713" t="inlineStr">
        <is>
          <t>VÄSTERBOTTENS LÄN</t>
        </is>
      </c>
      <c r="E713" t="inlineStr">
        <is>
          <t>ÅSELE</t>
        </is>
      </c>
      <c r="G713" t="n">
        <v>3.3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34236-2023</t>
        </is>
      </c>
      <c r="B714" s="1" t="n">
        <v>45127</v>
      </c>
      <c r="C714" s="1" t="n">
        <v>45734</v>
      </c>
      <c r="D714" t="inlineStr">
        <is>
          <t>VÄSTERBOTTENS LÄN</t>
        </is>
      </c>
      <c r="E714" t="inlineStr">
        <is>
          <t>ÅSELE</t>
        </is>
      </c>
      <c r="F714" t="inlineStr">
        <is>
          <t>Kommuner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34065-2023</t>
        </is>
      </c>
      <c r="B715" s="1" t="n">
        <v>45135</v>
      </c>
      <c r="C715" s="1" t="n">
        <v>45734</v>
      </c>
      <c r="D715" t="inlineStr">
        <is>
          <t>VÄSTERBOTTENS LÄN</t>
        </is>
      </c>
      <c r="E715" t="inlineStr">
        <is>
          <t>ÅSELE</t>
        </is>
      </c>
      <c r="F715" t="inlineStr">
        <is>
          <t>Holmen skog AB</t>
        </is>
      </c>
      <c r="G715" t="n">
        <v>3.6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34054-2023</t>
        </is>
      </c>
      <c r="B716" s="1" t="n">
        <v>45135</v>
      </c>
      <c r="C716" s="1" t="n">
        <v>45734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34684-2023</t>
        </is>
      </c>
      <c r="B717" s="1" t="n">
        <v>45140</v>
      </c>
      <c r="C717" s="1" t="n">
        <v>45734</v>
      </c>
      <c r="D717" t="inlineStr">
        <is>
          <t>VÄSTERBOTTENS LÄN</t>
        </is>
      </c>
      <c r="E717" t="inlineStr">
        <is>
          <t>ÅSELE</t>
        </is>
      </c>
      <c r="G717" t="n">
        <v>5.9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35520-2023</t>
        </is>
      </c>
      <c r="B718" s="1" t="n">
        <v>45147</v>
      </c>
      <c r="C718" s="1" t="n">
        <v>45734</v>
      </c>
      <c r="D718" t="inlineStr">
        <is>
          <t>VÄSTERBOTTENS LÄN</t>
        </is>
      </c>
      <c r="E718" t="inlineStr">
        <is>
          <t>ÅSELE</t>
        </is>
      </c>
      <c r="F718" t="inlineStr">
        <is>
          <t>Holmen skog AB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35861-2023</t>
        </is>
      </c>
      <c r="B719" s="1" t="n">
        <v>45147</v>
      </c>
      <c r="C719" s="1" t="n">
        <v>45734</v>
      </c>
      <c r="D719" t="inlineStr">
        <is>
          <t>VÄSTERBOTTENS LÄN</t>
        </is>
      </c>
      <c r="E719" t="inlineStr">
        <is>
          <t>ÅSELE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35853-2023</t>
        </is>
      </c>
      <c r="B720" s="1" t="n">
        <v>45147</v>
      </c>
      <c r="C720" s="1" t="n">
        <v>45734</v>
      </c>
      <c r="D720" t="inlineStr">
        <is>
          <t>VÄSTERBOTTENS LÄN</t>
        </is>
      </c>
      <c r="E720" t="inlineStr">
        <is>
          <t>ÅSELE</t>
        </is>
      </c>
      <c r="G720" t="n">
        <v>2.6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35780-2023</t>
        </is>
      </c>
      <c r="B721" s="1" t="n">
        <v>45148</v>
      </c>
      <c r="C721" s="1" t="n">
        <v>45734</v>
      </c>
      <c r="D721" t="inlineStr">
        <is>
          <t>VÄSTERBOTTENS LÄN</t>
        </is>
      </c>
      <c r="E721" t="inlineStr">
        <is>
          <t>ÅSELE</t>
        </is>
      </c>
      <c r="F721" t="inlineStr">
        <is>
          <t>Holmen skog AB</t>
        </is>
      </c>
      <c r="G721" t="n">
        <v>2.8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35971-2023</t>
        </is>
      </c>
      <c r="B722" s="1" t="n">
        <v>45148</v>
      </c>
      <c r="C722" s="1" t="n">
        <v>45734</v>
      </c>
      <c r="D722" t="inlineStr">
        <is>
          <t>VÄSTERBOTTENS LÄN</t>
        </is>
      </c>
      <c r="E722" t="inlineStr">
        <is>
          <t>ÅSELE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35950-2023</t>
        </is>
      </c>
      <c r="B723" s="1" t="n">
        <v>45148</v>
      </c>
      <c r="C723" s="1" t="n">
        <v>45734</v>
      </c>
      <c r="D723" t="inlineStr">
        <is>
          <t>VÄSTERBOTTENS LÄN</t>
        </is>
      </c>
      <c r="E723" t="inlineStr">
        <is>
          <t>ÅSELE</t>
        </is>
      </c>
      <c r="G723" t="n">
        <v>1.9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36019-2023</t>
        </is>
      </c>
      <c r="B724" s="1" t="n">
        <v>45149</v>
      </c>
      <c r="C724" s="1" t="n">
        <v>45734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36070-2023</t>
        </is>
      </c>
      <c r="B725" s="1" t="n">
        <v>45149</v>
      </c>
      <c r="C725" s="1" t="n">
        <v>45734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36042-2023</t>
        </is>
      </c>
      <c r="B726" s="1" t="n">
        <v>45149</v>
      </c>
      <c r="C726" s="1" t="n">
        <v>45734</v>
      </c>
      <c r="D726" t="inlineStr">
        <is>
          <t>VÄSTERBOTTENS LÄN</t>
        </is>
      </c>
      <c r="E726" t="inlineStr">
        <is>
          <t>ÅSELE</t>
        </is>
      </c>
      <c r="F726" t="inlineStr">
        <is>
          <t>Holmen skog AB</t>
        </is>
      </c>
      <c r="G726" t="n">
        <v>0.8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36102-2023</t>
        </is>
      </c>
      <c r="B727" s="1" t="n">
        <v>45149</v>
      </c>
      <c r="C727" s="1" t="n">
        <v>45734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12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36624-2023</t>
        </is>
      </c>
      <c r="B728" s="1" t="n">
        <v>45152</v>
      </c>
      <c r="C728" s="1" t="n">
        <v>45734</v>
      </c>
      <c r="D728" t="inlineStr">
        <is>
          <t>VÄSTERBOTTENS LÄN</t>
        </is>
      </c>
      <c r="E728" t="inlineStr">
        <is>
          <t>ÅSELE</t>
        </is>
      </c>
      <c r="G728" t="n">
        <v>8.5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36880-2023</t>
        </is>
      </c>
      <c r="B729" s="1" t="n">
        <v>45154</v>
      </c>
      <c r="C729" s="1" t="n">
        <v>45734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0.7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36812-2023</t>
        </is>
      </c>
      <c r="B730" s="1" t="n">
        <v>45154</v>
      </c>
      <c r="C730" s="1" t="n">
        <v>45734</v>
      </c>
      <c r="D730" t="inlineStr">
        <is>
          <t>VÄSTERBOTTENS LÄN</t>
        </is>
      </c>
      <c r="E730" t="inlineStr">
        <is>
          <t>ÅSELE</t>
        </is>
      </c>
      <c r="F730" t="inlineStr">
        <is>
          <t>Holmen skog AB</t>
        </is>
      </c>
      <c r="G730" t="n">
        <v>6.7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36852-2023</t>
        </is>
      </c>
      <c r="B731" s="1" t="n">
        <v>45154</v>
      </c>
      <c r="C731" s="1" t="n">
        <v>45734</v>
      </c>
      <c r="D731" t="inlineStr">
        <is>
          <t>VÄSTERBOTTENS LÄN</t>
        </is>
      </c>
      <c r="E731" t="inlineStr">
        <is>
          <t>ÅSELE</t>
        </is>
      </c>
      <c r="F731" t="inlineStr">
        <is>
          <t>Holmen skog AB</t>
        </is>
      </c>
      <c r="G731" t="n">
        <v>11.8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36914-2023</t>
        </is>
      </c>
      <c r="B732" s="1" t="n">
        <v>45154</v>
      </c>
      <c r="C732" s="1" t="n">
        <v>45734</v>
      </c>
      <c r="D732" t="inlineStr">
        <is>
          <t>VÄSTERBOTTENS LÄN</t>
        </is>
      </c>
      <c r="E732" t="inlineStr">
        <is>
          <t>ÅSELE</t>
        </is>
      </c>
      <c r="F732" t="inlineStr">
        <is>
          <t>Sveaskog</t>
        </is>
      </c>
      <c r="G732" t="n">
        <v>13.5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37336-2023</t>
        </is>
      </c>
      <c r="B733" s="1" t="n">
        <v>45156</v>
      </c>
      <c r="C733" s="1" t="n">
        <v>45734</v>
      </c>
      <c r="D733" t="inlineStr">
        <is>
          <t>VÄSTERBOTTENS LÄN</t>
        </is>
      </c>
      <c r="E733" t="inlineStr">
        <is>
          <t>ÅSELE</t>
        </is>
      </c>
      <c r="F733" t="inlineStr">
        <is>
          <t>Naturvårdsverket</t>
        </is>
      </c>
      <c r="G733" t="n">
        <v>14.7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37595-2023</t>
        </is>
      </c>
      <c r="B734" s="1" t="n">
        <v>45156</v>
      </c>
      <c r="C734" s="1" t="n">
        <v>45734</v>
      </c>
      <c r="D734" t="inlineStr">
        <is>
          <t>VÄSTERBOTTENS LÄN</t>
        </is>
      </c>
      <c r="E734" t="inlineStr">
        <is>
          <t>ÅSELE</t>
        </is>
      </c>
      <c r="G734" t="n">
        <v>8.1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37482-2023</t>
        </is>
      </c>
      <c r="B735" s="1" t="n">
        <v>45157</v>
      </c>
      <c r="C735" s="1" t="n">
        <v>45734</v>
      </c>
      <c r="D735" t="inlineStr">
        <is>
          <t>VÄSTERBOTTENS LÄN</t>
        </is>
      </c>
      <c r="E735" t="inlineStr">
        <is>
          <t>ÅSELE</t>
        </is>
      </c>
      <c r="F735" t="inlineStr">
        <is>
          <t>SCA</t>
        </is>
      </c>
      <c r="G735" t="n">
        <v>8.699999999999999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37293-2023</t>
        </is>
      </c>
      <c r="B736" s="1" t="n">
        <v>45156</v>
      </c>
      <c r="C736" s="1" t="n">
        <v>45734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37686-2023</t>
        </is>
      </c>
      <c r="B737" s="1" t="n">
        <v>45159</v>
      </c>
      <c r="C737" s="1" t="n">
        <v>45734</v>
      </c>
      <c r="D737" t="inlineStr">
        <is>
          <t>VÄSTERBOTTENS LÄN</t>
        </is>
      </c>
      <c r="E737" t="inlineStr">
        <is>
          <t>ÅSELE</t>
        </is>
      </c>
      <c r="F737" t="inlineStr">
        <is>
          <t>Sveaskog</t>
        </is>
      </c>
      <c r="G737" t="n">
        <v>7.3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37555-2023</t>
        </is>
      </c>
      <c r="B738" s="1" t="n">
        <v>45159</v>
      </c>
      <c r="C738" s="1" t="n">
        <v>45734</v>
      </c>
      <c r="D738" t="inlineStr">
        <is>
          <t>VÄSTERBOTTENS LÄN</t>
        </is>
      </c>
      <c r="E738" t="inlineStr">
        <is>
          <t>ÅSELE</t>
        </is>
      </c>
      <c r="F738" t="inlineStr">
        <is>
          <t>Holmen skog AB</t>
        </is>
      </c>
      <c r="G738" t="n">
        <v>7.3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38075-2023</t>
        </is>
      </c>
      <c r="B739" s="1" t="n">
        <v>45160</v>
      </c>
      <c r="C739" s="1" t="n">
        <v>45734</v>
      </c>
      <c r="D739" t="inlineStr">
        <is>
          <t>VÄSTERBOTTENS LÄN</t>
        </is>
      </c>
      <c r="E739" t="inlineStr">
        <is>
          <t>ÅSELE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38076-2023</t>
        </is>
      </c>
      <c r="B740" s="1" t="n">
        <v>45160</v>
      </c>
      <c r="C740" s="1" t="n">
        <v>45734</v>
      </c>
      <c r="D740" t="inlineStr">
        <is>
          <t>VÄSTERBOTTENS LÄN</t>
        </is>
      </c>
      <c r="E740" t="inlineStr">
        <is>
          <t>ÅSELE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38126-2023</t>
        </is>
      </c>
      <c r="B741" s="1" t="n">
        <v>45161</v>
      </c>
      <c r="C741" s="1" t="n">
        <v>45734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38636-2023</t>
        </is>
      </c>
      <c r="B742" s="1" t="n">
        <v>45162</v>
      </c>
      <c r="C742" s="1" t="n">
        <v>45734</v>
      </c>
      <c r="D742" t="inlineStr">
        <is>
          <t>VÄSTERBOTTENS LÄN</t>
        </is>
      </c>
      <c r="E742" t="inlineStr">
        <is>
          <t>ÅSELE</t>
        </is>
      </c>
      <c r="F742" t="inlineStr">
        <is>
          <t>Sveaskog</t>
        </is>
      </c>
      <c r="G742" t="n">
        <v>15.7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38758-2023</t>
        </is>
      </c>
      <c r="B743" s="1" t="n">
        <v>45163</v>
      </c>
      <c r="C743" s="1" t="n">
        <v>45734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38749-2023</t>
        </is>
      </c>
      <c r="B744" s="1" t="n">
        <v>45163</v>
      </c>
      <c r="C744" s="1" t="n">
        <v>45734</v>
      </c>
      <c r="D744" t="inlineStr">
        <is>
          <t>VÄSTERBOTTENS LÄN</t>
        </is>
      </c>
      <c r="E744" t="inlineStr">
        <is>
          <t>ÅSELE</t>
        </is>
      </c>
      <c r="F744" t="inlineStr">
        <is>
          <t>Holmen skog AB</t>
        </is>
      </c>
      <c r="G744" t="n">
        <v>2.7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39215-2023</t>
        </is>
      </c>
      <c r="B745" s="1" t="n">
        <v>45166</v>
      </c>
      <c r="C745" s="1" t="n">
        <v>45734</v>
      </c>
      <c r="D745" t="inlineStr">
        <is>
          <t>VÄSTERBOTTENS LÄN</t>
        </is>
      </c>
      <c r="E745" t="inlineStr">
        <is>
          <t>ÅSELE</t>
        </is>
      </c>
      <c r="F745" t="inlineStr">
        <is>
          <t>Holmen skog AB</t>
        </is>
      </c>
      <c r="G745" t="n">
        <v>0.5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39187-2023</t>
        </is>
      </c>
      <c r="B746" s="1" t="n">
        <v>45166</v>
      </c>
      <c r="C746" s="1" t="n">
        <v>45734</v>
      </c>
      <c r="D746" t="inlineStr">
        <is>
          <t>VÄSTERBOTTENS LÄN</t>
        </is>
      </c>
      <c r="E746" t="inlineStr">
        <is>
          <t>ÅSELE</t>
        </is>
      </c>
      <c r="G746" t="n">
        <v>1.1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39191-2023</t>
        </is>
      </c>
      <c r="B747" s="1" t="n">
        <v>45166</v>
      </c>
      <c r="C747" s="1" t="n">
        <v>45734</v>
      </c>
      <c r="D747" t="inlineStr">
        <is>
          <t>VÄSTERBOTTENS LÄN</t>
        </is>
      </c>
      <c r="E747" t="inlineStr">
        <is>
          <t>ÅSELE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39731-2023</t>
        </is>
      </c>
      <c r="B748" s="1" t="n">
        <v>45167</v>
      </c>
      <c r="C748" s="1" t="n">
        <v>45734</v>
      </c>
      <c r="D748" t="inlineStr">
        <is>
          <t>VÄSTERBOTTENS LÄN</t>
        </is>
      </c>
      <c r="E748" t="inlineStr">
        <is>
          <t>ÅSELE</t>
        </is>
      </c>
      <c r="F748" t="inlineStr">
        <is>
          <t>Sveaskog</t>
        </is>
      </c>
      <c r="G748" t="n">
        <v>17.6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39989-2023</t>
        </is>
      </c>
      <c r="B749" s="1" t="n">
        <v>45167</v>
      </c>
      <c r="C749" s="1" t="n">
        <v>45734</v>
      </c>
      <c r="D749" t="inlineStr">
        <is>
          <t>VÄSTERBOTTENS LÄN</t>
        </is>
      </c>
      <c r="E749" t="inlineStr">
        <is>
          <t>ÅSELE</t>
        </is>
      </c>
      <c r="G749" t="n">
        <v>5.2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40353-2023</t>
        </is>
      </c>
      <c r="B750" s="1" t="n">
        <v>45169</v>
      </c>
      <c r="C750" s="1" t="n">
        <v>45734</v>
      </c>
      <c r="D750" t="inlineStr">
        <is>
          <t>VÄSTERBOTTENS LÄN</t>
        </is>
      </c>
      <c r="E750" t="inlineStr">
        <is>
          <t>ÅSELE</t>
        </is>
      </c>
      <c r="G750" t="n">
        <v>9.4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40854-2023</t>
        </is>
      </c>
      <c r="B751" s="1" t="n">
        <v>45173</v>
      </c>
      <c r="C751" s="1" t="n">
        <v>45734</v>
      </c>
      <c r="D751" t="inlineStr">
        <is>
          <t>VÄSTERBOTTENS LÄN</t>
        </is>
      </c>
      <c r="E751" t="inlineStr">
        <is>
          <t>ÅSELE</t>
        </is>
      </c>
      <c r="G751" t="n">
        <v>5.5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40899-2023</t>
        </is>
      </c>
      <c r="B752" s="1" t="n">
        <v>45173</v>
      </c>
      <c r="C752" s="1" t="n">
        <v>45734</v>
      </c>
      <c r="D752" t="inlineStr">
        <is>
          <t>VÄSTERBOTTENS LÄN</t>
        </is>
      </c>
      <c r="E752" t="inlineStr">
        <is>
          <t>ÅSELE</t>
        </is>
      </c>
      <c r="G752" t="n">
        <v>2.7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41125-2023</t>
        </is>
      </c>
      <c r="B753" s="1" t="n">
        <v>45173</v>
      </c>
      <c r="C753" s="1" t="n">
        <v>45734</v>
      </c>
      <c r="D753" t="inlineStr">
        <is>
          <t>VÄSTERBOTTENS LÄN</t>
        </is>
      </c>
      <c r="E753" t="inlineStr">
        <is>
          <t>ÅSELE</t>
        </is>
      </c>
      <c r="G753" t="n">
        <v>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40888-2023</t>
        </is>
      </c>
      <c r="B754" s="1" t="n">
        <v>45173</v>
      </c>
      <c r="C754" s="1" t="n">
        <v>45734</v>
      </c>
      <c r="D754" t="inlineStr">
        <is>
          <t>VÄSTERBOTTENS LÄN</t>
        </is>
      </c>
      <c r="E754" t="inlineStr">
        <is>
          <t>ÅSELE</t>
        </is>
      </c>
      <c r="G754" t="n">
        <v>6.4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41409-2023</t>
        </is>
      </c>
      <c r="B755" s="1" t="n">
        <v>45175</v>
      </c>
      <c r="C755" s="1" t="n">
        <v>45734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7.3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41398-2023</t>
        </is>
      </c>
      <c r="B756" s="1" t="n">
        <v>45175</v>
      </c>
      <c r="C756" s="1" t="n">
        <v>45734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8.5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41410-2023</t>
        </is>
      </c>
      <c r="B757" s="1" t="n">
        <v>45175</v>
      </c>
      <c r="C757" s="1" t="n">
        <v>45734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16.5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41400-2023</t>
        </is>
      </c>
      <c r="B758" s="1" t="n">
        <v>45175</v>
      </c>
      <c r="C758" s="1" t="n">
        <v>45734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41408-2023</t>
        </is>
      </c>
      <c r="B759" s="1" t="n">
        <v>45174</v>
      </c>
      <c r="C759" s="1" t="n">
        <v>45734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41399-2023</t>
        </is>
      </c>
      <c r="B760" s="1" t="n">
        <v>45175</v>
      </c>
      <c r="C760" s="1" t="n">
        <v>45734</v>
      </c>
      <c r="D760" t="inlineStr">
        <is>
          <t>VÄSTERBOTTENS LÄN</t>
        </is>
      </c>
      <c r="E760" t="inlineStr">
        <is>
          <t>ÅSELE</t>
        </is>
      </c>
      <c r="F760" t="inlineStr">
        <is>
          <t>SCA</t>
        </is>
      </c>
      <c r="G760" t="n">
        <v>1.9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41411-2023</t>
        </is>
      </c>
      <c r="B761" s="1" t="n">
        <v>45175</v>
      </c>
      <c r="C761" s="1" t="n">
        <v>45734</v>
      </c>
      <c r="D761" t="inlineStr">
        <is>
          <t>VÄSTERBOTTENS LÄN</t>
        </is>
      </c>
      <c r="E761" t="inlineStr">
        <is>
          <t>ÅSELE</t>
        </is>
      </c>
      <c r="F761" t="inlineStr">
        <is>
          <t>SCA</t>
        </is>
      </c>
      <c r="G761" t="n">
        <v>12.7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41694-2023</t>
        </is>
      </c>
      <c r="B762" s="1" t="n">
        <v>45176</v>
      </c>
      <c r="C762" s="1" t="n">
        <v>45734</v>
      </c>
      <c r="D762" t="inlineStr">
        <is>
          <t>VÄSTERBOTTENS LÄN</t>
        </is>
      </c>
      <c r="E762" t="inlineStr">
        <is>
          <t>ÅSELE</t>
        </is>
      </c>
      <c r="F762" t="inlineStr">
        <is>
          <t>Holmen skog AB</t>
        </is>
      </c>
      <c r="G762" t="n">
        <v>10.3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42037-2023</t>
        </is>
      </c>
      <c r="B763" s="1" t="n">
        <v>45177</v>
      </c>
      <c r="C763" s="1" t="n">
        <v>45734</v>
      </c>
      <c r="D763" t="inlineStr">
        <is>
          <t>VÄSTERBOTTENS LÄN</t>
        </is>
      </c>
      <c r="E763" t="inlineStr">
        <is>
          <t>ÅSELE</t>
        </is>
      </c>
      <c r="F763" t="inlineStr">
        <is>
          <t>Holmen skog AB</t>
        </is>
      </c>
      <c r="G763" t="n">
        <v>4.7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43240-2023</t>
        </is>
      </c>
      <c r="B764" s="1" t="n">
        <v>45180</v>
      </c>
      <c r="C764" s="1" t="n">
        <v>45734</v>
      </c>
      <c r="D764" t="inlineStr">
        <is>
          <t>VÄSTERBOTTENS LÄN</t>
        </is>
      </c>
      <c r="E764" t="inlineStr">
        <is>
          <t>ÅSELE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43246-2023</t>
        </is>
      </c>
      <c r="B765" s="1" t="n">
        <v>45180</v>
      </c>
      <c r="C765" s="1" t="n">
        <v>45734</v>
      </c>
      <c r="D765" t="inlineStr">
        <is>
          <t>VÄSTERBOTTENS LÄN</t>
        </is>
      </c>
      <c r="E765" t="inlineStr">
        <is>
          <t>ÅSELE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43133-2023</t>
        </is>
      </c>
      <c r="B766" s="1" t="n">
        <v>45182</v>
      </c>
      <c r="C766" s="1" t="n">
        <v>45734</v>
      </c>
      <c r="D766" t="inlineStr">
        <is>
          <t>VÄSTERBOTTENS LÄN</t>
        </is>
      </c>
      <c r="E766" t="inlineStr">
        <is>
          <t>ÅSELE</t>
        </is>
      </c>
      <c r="F766" t="inlineStr">
        <is>
          <t>SCA</t>
        </is>
      </c>
      <c r="G766" t="n">
        <v>14.1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43401-2023</t>
        </is>
      </c>
      <c r="B767" s="1" t="n">
        <v>45184</v>
      </c>
      <c r="C767" s="1" t="n">
        <v>45734</v>
      </c>
      <c r="D767" t="inlineStr">
        <is>
          <t>VÄSTERBOTTENS LÄN</t>
        </is>
      </c>
      <c r="E767" t="inlineStr">
        <is>
          <t>ÅSELE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43763-2023</t>
        </is>
      </c>
      <c r="B768" s="1" t="n">
        <v>45187</v>
      </c>
      <c r="C768" s="1" t="n">
        <v>45734</v>
      </c>
      <c r="D768" t="inlineStr">
        <is>
          <t>VÄSTERBOTTENS LÄN</t>
        </is>
      </c>
      <c r="E768" t="inlineStr">
        <is>
          <t>ÅSELE</t>
        </is>
      </c>
      <c r="G768" t="n">
        <v>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43768-2023</t>
        </is>
      </c>
      <c r="B769" s="1" t="n">
        <v>45187</v>
      </c>
      <c r="C769" s="1" t="n">
        <v>45734</v>
      </c>
      <c r="D769" t="inlineStr">
        <is>
          <t>VÄSTERBOTTENS LÄN</t>
        </is>
      </c>
      <c r="E769" t="inlineStr">
        <is>
          <t>ÅSELE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45198-2023</t>
        </is>
      </c>
      <c r="B770" s="1" t="n">
        <v>45187</v>
      </c>
      <c r="C770" s="1" t="n">
        <v>45734</v>
      </c>
      <c r="D770" t="inlineStr">
        <is>
          <t>VÄSTERBOTTENS LÄN</t>
        </is>
      </c>
      <c r="E770" t="inlineStr">
        <is>
          <t>ÅSELE</t>
        </is>
      </c>
      <c r="G770" t="n">
        <v>5.3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44029-2023</t>
        </is>
      </c>
      <c r="B771" s="1" t="n">
        <v>45188</v>
      </c>
      <c r="C771" s="1" t="n">
        <v>45734</v>
      </c>
      <c r="D771" t="inlineStr">
        <is>
          <t>VÄSTERBOTTENS LÄN</t>
        </is>
      </c>
      <c r="E771" t="inlineStr">
        <is>
          <t>ÅSELE</t>
        </is>
      </c>
      <c r="F771" t="inlineStr">
        <is>
          <t>Sveaskog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44026-2023</t>
        </is>
      </c>
      <c r="B772" s="1" t="n">
        <v>45188</v>
      </c>
      <c r="C772" s="1" t="n">
        <v>45734</v>
      </c>
      <c r="D772" t="inlineStr">
        <is>
          <t>VÄSTERBOTTENS LÄN</t>
        </is>
      </c>
      <c r="E772" t="inlineStr">
        <is>
          <t>ÅSELE</t>
        </is>
      </c>
      <c r="F772" t="inlineStr">
        <is>
          <t>Sveaskog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45652-2023</t>
        </is>
      </c>
      <c r="B773" s="1" t="n">
        <v>45188</v>
      </c>
      <c r="C773" s="1" t="n">
        <v>45734</v>
      </c>
      <c r="D773" t="inlineStr">
        <is>
          <t>VÄSTERBOTTENS LÄN</t>
        </is>
      </c>
      <c r="E773" t="inlineStr">
        <is>
          <t>ÅSELE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44677-2023</t>
        </is>
      </c>
      <c r="B774" s="1" t="n">
        <v>45189</v>
      </c>
      <c r="C774" s="1" t="n">
        <v>45734</v>
      </c>
      <c r="D774" t="inlineStr">
        <is>
          <t>VÄSTERBOTTENS LÄN</t>
        </is>
      </c>
      <c r="E774" t="inlineStr">
        <is>
          <t>ÅSELE</t>
        </is>
      </c>
      <c r="G774" t="n">
        <v>7.9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45800-2023</t>
        </is>
      </c>
      <c r="B775" s="1" t="n">
        <v>45189</v>
      </c>
      <c r="C775" s="1" t="n">
        <v>45734</v>
      </c>
      <c r="D775" t="inlineStr">
        <is>
          <t>VÄSTERBOTTENS LÄN</t>
        </is>
      </c>
      <c r="E775" t="inlineStr">
        <is>
          <t>ÅSELE</t>
        </is>
      </c>
      <c r="G775" t="n">
        <v>42.1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45816-2023</t>
        </is>
      </c>
      <c r="B776" s="1" t="n">
        <v>45189</v>
      </c>
      <c r="C776" s="1" t="n">
        <v>45734</v>
      </c>
      <c r="D776" t="inlineStr">
        <is>
          <t>VÄSTERBOTTENS LÄN</t>
        </is>
      </c>
      <c r="E776" t="inlineStr">
        <is>
          <t>ÅSELE</t>
        </is>
      </c>
      <c r="G776" t="n">
        <v>38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44801-2023</t>
        </is>
      </c>
      <c r="B777" s="1" t="n">
        <v>45190</v>
      </c>
      <c r="C777" s="1" t="n">
        <v>45734</v>
      </c>
      <c r="D777" t="inlineStr">
        <is>
          <t>VÄSTERBOTTENS LÄN</t>
        </is>
      </c>
      <c r="E777" t="inlineStr">
        <is>
          <t>ÅSELE</t>
        </is>
      </c>
      <c r="F777" t="inlineStr">
        <is>
          <t>Naturvårdsverket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46146-2023</t>
        </is>
      </c>
      <c r="B778" s="1" t="n">
        <v>45190</v>
      </c>
      <c r="C778" s="1" t="n">
        <v>45734</v>
      </c>
      <c r="D778" t="inlineStr">
        <is>
          <t>VÄSTERBOTTENS LÄN</t>
        </is>
      </c>
      <c r="E778" t="inlineStr">
        <is>
          <t>ÅSELE</t>
        </is>
      </c>
      <c r="G778" t="n">
        <v>1.8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45249-2023</t>
        </is>
      </c>
      <c r="B779" s="1" t="n">
        <v>45191</v>
      </c>
      <c r="C779" s="1" t="n">
        <v>45734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6.7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45622-2023</t>
        </is>
      </c>
      <c r="B780" s="1" t="n">
        <v>45194</v>
      </c>
      <c r="C780" s="1" t="n">
        <v>45734</v>
      </c>
      <c r="D780" t="inlineStr">
        <is>
          <t>VÄSTERBOTTENS LÄN</t>
        </is>
      </c>
      <c r="E780" t="inlineStr">
        <is>
          <t>ÅSELE</t>
        </is>
      </c>
      <c r="G780" t="n">
        <v>1.7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46173-2023</t>
        </is>
      </c>
      <c r="B781" s="1" t="n">
        <v>45196</v>
      </c>
      <c r="C781" s="1" t="n">
        <v>45734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46224-2023</t>
        </is>
      </c>
      <c r="B782" s="1" t="n">
        <v>45196</v>
      </c>
      <c r="C782" s="1" t="n">
        <v>45734</v>
      </c>
      <c r="D782" t="inlineStr">
        <is>
          <t>VÄSTERBOTTENS LÄN</t>
        </is>
      </c>
      <c r="E782" t="inlineStr">
        <is>
          <t>ÅSELE</t>
        </is>
      </c>
      <c r="F782" t="inlineStr">
        <is>
          <t>Naturvårdsverket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46696-2023</t>
        </is>
      </c>
      <c r="B783" s="1" t="n">
        <v>45198</v>
      </c>
      <c r="C783" s="1" t="n">
        <v>45734</v>
      </c>
      <c r="D783" t="inlineStr">
        <is>
          <t>VÄSTERBOTTENS LÄN</t>
        </is>
      </c>
      <c r="E783" t="inlineStr">
        <is>
          <t>ÅSELE</t>
        </is>
      </c>
      <c r="F783" t="inlineStr">
        <is>
          <t>Sveaskog</t>
        </is>
      </c>
      <c r="G783" t="n">
        <v>14.5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46693-2023</t>
        </is>
      </c>
      <c r="B784" s="1" t="n">
        <v>45198</v>
      </c>
      <c r="C784" s="1" t="n">
        <v>45734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14.8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46825-2023</t>
        </is>
      </c>
      <c r="B785" s="1" t="n">
        <v>45199</v>
      </c>
      <c r="C785" s="1" t="n">
        <v>45734</v>
      </c>
      <c r="D785" t="inlineStr">
        <is>
          <t>VÄSTERBOTTENS LÄN</t>
        </is>
      </c>
      <c r="E785" t="inlineStr">
        <is>
          <t>ÅSELE</t>
        </is>
      </c>
      <c r="F785" t="inlineStr">
        <is>
          <t>SCA</t>
        </is>
      </c>
      <c r="G785" t="n">
        <v>6.1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46691-2023</t>
        </is>
      </c>
      <c r="B786" s="1" t="n">
        <v>45198</v>
      </c>
      <c r="C786" s="1" t="n">
        <v>45734</v>
      </c>
      <c r="D786" t="inlineStr">
        <is>
          <t>VÄSTERBOTTENS LÄN</t>
        </is>
      </c>
      <c r="E786" t="inlineStr">
        <is>
          <t>ÅSELE</t>
        </is>
      </c>
      <c r="F786" t="inlineStr">
        <is>
          <t>Sveaskog</t>
        </is>
      </c>
      <c r="G786" t="n">
        <v>11.1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47616-2023</t>
        </is>
      </c>
      <c r="B787" s="1" t="n">
        <v>45198</v>
      </c>
      <c r="C787" s="1" t="n">
        <v>45734</v>
      </c>
      <c r="D787" t="inlineStr">
        <is>
          <t>VÄSTERBOTTENS LÄN</t>
        </is>
      </c>
      <c r="E787" t="inlineStr">
        <is>
          <t>ÅSELE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47146-2023</t>
        </is>
      </c>
      <c r="B788" s="1" t="n">
        <v>45201</v>
      </c>
      <c r="C788" s="1" t="n">
        <v>45734</v>
      </c>
      <c r="D788" t="inlineStr">
        <is>
          <t>VÄSTERBOTTENS LÄN</t>
        </is>
      </c>
      <c r="E788" t="inlineStr">
        <is>
          <t>ÅSELE</t>
        </is>
      </c>
      <c r="G788" t="n">
        <v>0.8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48165-2023</t>
        </is>
      </c>
      <c r="B789" s="1" t="n">
        <v>45201</v>
      </c>
      <c r="C789" s="1" t="n">
        <v>45734</v>
      </c>
      <c r="D789" t="inlineStr">
        <is>
          <t>VÄSTERBOTTENS LÄN</t>
        </is>
      </c>
      <c r="E789" t="inlineStr">
        <is>
          <t>ÅSELE</t>
        </is>
      </c>
      <c r="F789" t="inlineStr">
        <is>
          <t>Allmännings- och besparingsskogar</t>
        </is>
      </c>
      <c r="G789" t="n">
        <v>5.2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47760-2023</t>
        </is>
      </c>
      <c r="B790" s="1" t="n">
        <v>45203</v>
      </c>
      <c r="C790" s="1" t="n">
        <v>45734</v>
      </c>
      <c r="D790" t="inlineStr">
        <is>
          <t>VÄSTERBOTTENS LÄN</t>
        </is>
      </c>
      <c r="E790" t="inlineStr">
        <is>
          <t>ÅSELE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48073-2023</t>
        </is>
      </c>
      <c r="B791" s="1" t="n">
        <v>45204</v>
      </c>
      <c r="C791" s="1" t="n">
        <v>45734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5.7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48081-2023</t>
        </is>
      </c>
      <c r="B792" s="1" t="n">
        <v>45204</v>
      </c>
      <c r="C792" s="1" t="n">
        <v>45734</v>
      </c>
      <c r="D792" t="inlineStr">
        <is>
          <t>VÄSTERBOTTENS LÄN</t>
        </is>
      </c>
      <c r="E792" t="inlineStr">
        <is>
          <t>ÅSELE</t>
        </is>
      </c>
      <c r="F792" t="inlineStr">
        <is>
          <t>SCA</t>
        </is>
      </c>
      <c r="G792" t="n">
        <v>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48440-2023</t>
        </is>
      </c>
      <c r="B793" s="1" t="n">
        <v>45205</v>
      </c>
      <c r="C793" s="1" t="n">
        <v>45734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48463-2023</t>
        </is>
      </c>
      <c r="B794" s="1" t="n">
        <v>45206</v>
      </c>
      <c r="C794" s="1" t="n">
        <v>45734</v>
      </c>
      <c r="D794" t="inlineStr">
        <is>
          <t>VÄSTERBOTTENS LÄN</t>
        </is>
      </c>
      <c r="E794" t="inlineStr">
        <is>
          <t>ÅSELE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48488-2023</t>
        </is>
      </c>
      <c r="B795" s="1" t="n">
        <v>45206</v>
      </c>
      <c r="C795" s="1" t="n">
        <v>45734</v>
      </c>
      <c r="D795" t="inlineStr">
        <is>
          <t>VÄSTERBOTTENS LÄN</t>
        </is>
      </c>
      <c r="E795" t="inlineStr">
        <is>
          <t>ÅSELE</t>
        </is>
      </c>
      <c r="F795" t="inlineStr">
        <is>
          <t>SCA</t>
        </is>
      </c>
      <c r="G795" t="n">
        <v>8.199999999999999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48670-2023</t>
        </is>
      </c>
      <c r="B796" s="1" t="n">
        <v>45208</v>
      </c>
      <c r="C796" s="1" t="n">
        <v>45734</v>
      </c>
      <c r="D796" t="inlineStr">
        <is>
          <t>VÄSTERBOTTENS LÄN</t>
        </is>
      </c>
      <c r="E796" t="inlineStr">
        <is>
          <t>ÅSELE</t>
        </is>
      </c>
      <c r="F796" t="inlineStr">
        <is>
          <t>Naturvårdsverket</t>
        </is>
      </c>
      <c r="G796" t="n">
        <v>9.699999999999999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49299-2023</t>
        </is>
      </c>
      <c r="B797" s="1" t="n">
        <v>45210</v>
      </c>
      <c r="C797" s="1" t="n">
        <v>45734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49928-2023</t>
        </is>
      </c>
      <c r="B798" s="1" t="n">
        <v>45215</v>
      </c>
      <c r="C798" s="1" t="n">
        <v>45734</v>
      </c>
      <c r="D798" t="inlineStr">
        <is>
          <t>VÄSTERBOTTENS LÄN</t>
        </is>
      </c>
      <c r="E798" t="inlineStr">
        <is>
          <t>ÅSELE</t>
        </is>
      </c>
      <c r="F798" t="inlineStr">
        <is>
          <t>SCA</t>
        </is>
      </c>
      <c r="G798" t="n">
        <v>3.9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49926-2023</t>
        </is>
      </c>
      <c r="B799" s="1" t="n">
        <v>45214</v>
      </c>
      <c r="C799" s="1" t="n">
        <v>45734</v>
      </c>
      <c r="D799" t="inlineStr">
        <is>
          <t>VÄSTERBOTTENS LÄN</t>
        </is>
      </c>
      <c r="E799" t="inlineStr">
        <is>
          <t>ÅSELE</t>
        </is>
      </c>
      <c r="F799" t="inlineStr">
        <is>
          <t>Holmen skog AB</t>
        </is>
      </c>
      <c r="G799" t="n">
        <v>3.5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50200-2023</t>
        </is>
      </c>
      <c r="B800" s="1" t="n">
        <v>45215</v>
      </c>
      <c r="C800" s="1" t="n">
        <v>45734</v>
      </c>
      <c r="D800" t="inlineStr">
        <is>
          <t>VÄSTERBOTTENS LÄN</t>
        </is>
      </c>
      <c r="E800" t="inlineStr">
        <is>
          <t>ÅSELE</t>
        </is>
      </c>
      <c r="F800" t="inlineStr">
        <is>
          <t>Holmen skog AB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50585-2023</t>
        </is>
      </c>
      <c r="B801" s="1" t="n">
        <v>45217</v>
      </c>
      <c r="C801" s="1" t="n">
        <v>45734</v>
      </c>
      <c r="D801" t="inlineStr">
        <is>
          <t>VÄSTERBOTTENS LÄN</t>
        </is>
      </c>
      <c r="E801" t="inlineStr">
        <is>
          <t>ÅSELE</t>
        </is>
      </c>
      <c r="G801" t="n">
        <v>19.8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50795-2023</t>
        </is>
      </c>
      <c r="B802" s="1" t="n">
        <v>45217</v>
      </c>
      <c r="C802" s="1" t="n">
        <v>45734</v>
      </c>
      <c r="D802" t="inlineStr">
        <is>
          <t>VÄSTERBOTTENS LÄN</t>
        </is>
      </c>
      <c r="E802" t="inlineStr">
        <is>
          <t>ÅSELE</t>
        </is>
      </c>
      <c r="G802" t="n">
        <v>3.9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50858-2023</t>
        </is>
      </c>
      <c r="B803" s="1" t="n">
        <v>45218</v>
      </c>
      <c r="C803" s="1" t="n">
        <v>45734</v>
      </c>
      <c r="D803" t="inlineStr">
        <is>
          <t>VÄSTERBOTTENS LÄN</t>
        </is>
      </c>
      <c r="E803" t="inlineStr">
        <is>
          <t>ÅSELE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50861-2023</t>
        </is>
      </c>
      <c r="B804" s="1" t="n">
        <v>45218</v>
      </c>
      <c r="C804" s="1" t="n">
        <v>45734</v>
      </c>
      <c r="D804" t="inlineStr">
        <is>
          <t>VÄSTERBOTTENS LÄN</t>
        </is>
      </c>
      <c r="E804" t="inlineStr">
        <is>
          <t>ÅSELE</t>
        </is>
      </c>
      <c r="G804" t="n">
        <v>6.5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51473-2023</t>
        </is>
      </c>
      <c r="B805" s="1" t="n">
        <v>45221</v>
      </c>
      <c r="C805" s="1" t="n">
        <v>45734</v>
      </c>
      <c r="D805" t="inlineStr">
        <is>
          <t>VÄSTERBOTTENS LÄN</t>
        </is>
      </c>
      <c r="E805" t="inlineStr">
        <is>
          <t>ÅSELE</t>
        </is>
      </c>
      <c r="G805" t="n">
        <v>12.4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51491-2023</t>
        </is>
      </c>
      <c r="B806" s="1" t="n">
        <v>45222</v>
      </c>
      <c r="C806" s="1" t="n">
        <v>45734</v>
      </c>
      <c r="D806" t="inlineStr">
        <is>
          <t>VÄSTERBOTTENS LÄN</t>
        </is>
      </c>
      <c r="E806" t="inlineStr">
        <is>
          <t>ÅSELE</t>
        </is>
      </c>
      <c r="G806" t="n">
        <v>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52103-2023</t>
        </is>
      </c>
      <c r="B807" s="1" t="n">
        <v>45223</v>
      </c>
      <c r="C807" s="1" t="n">
        <v>45734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4.1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52111-2023</t>
        </is>
      </c>
      <c r="B808" s="1" t="n">
        <v>45224</v>
      </c>
      <c r="C808" s="1" t="n">
        <v>45734</v>
      </c>
      <c r="D808" t="inlineStr">
        <is>
          <t>VÄSTERBOTTENS LÄN</t>
        </is>
      </c>
      <c r="E808" t="inlineStr">
        <is>
          <t>ÅSELE</t>
        </is>
      </c>
      <c r="G808" t="n">
        <v>12.5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52213-2023</t>
        </is>
      </c>
      <c r="B809" s="1" t="n">
        <v>45224</v>
      </c>
      <c r="C809" s="1" t="n">
        <v>45734</v>
      </c>
      <c r="D809" t="inlineStr">
        <is>
          <t>VÄSTERBOTTENS LÄN</t>
        </is>
      </c>
      <c r="E809" t="inlineStr">
        <is>
          <t>ÅSELE</t>
        </is>
      </c>
      <c r="F809" t="inlineStr">
        <is>
          <t>Holmen skog AB</t>
        </is>
      </c>
      <c r="G809" t="n">
        <v>13.9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52280-2023</t>
        </is>
      </c>
      <c r="B810" s="1" t="n">
        <v>45224</v>
      </c>
      <c r="C810" s="1" t="n">
        <v>45734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15.4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54901-2023</t>
        </is>
      </c>
      <c r="B811" s="1" t="n">
        <v>45229</v>
      </c>
      <c r="C811" s="1" t="n">
        <v>45734</v>
      </c>
      <c r="D811" t="inlineStr">
        <is>
          <t>VÄSTERBOTTENS LÄN</t>
        </is>
      </c>
      <c r="E811" t="inlineStr">
        <is>
          <t>ÅSELE</t>
        </is>
      </c>
      <c r="G811" t="n">
        <v>5.7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54452-2023</t>
        </is>
      </c>
      <c r="B812" s="1" t="n">
        <v>45233</v>
      </c>
      <c r="C812" s="1" t="n">
        <v>45734</v>
      </c>
      <c r="D812" t="inlineStr">
        <is>
          <t>VÄSTERBOTTENS LÄN</t>
        </is>
      </c>
      <c r="E812" t="inlineStr">
        <is>
          <t>ÅSELE</t>
        </is>
      </c>
      <c r="F812" t="inlineStr">
        <is>
          <t>Holmen skog AB</t>
        </is>
      </c>
      <c r="G812" t="n">
        <v>2.5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54680-2023</t>
        </is>
      </c>
      <c r="B813" s="1" t="n">
        <v>45235</v>
      </c>
      <c r="C813" s="1" t="n">
        <v>45734</v>
      </c>
      <c r="D813" t="inlineStr">
        <is>
          <t>VÄSTERBOTTENS LÄN</t>
        </is>
      </c>
      <c r="E813" t="inlineStr">
        <is>
          <t>ÅSELE</t>
        </is>
      </c>
      <c r="F813" t="inlineStr">
        <is>
          <t>Holmen skog AB</t>
        </is>
      </c>
      <c r="G813" t="n">
        <v>3.9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54746-2023</t>
        </is>
      </c>
      <c r="B814" s="1" t="n">
        <v>45236</v>
      </c>
      <c r="C814" s="1" t="n">
        <v>45734</v>
      </c>
      <c r="D814" t="inlineStr">
        <is>
          <t>VÄSTERBOTTENS LÄN</t>
        </is>
      </c>
      <c r="E814" t="inlineStr">
        <is>
          <t>ÅSELE</t>
        </is>
      </c>
      <c r="F814" t="inlineStr">
        <is>
          <t>Sveaskog</t>
        </is>
      </c>
      <c r="G814" t="n">
        <v>4.1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54765-2023</t>
        </is>
      </c>
      <c r="B815" s="1" t="n">
        <v>45236</v>
      </c>
      <c r="C815" s="1" t="n">
        <v>45734</v>
      </c>
      <c r="D815" t="inlineStr">
        <is>
          <t>VÄSTERBOTTENS LÄN</t>
        </is>
      </c>
      <c r="E815" t="inlineStr">
        <is>
          <t>ÅSELE</t>
        </is>
      </c>
      <c r="F815" t="inlineStr">
        <is>
          <t>Sveaskog</t>
        </is>
      </c>
      <c r="G815" t="n">
        <v>18.9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55920-2023</t>
        </is>
      </c>
      <c r="B816" s="1" t="n">
        <v>45240</v>
      </c>
      <c r="C816" s="1" t="n">
        <v>45734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56981-2023</t>
        </is>
      </c>
      <c r="B817" s="1" t="n">
        <v>45239</v>
      </c>
      <c r="C817" s="1" t="n">
        <v>45734</v>
      </c>
      <c r="D817" t="inlineStr">
        <is>
          <t>VÄSTERBOTTENS LÄN</t>
        </is>
      </c>
      <c r="E817" t="inlineStr">
        <is>
          <t>ÅSELE</t>
        </is>
      </c>
      <c r="F817" t="inlineStr">
        <is>
          <t>Allmännings- och besparingsskogar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56258-2023</t>
        </is>
      </c>
      <c r="B818" s="1" t="n">
        <v>45240</v>
      </c>
      <c r="C818" s="1" t="n">
        <v>45734</v>
      </c>
      <c r="D818" t="inlineStr">
        <is>
          <t>VÄSTERBOTTENS LÄN</t>
        </is>
      </c>
      <c r="E818" t="inlineStr">
        <is>
          <t>ÅSELE</t>
        </is>
      </c>
      <c r="F818" t="inlineStr">
        <is>
          <t>SCA</t>
        </is>
      </c>
      <c r="G818" t="n">
        <v>4.6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56961-2023</t>
        </is>
      </c>
      <c r="B819" s="1" t="n">
        <v>45244</v>
      </c>
      <c r="C819" s="1" t="n">
        <v>45734</v>
      </c>
      <c r="D819" t="inlineStr">
        <is>
          <t>VÄSTERBOTTENS LÄN</t>
        </is>
      </c>
      <c r="E819" t="inlineStr">
        <is>
          <t>ÅSELE</t>
        </is>
      </c>
      <c r="F819" t="inlineStr">
        <is>
          <t>Holmen skog AB</t>
        </is>
      </c>
      <c r="G819" t="n">
        <v>10.8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56826-2023</t>
        </is>
      </c>
      <c r="B820" s="1" t="n">
        <v>45244</v>
      </c>
      <c r="C820" s="1" t="n">
        <v>45734</v>
      </c>
      <c r="D820" t="inlineStr">
        <is>
          <t>VÄSTERBOTTENS LÄN</t>
        </is>
      </c>
      <c r="E820" t="inlineStr">
        <is>
          <t>ÅSELE</t>
        </is>
      </c>
      <c r="F820" t="inlineStr">
        <is>
          <t>Naturvårdsverket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57920-2023</t>
        </is>
      </c>
      <c r="B821" s="1" t="n">
        <v>45244</v>
      </c>
      <c r="C821" s="1" t="n">
        <v>45734</v>
      </c>
      <c r="D821" t="inlineStr">
        <is>
          <t>VÄSTERBOTTENS LÄN</t>
        </is>
      </c>
      <c r="E821" t="inlineStr">
        <is>
          <t>ÅSELE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57377-2023</t>
        </is>
      </c>
      <c r="B822" s="1" t="n">
        <v>45245</v>
      </c>
      <c r="C822" s="1" t="n">
        <v>45734</v>
      </c>
      <c r="D822" t="inlineStr">
        <is>
          <t>VÄSTERBOTTENS LÄN</t>
        </is>
      </c>
      <c r="E822" t="inlineStr">
        <is>
          <t>ÅSELE</t>
        </is>
      </c>
      <c r="F822" t="inlineStr">
        <is>
          <t>Holmen skog AB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57641-2023</t>
        </is>
      </c>
      <c r="B823" s="1" t="n">
        <v>45246</v>
      </c>
      <c r="C823" s="1" t="n">
        <v>45734</v>
      </c>
      <c r="D823" t="inlineStr">
        <is>
          <t>VÄSTERBOTTENS LÄN</t>
        </is>
      </c>
      <c r="E823" t="inlineStr">
        <is>
          <t>ÅSELE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57632-2023</t>
        </is>
      </c>
      <c r="B824" s="1" t="n">
        <v>45246</v>
      </c>
      <c r="C824" s="1" t="n">
        <v>45734</v>
      </c>
      <c r="D824" t="inlineStr">
        <is>
          <t>VÄSTERBOTTENS LÄN</t>
        </is>
      </c>
      <c r="E824" t="inlineStr">
        <is>
          <t>ÅSELE</t>
        </is>
      </c>
      <c r="G824" t="n">
        <v>2.1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57788-2023</t>
        </is>
      </c>
      <c r="B825" s="1" t="n">
        <v>45246</v>
      </c>
      <c r="C825" s="1" t="n">
        <v>45734</v>
      </c>
      <c r="D825" t="inlineStr">
        <is>
          <t>VÄSTERBOTTENS LÄN</t>
        </is>
      </c>
      <c r="E825" t="inlineStr">
        <is>
          <t>ÅSELE</t>
        </is>
      </c>
      <c r="F825" t="inlineStr">
        <is>
          <t>SCA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57800-2023</t>
        </is>
      </c>
      <c r="B826" s="1" t="n">
        <v>45247</v>
      </c>
      <c r="C826" s="1" t="n">
        <v>45734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1.5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58348-2023</t>
        </is>
      </c>
      <c r="B827" s="1" t="n">
        <v>45250</v>
      </c>
      <c r="C827" s="1" t="n">
        <v>45734</v>
      </c>
      <c r="D827" t="inlineStr">
        <is>
          <t>VÄSTERBOTTENS LÄN</t>
        </is>
      </c>
      <c r="E827" t="inlineStr">
        <is>
          <t>ÅSELE</t>
        </is>
      </c>
      <c r="F827" t="inlineStr">
        <is>
          <t>Holmen skog AB</t>
        </is>
      </c>
      <c r="G827" t="n">
        <v>7.7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59998-2023</t>
        </is>
      </c>
      <c r="B828" s="1" t="n">
        <v>45257</v>
      </c>
      <c r="C828" s="1" t="n">
        <v>45734</v>
      </c>
      <c r="D828" t="inlineStr">
        <is>
          <t>VÄSTERBOTTENS LÄN</t>
        </is>
      </c>
      <c r="E828" t="inlineStr">
        <is>
          <t>ÅSELE</t>
        </is>
      </c>
      <c r="F828" t="inlineStr">
        <is>
          <t>SCA</t>
        </is>
      </c>
      <c r="G828" t="n">
        <v>32.5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60348-2023</t>
        </is>
      </c>
      <c r="B829" s="1" t="n">
        <v>45257</v>
      </c>
      <c r="C829" s="1" t="n">
        <v>45734</v>
      </c>
      <c r="D829" t="inlineStr">
        <is>
          <t>VÄSTERBOTTENS LÄN</t>
        </is>
      </c>
      <c r="E829" t="inlineStr">
        <is>
          <t>ÅSELE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61200-2023</t>
        </is>
      </c>
      <c r="B830" s="1" t="n">
        <v>45260</v>
      </c>
      <c r="C830" s="1" t="n">
        <v>45734</v>
      </c>
      <c r="D830" t="inlineStr">
        <is>
          <t>VÄSTERBOTTENS LÄN</t>
        </is>
      </c>
      <c r="E830" t="inlineStr">
        <is>
          <t>ÅSELE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61568-2023</t>
        </is>
      </c>
      <c r="B831" s="1" t="n">
        <v>45261</v>
      </c>
      <c r="C831" s="1" t="n">
        <v>45734</v>
      </c>
      <c r="D831" t="inlineStr">
        <is>
          <t>VÄSTERBOTTENS LÄN</t>
        </is>
      </c>
      <c r="E831" t="inlineStr">
        <is>
          <t>ÅSELE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61801-2023</t>
        </is>
      </c>
      <c r="B832" s="1" t="n">
        <v>45266</v>
      </c>
      <c r="C832" s="1" t="n">
        <v>45734</v>
      </c>
      <c r="D832" t="inlineStr">
        <is>
          <t>VÄSTERBOTTENS LÄN</t>
        </is>
      </c>
      <c r="E832" t="inlineStr">
        <is>
          <t>ÅSELE</t>
        </is>
      </c>
      <c r="F832" t="inlineStr">
        <is>
          <t>SCA</t>
        </is>
      </c>
      <c r="G832" t="n">
        <v>3.1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61800-2023</t>
        </is>
      </c>
      <c r="B833" s="1" t="n">
        <v>45266</v>
      </c>
      <c r="C833" s="1" t="n">
        <v>45734</v>
      </c>
      <c r="D833" t="inlineStr">
        <is>
          <t>VÄSTERBOTTENS LÄN</t>
        </is>
      </c>
      <c r="E833" t="inlineStr">
        <is>
          <t>ÅSELE</t>
        </is>
      </c>
      <c r="F833" t="inlineStr">
        <is>
          <t>SCA</t>
        </is>
      </c>
      <c r="G833" t="n">
        <v>3.8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61876-2023</t>
        </is>
      </c>
      <c r="B834" s="1" t="n">
        <v>45266</v>
      </c>
      <c r="C834" s="1" t="n">
        <v>45734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6.3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61985-2023</t>
        </is>
      </c>
      <c r="B835" s="1" t="n">
        <v>45266</v>
      </c>
      <c r="C835" s="1" t="n">
        <v>45734</v>
      </c>
      <c r="D835" t="inlineStr">
        <is>
          <t>VÄSTERBOTTENS LÄN</t>
        </is>
      </c>
      <c r="E835" t="inlineStr">
        <is>
          <t>ÅSELE</t>
        </is>
      </c>
      <c r="F835" t="inlineStr">
        <is>
          <t>Sveaskog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61874-2023</t>
        </is>
      </c>
      <c r="B836" s="1" t="n">
        <v>45266</v>
      </c>
      <c r="C836" s="1" t="n">
        <v>45734</v>
      </c>
      <c r="D836" t="inlineStr">
        <is>
          <t>VÄSTERBOTTENS LÄN</t>
        </is>
      </c>
      <c r="E836" t="inlineStr">
        <is>
          <t>ÅSELE</t>
        </is>
      </c>
      <c r="F836" t="inlineStr">
        <is>
          <t>Sveaskog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62109-2023</t>
        </is>
      </c>
      <c r="B837" s="1" t="n">
        <v>45266</v>
      </c>
      <c r="C837" s="1" t="n">
        <v>45734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62108-2023</t>
        </is>
      </c>
      <c r="B838" s="1" t="n">
        <v>45266</v>
      </c>
      <c r="C838" s="1" t="n">
        <v>45734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4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62353-2023</t>
        </is>
      </c>
      <c r="B839" s="1" t="n">
        <v>45267</v>
      </c>
      <c r="C839" s="1" t="n">
        <v>45734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6.3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62838-2023</t>
        </is>
      </c>
      <c r="B840" s="1" t="n">
        <v>45271</v>
      </c>
      <c r="C840" s="1" t="n">
        <v>45734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7.9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63058-2023</t>
        </is>
      </c>
      <c r="B841" s="1" t="n">
        <v>45272</v>
      </c>
      <c r="C841" s="1" t="n">
        <v>45734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63062-2023</t>
        </is>
      </c>
      <c r="B842" s="1" t="n">
        <v>45272</v>
      </c>
      <c r="C842" s="1" t="n">
        <v>45734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63059-2023</t>
        </is>
      </c>
      <c r="B843" s="1" t="n">
        <v>45272</v>
      </c>
      <c r="C843" s="1" t="n">
        <v>45734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23.2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63060-2023</t>
        </is>
      </c>
      <c r="B844" s="1" t="n">
        <v>45272</v>
      </c>
      <c r="C844" s="1" t="n">
        <v>45734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63061-2023</t>
        </is>
      </c>
      <c r="B845" s="1" t="n">
        <v>45272</v>
      </c>
      <c r="C845" s="1" t="n">
        <v>45734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63293-2023</t>
        </is>
      </c>
      <c r="B846" s="1" t="n">
        <v>45273</v>
      </c>
      <c r="C846" s="1" t="n">
        <v>45734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10.1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64496-2023</t>
        </is>
      </c>
      <c r="B847" s="1" t="n">
        <v>45280</v>
      </c>
      <c r="C847" s="1" t="n">
        <v>45734</v>
      </c>
      <c r="D847" t="inlineStr">
        <is>
          <t>VÄSTERBOTTENS LÄN</t>
        </is>
      </c>
      <c r="E847" t="inlineStr">
        <is>
          <t>ÅSELE</t>
        </is>
      </c>
      <c r="F847" t="inlineStr">
        <is>
          <t>SCA</t>
        </is>
      </c>
      <c r="G847" t="n">
        <v>11.9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64497-2023</t>
        </is>
      </c>
      <c r="B848" s="1" t="n">
        <v>45280</v>
      </c>
      <c r="C848" s="1" t="n">
        <v>45734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7.3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64898-2023</t>
        </is>
      </c>
      <c r="B849" s="1" t="n">
        <v>45282</v>
      </c>
      <c r="C849" s="1" t="n">
        <v>45734</v>
      </c>
      <c r="D849" t="inlineStr">
        <is>
          <t>VÄSTERBOTTENS LÄN</t>
        </is>
      </c>
      <c r="E849" t="inlineStr">
        <is>
          <t>ÅSELE</t>
        </is>
      </c>
      <c r="G849" t="n">
        <v>4.1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64951-2023</t>
        </is>
      </c>
      <c r="B850" s="1" t="n">
        <v>45282</v>
      </c>
      <c r="C850" s="1" t="n">
        <v>45734</v>
      </c>
      <c r="D850" t="inlineStr">
        <is>
          <t>VÄSTERBOTTENS LÄN</t>
        </is>
      </c>
      <c r="E850" t="inlineStr">
        <is>
          <t>ÅSELE</t>
        </is>
      </c>
      <c r="F850" t="inlineStr">
        <is>
          <t>SCA</t>
        </is>
      </c>
      <c r="G850" t="n">
        <v>5.9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64949-2023</t>
        </is>
      </c>
      <c r="B851" s="1" t="n">
        <v>45282</v>
      </c>
      <c r="C851" s="1" t="n">
        <v>45734</v>
      </c>
      <c r="D851" t="inlineStr">
        <is>
          <t>VÄSTERBOTTENS LÄN</t>
        </is>
      </c>
      <c r="E851" t="inlineStr">
        <is>
          <t>ÅSELE</t>
        </is>
      </c>
      <c r="F851" t="inlineStr">
        <is>
          <t>SCA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65038-2023</t>
        </is>
      </c>
      <c r="B852" s="1" t="n">
        <v>45282</v>
      </c>
      <c r="C852" s="1" t="n">
        <v>45734</v>
      </c>
      <c r="D852" t="inlineStr">
        <is>
          <t>VÄSTERBOTTENS LÄN</t>
        </is>
      </c>
      <c r="E852" t="inlineStr">
        <is>
          <t>ÅSELE</t>
        </is>
      </c>
      <c r="G852" t="n">
        <v>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65040-2023</t>
        </is>
      </c>
      <c r="B853" s="1" t="n">
        <v>45282</v>
      </c>
      <c r="C853" s="1" t="n">
        <v>45734</v>
      </c>
      <c r="D853" t="inlineStr">
        <is>
          <t>VÄSTERBOTTENS LÄN</t>
        </is>
      </c>
      <c r="E853" t="inlineStr">
        <is>
          <t>ÅSELE</t>
        </is>
      </c>
      <c r="G853" t="n">
        <v>6.6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64948-2023</t>
        </is>
      </c>
      <c r="B854" s="1" t="n">
        <v>45282</v>
      </c>
      <c r="C854" s="1" t="n">
        <v>45734</v>
      </c>
      <c r="D854" t="inlineStr">
        <is>
          <t>VÄSTERBOTTENS LÄN</t>
        </is>
      </c>
      <c r="E854" t="inlineStr">
        <is>
          <t>ÅSELE</t>
        </is>
      </c>
      <c r="F854" t="inlineStr">
        <is>
          <t>SCA</t>
        </is>
      </c>
      <c r="G854" t="n">
        <v>7.3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238-2024</t>
        </is>
      </c>
      <c r="B855" s="1" t="n">
        <v>45294</v>
      </c>
      <c r="C855" s="1" t="n">
        <v>45734</v>
      </c>
      <c r="D855" t="inlineStr">
        <is>
          <t>VÄSTERBOTTENS LÄN</t>
        </is>
      </c>
      <c r="E855" t="inlineStr">
        <is>
          <t>ÅSELE</t>
        </is>
      </c>
      <c r="G855" t="n">
        <v>4.1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339-2024</t>
        </is>
      </c>
      <c r="B856" s="1" t="n">
        <v>45295</v>
      </c>
      <c r="C856" s="1" t="n">
        <v>45734</v>
      </c>
      <c r="D856" t="inlineStr">
        <is>
          <t>VÄSTERBOTTENS LÄN</t>
        </is>
      </c>
      <c r="E856" t="inlineStr">
        <is>
          <t>ÅSELE</t>
        </is>
      </c>
      <c r="F856" t="inlineStr">
        <is>
          <t>Holmen skog AB</t>
        </is>
      </c>
      <c r="G856" t="n">
        <v>0.7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889-2024</t>
        </is>
      </c>
      <c r="B857" s="1" t="n">
        <v>45301</v>
      </c>
      <c r="C857" s="1" t="n">
        <v>45734</v>
      </c>
      <c r="D857" t="inlineStr">
        <is>
          <t>VÄSTERBOTTENS LÄN</t>
        </is>
      </c>
      <c r="E857" t="inlineStr">
        <is>
          <t>ÅSELE</t>
        </is>
      </c>
      <c r="G857" t="n">
        <v>28.1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2091-2024</t>
        </is>
      </c>
      <c r="B858" s="1" t="n">
        <v>45309</v>
      </c>
      <c r="C858" s="1" t="n">
        <v>45734</v>
      </c>
      <c r="D858" t="inlineStr">
        <is>
          <t>VÄSTERBOTTENS LÄN</t>
        </is>
      </c>
      <c r="E858" t="inlineStr">
        <is>
          <t>ÅSELE</t>
        </is>
      </c>
      <c r="F858" t="inlineStr">
        <is>
          <t>Sveaskog</t>
        </is>
      </c>
      <c r="G858" t="n">
        <v>2.9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2609-2024</t>
        </is>
      </c>
      <c r="B859" s="1" t="n">
        <v>45313</v>
      </c>
      <c r="C859" s="1" t="n">
        <v>45734</v>
      </c>
      <c r="D859" t="inlineStr">
        <is>
          <t>VÄSTERBOTTENS LÄN</t>
        </is>
      </c>
      <c r="E859" t="inlineStr">
        <is>
          <t>ÅSELE</t>
        </is>
      </c>
      <c r="F859" t="inlineStr">
        <is>
          <t>Övriga Aktiebolag</t>
        </is>
      </c>
      <c r="G859" t="n">
        <v>5.5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2608-2024</t>
        </is>
      </c>
      <c r="B860" s="1" t="n">
        <v>45313</v>
      </c>
      <c r="C860" s="1" t="n">
        <v>45734</v>
      </c>
      <c r="D860" t="inlineStr">
        <is>
          <t>VÄSTERBOTTENS LÄN</t>
        </is>
      </c>
      <c r="E860" t="inlineStr">
        <is>
          <t>ÅSELE</t>
        </is>
      </c>
      <c r="F860" t="inlineStr">
        <is>
          <t>Övriga Aktiebolag</t>
        </is>
      </c>
      <c r="G860" t="n">
        <v>20.6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3059-2024</t>
        </is>
      </c>
      <c r="B861" s="1" t="n">
        <v>45316</v>
      </c>
      <c r="C861" s="1" t="n">
        <v>45734</v>
      </c>
      <c r="D861" t="inlineStr">
        <is>
          <t>VÄSTERBOTTENS LÄN</t>
        </is>
      </c>
      <c r="E861" t="inlineStr">
        <is>
          <t>ÅSELE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3063-2024</t>
        </is>
      </c>
      <c r="B862" s="1" t="n">
        <v>45316</v>
      </c>
      <c r="C862" s="1" t="n">
        <v>45734</v>
      </c>
      <c r="D862" t="inlineStr">
        <is>
          <t>VÄSTERBOTTENS LÄN</t>
        </is>
      </c>
      <c r="E862" t="inlineStr">
        <is>
          <t>ÅSELE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3111-2024</t>
        </is>
      </c>
      <c r="B863" s="1" t="n">
        <v>45316</v>
      </c>
      <c r="C863" s="1" t="n">
        <v>45734</v>
      </c>
      <c r="D863" t="inlineStr">
        <is>
          <t>VÄSTERBOTTENS LÄN</t>
        </is>
      </c>
      <c r="E863" t="inlineStr">
        <is>
          <t>ÅSELE</t>
        </is>
      </c>
      <c r="G863" t="n">
        <v>1.6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3088-2024</t>
        </is>
      </c>
      <c r="B864" s="1" t="n">
        <v>45316</v>
      </c>
      <c r="C864" s="1" t="n">
        <v>45734</v>
      </c>
      <c r="D864" t="inlineStr">
        <is>
          <t>VÄSTERBOTTENS LÄN</t>
        </is>
      </c>
      <c r="E864" t="inlineStr">
        <is>
          <t>ÅSELE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3117-2024</t>
        </is>
      </c>
      <c r="B865" s="1" t="n">
        <v>45316</v>
      </c>
      <c r="C865" s="1" t="n">
        <v>45734</v>
      </c>
      <c r="D865" t="inlineStr">
        <is>
          <t>VÄSTERBOTTENS LÄN</t>
        </is>
      </c>
      <c r="E865" t="inlineStr">
        <is>
          <t>ÅSELE</t>
        </is>
      </c>
      <c r="G865" t="n">
        <v>0.5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3565-2024</t>
        </is>
      </c>
      <c r="B866" s="1" t="n">
        <v>45320</v>
      </c>
      <c r="C866" s="1" t="n">
        <v>45734</v>
      </c>
      <c r="D866" t="inlineStr">
        <is>
          <t>VÄSTERBOTTENS LÄN</t>
        </is>
      </c>
      <c r="E866" t="inlineStr">
        <is>
          <t>ÅSELE</t>
        </is>
      </c>
      <c r="G866" t="n">
        <v>3.9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3559-2024</t>
        </is>
      </c>
      <c r="B867" s="1" t="n">
        <v>45320</v>
      </c>
      <c r="C867" s="1" t="n">
        <v>45734</v>
      </c>
      <c r="D867" t="inlineStr">
        <is>
          <t>VÄSTERBOTTENS LÄN</t>
        </is>
      </c>
      <c r="E867" t="inlineStr">
        <is>
          <t>ÅSELE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5006-2024</t>
        </is>
      </c>
      <c r="B868" s="1" t="n">
        <v>45329</v>
      </c>
      <c r="C868" s="1" t="n">
        <v>45734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0.8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5018-2024</t>
        </is>
      </c>
      <c r="B869" s="1" t="n">
        <v>45329</v>
      </c>
      <c r="C869" s="1" t="n">
        <v>45734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3.1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5022-2024</t>
        </is>
      </c>
      <c r="B870" s="1" t="n">
        <v>45329</v>
      </c>
      <c r="C870" s="1" t="n">
        <v>45734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5012-2024</t>
        </is>
      </c>
      <c r="B871" s="1" t="n">
        <v>45329</v>
      </c>
      <c r="C871" s="1" t="n">
        <v>45734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2.4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5024-2024</t>
        </is>
      </c>
      <c r="B872" s="1" t="n">
        <v>45329</v>
      </c>
      <c r="C872" s="1" t="n">
        <v>45734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4875-2024</t>
        </is>
      </c>
      <c r="B873" s="1" t="n">
        <v>45329</v>
      </c>
      <c r="C873" s="1" t="n">
        <v>45734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15.6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4901-2024</t>
        </is>
      </c>
      <c r="B874" s="1" t="n">
        <v>45329</v>
      </c>
      <c r="C874" s="1" t="n">
        <v>45734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4921-2024</t>
        </is>
      </c>
      <c r="B875" s="1" t="n">
        <v>45329</v>
      </c>
      <c r="C875" s="1" t="n">
        <v>45734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5013-2024</t>
        </is>
      </c>
      <c r="B876" s="1" t="n">
        <v>45329</v>
      </c>
      <c r="C876" s="1" t="n">
        <v>45734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4915-2024</t>
        </is>
      </c>
      <c r="B877" s="1" t="n">
        <v>45329</v>
      </c>
      <c r="C877" s="1" t="n">
        <v>45734</v>
      </c>
      <c r="D877" t="inlineStr">
        <is>
          <t>VÄSTERBOTTENS LÄN</t>
        </is>
      </c>
      <c r="E877" t="inlineStr">
        <is>
          <t>ÅSELE</t>
        </is>
      </c>
      <c r="F877" t="inlineStr">
        <is>
          <t>Övriga Aktiebolag</t>
        </is>
      </c>
      <c r="G877" t="n">
        <v>7.5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5019-2024</t>
        </is>
      </c>
      <c r="B878" s="1" t="n">
        <v>45329</v>
      </c>
      <c r="C878" s="1" t="n">
        <v>45734</v>
      </c>
      <c r="D878" t="inlineStr">
        <is>
          <t>VÄSTERBOTTENS LÄN</t>
        </is>
      </c>
      <c r="E878" t="inlineStr">
        <is>
          <t>ÅSELE</t>
        </is>
      </c>
      <c r="F878" t="inlineStr">
        <is>
          <t>Övriga Aktiebolag</t>
        </is>
      </c>
      <c r="G878" t="n">
        <v>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5247-2024</t>
        </is>
      </c>
      <c r="B879" s="1" t="n">
        <v>45330</v>
      </c>
      <c r="C879" s="1" t="n">
        <v>45734</v>
      </c>
      <c r="D879" t="inlineStr">
        <is>
          <t>VÄSTERBOTTENS LÄN</t>
        </is>
      </c>
      <c r="E879" t="inlineStr">
        <is>
          <t>ÅSELE</t>
        </is>
      </c>
      <c r="G879" t="n">
        <v>2.6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5246-2024</t>
        </is>
      </c>
      <c r="B880" s="1" t="n">
        <v>45330</v>
      </c>
      <c r="C880" s="1" t="n">
        <v>45734</v>
      </c>
      <c r="D880" t="inlineStr">
        <is>
          <t>VÄSTERBOTTENS LÄN</t>
        </is>
      </c>
      <c r="E880" t="inlineStr">
        <is>
          <t>ÅSELE</t>
        </is>
      </c>
      <c r="G880" t="n">
        <v>6.4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5245-2024</t>
        </is>
      </c>
      <c r="B881" s="1" t="n">
        <v>45330</v>
      </c>
      <c r="C881" s="1" t="n">
        <v>45734</v>
      </c>
      <c r="D881" t="inlineStr">
        <is>
          <t>VÄSTERBOTTENS LÄN</t>
        </is>
      </c>
      <c r="E881" t="inlineStr">
        <is>
          <t>ÅSELE</t>
        </is>
      </c>
      <c r="G881" t="n">
        <v>6.4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5249-2024</t>
        </is>
      </c>
      <c r="B882" s="1" t="n">
        <v>45330</v>
      </c>
      <c r="C882" s="1" t="n">
        <v>45734</v>
      </c>
      <c r="D882" t="inlineStr">
        <is>
          <t>VÄSTERBOTTENS LÄN</t>
        </is>
      </c>
      <c r="E882" t="inlineStr">
        <is>
          <t>ÅSELE</t>
        </is>
      </c>
      <c r="G882" t="n">
        <v>8.699999999999999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5431-2024</t>
        </is>
      </c>
      <c r="B883" s="1" t="n">
        <v>45331</v>
      </c>
      <c r="C883" s="1" t="n">
        <v>45734</v>
      </c>
      <c r="D883" t="inlineStr">
        <is>
          <t>VÄSTERBOTTENS LÄN</t>
        </is>
      </c>
      <c r="E883" t="inlineStr">
        <is>
          <t>ÅSELE</t>
        </is>
      </c>
      <c r="G883" t="n">
        <v>29.3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5543-2024</t>
        </is>
      </c>
      <c r="B884" s="1" t="n">
        <v>45334</v>
      </c>
      <c r="C884" s="1" t="n">
        <v>45734</v>
      </c>
      <c r="D884" t="inlineStr">
        <is>
          <t>VÄSTERBOTTENS LÄN</t>
        </is>
      </c>
      <c r="E884" t="inlineStr">
        <is>
          <t>ÅSELE</t>
        </is>
      </c>
      <c r="G884" t="n">
        <v>5.2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5545-2024</t>
        </is>
      </c>
      <c r="B885" s="1" t="n">
        <v>45334</v>
      </c>
      <c r="C885" s="1" t="n">
        <v>45734</v>
      </c>
      <c r="D885" t="inlineStr">
        <is>
          <t>VÄSTERBOTTENS LÄN</t>
        </is>
      </c>
      <c r="E885" t="inlineStr">
        <is>
          <t>ÅSELE</t>
        </is>
      </c>
      <c r="G885" t="n">
        <v>14.4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5726-2024</t>
        </is>
      </c>
      <c r="B886" s="1" t="n">
        <v>45334</v>
      </c>
      <c r="C886" s="1" t="n">
        <v>45734</v>
      </c>
      <c r="D886" t="inlineStr">
        <is>
          <t>VÄSTERBOTTENS LÄN</t>
        </is>
      </c>
      <c r="E886" t="inlineStr">
        <is>
          <t>ÅSELE</t>
        </is>
      </c>
      <c r="G886" t="n">
        <v>2.9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5815-2024</t>
        </is>
      </c>
      <c r="B887" s="1" t="n">
        <v>45335</v>
      </c>
      <c r="C887" s="1" t="n">
        <v>45734</v>
      </c>
      <c r="D887" t="inlineStr">
        <is>
          <t>VÄSTERBOTTENS LÄN</t>
        </is>
      </c>
      <c r="E887" t="inlineStr">
        <is>
          <t>ÅSELE</t>
        </is>
      </c>
      <c r="G887" t="n">
        <v>3.2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5955-2024</t>
        </is>
      </c>
      <c r="B888" s="1" t="n">
        <v>45336</v>
      </c>
      <c r="C888" s="1" t="n">
        <v>45734</v>
      </c>
      <c r="D888" t="inlineStr">
        <is>
          <t>VÄSTERBOTTENS LÄN</t>
        </is>
      </c>
      <c r="E888" t="inlineStr">
        <is>
          <t>ÅSELE</t>
        </is>
      </c>
      <c r="F888" t="inlineStr">
        <is>
          <t>Naturvårdsverket</t>
        </is>
      </c>
      <c r="G888" t="n">
        <v>22.6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6576-2024</t>
        </is>
      </c>
      <c r="B889" s="1" t="n">
        <v>45341</v>
      </c>
      <c r="C889" s="1" t="n">
        <v>45734</v>
      </c>
      <c r="D889" t="inlineStr">
        <is>
          <t>VÄSTERBOTTENS LÄN</t>
        </is>
      </c>
      <c r="E889" t="inlineStr">
        <is>
          <t>ÅSELE</t>
        </is>
      </c>
      <c r="F889" t="inlineStr">
        <is>
          <t>Holmen skog AB</t>
        </is>
      </c>
      <c r="G889" t="n">
        <v>32.6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6683-2024</t>
        </is>
      </c>
      <c r="B890" s="1" t="n">
        <v>45341</v>
      </c>
      <c r="C890" s="1" t="n">
        <v>45734</v>
      </c>
      <c r="D890" t="inlineStr">
        <is>
          <t>VÄSTERBOTTENS LÄN</t>
        </is>
      </c>
      <c r="E890" t="inlineStr">
        <is>
          <t>ÅSELE</t>
        </is>
      </c>
      <c r="G890" t="n">
        <v>10.3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6681-2024</t>
        </is>
      </c>
      <c r="B891" s="1" t="n">
        <v>45341</v>
      </c>
      <c r="C891" s="1" t="n">
        <v>45734</v>
      </c>
      <c r="D891" t="inlineStr">
        <is>
          <t>VÄSTERBOTTENS LÄN</t>
        </is>
      </c>
      <c r="E891" t="inlineStr">
        <is>
          <t>ÅSELE</t>
        </is>
      </c>
      <c r="G891" t="n">
        <v>9.800000000000001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6682-2024</t>
        </is>
      </c>
      <c r="B892" s="1" t="n">
        <v>45341</v>
      </c>
      <c r="C892" s="1" t="n">
        <v>45734</v>
      </c>
      <c r="D892" t="inlineStr">
        <is>
          <t>VÄSTERBOTTENS LÄN</t>
        </is>
      </c>
      <c r="E892" t="inlineStr">
        <is>
          <t>ÅSELE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6801-2024</t>
        </is>
      </c>
      <c r="B893" s="1" t="n">
        <v>45342</v>
      </c>
      <c r="C893" s="1" t="n">
        <v>45734</v>
      </c>
      <c r="D893" t="inlineStr">
        <is>
          <t>VÄSTERBOTTENS LÄN</t>
        </is>
      </c>
      <c r="E893" t="inlineStr">
        <is>
          <t>ÅSELE</t>
        </is>
      </c>
      <c r="G893" t="n">
        <v>8.5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6990-2024</t>
        </is>
      </c>
      <c r="B894" s="1" t="n">
        <v>45343</v>
      </c>
      <c r="C894" s="1" t="n">
        <v>45734</v>
      </c>
      <c r="D894" t="inlineStr">
        <is>
          <t>VÄSTERBOTTENS LÄN</t>
        </is>
      </c>
      <c r="E894" t="inlineStr">
        <is>
          <t>ÅSELE</t>
        </is>
      </c>
      <c r="F894" t="inlineStr">
        <is>
          <t>Sveaskog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7851-2024</t>
        </is>
      </c>
      <c r="B895" s="1" t="n">
        <v>45350</v>
      </c>
      <c r="C895" s="1" t="n">
        <v>45734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8851-2024</t>
        </is>
      </c>
      <c r="B896" s="1" t="n">
        <v>45356</v>
      </c>
      <c r="C896" s="1" t="n">
        <v>45734</v>
      </c>
      <c r="D896" t="inlineStr">
        <is>
          <t>VÄSTERBOTTENS LÄN</t>
        </is>
      </c>
      <c r="E896" t="inlineStr">
        <is>
          <t>ÅSELE</t>
        </is>
      </c>
      <c r="F896" t="inlineStr">
        <is>
          <t>Kommuner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8879-2024</t>
        </is>
      </c>
      <c r="B897" s="1" t="n">
        <v>45357</v>
      </c>
      <c r="C897" s="1" t="n">
        <v>45734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10.2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8880-2024</t>
        </is>
      </c>
      <c r="B898" s="1" t="n">
        <v>45357</v>
      </c>
      <c r="C898" s="1" t="n">
        <v>45734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10.8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8881-2024</t>
        </is>
      </c>
      <c r="B899" s="1" t="n">
        <v>45357</v>
      </c>
      <c r="C899" s="1" t="n">
        <v>45734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8878-2024</t>
        </is>
      </c>
      <c r="B900" s="1" t="n">
        <v>45357</v>
      </c>
      <c r="C900" s="1" t="n">
        <v>45734</v>
      </c>
      <c r="D900" t="inlineStr">
        <is>
          <t>VÄSTERBOTTENS LÄN</t>
        </is>
      </c>
      <c r="E900" t="inlineStr">
        <is>
          <t>ÅSELE</t>
        </is>
      </c>
      <c r="F900" t="inlineStr">
        <is>
          <t>SCA</t>
        </is>
      </c>
      <c r="G900" t="n">
        <v>4.8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9123-2024</t>
        </is>
      </c>
      <c r="B901" s="1" t="n">
        <v>45358</v>
      </c>
      <c r="C901" s="1" t="n">
        <v>45734</v>
      </c>
      <c r="D901" t="inlineStr">
        <is>
          <t>VÄSTERBOTTENS LÄN</t>
        </is>
      </c>
      <c r="E901" t="inlineStr">
        <is>
          <t>ÅSELE</t>
        </is>
      </c>
      <c r="F901" t="inlineStr">
        <is>
          <t>SCA</t>
        </is>
      </c>
      <c r="G901" t="n">
        <v>13.7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10176-2024</t>
        </is>
      </c>
      <c r="B902" s="1" t="n">
        <v>45364</v>
      </c>
      <c r="C902" s="1" t="n">
        <v>45734</v>
      </c>
      <c r="D902" t="inlineStr">
        <is>
          <t>VÄSTERBOTTENS LÄN</t>
        </is>
      </c>
      <c r="E902" t="inlineStr">
        <is>
          <t>ÅSELE</t>
        </is>
      </c>
      <c r="G902" t="n">
        <v>4.2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10770-2024</t>
        </is>
      </c>
      <c r="B903" s="1" t="n">
        <v>45369</v>
      </c>
      <c r="C903" s="1" t="n">
        <v>45734</v>
      </c>
      <c r="D903" t="inlineStr">
        <is>
          <t>VÄSTERBOTTENS LÄN</t>
        </is>
      </c>
      <c r="E903" t="inlineStr">
        <is>
          <t>ÅSELE</t>
        </is>
      </c>
      <c r="F903" t="inlineStr">
        <is>
          <t>Holmen skog AB</t>
        </is>
      </c>
      <c r="G903" t="n">
        <v>4.2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11287-2024</t>
        </is>
      </c>
      <c r="B904" s="1" t="n">
        <v>45371</v>
      </c>
      <c r="C904" s="1" t="n">
        <v>45734</v>
      </c>
      <c r="D904" t="inlineStr">
        <is>
          <t>VÄSTERBOTTENS LÄN</t>
        </is>
      </c>
      <c r="E904" t="inlineStr">
        <is>
          <t>ÅSELE</t>
        </is>
      </c>
      <c r="G904" t="n">
        <v>8.300000000000001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11752-2024</t>
        </is>
      </c>
      <c r="B905" s="1" t="n">
        <v>45373</v>
      </c>
      <c r="C905" s="1" t="n">
        <v>45734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12359-2024</t>
        </is>
      </c>
      <c r="B906" s="1" t="n">
        <v>45378</v>
      </c>
      <c r="C906" s="1" t="n">
        <v>45734</v>
      </c>
      <c r="D906" t="inlineStr">
        <is>
          <t>VÄSTERBOTTENS LÄN</t>
        </is>
      </c>
      <c r="E906" t="inlineStr">
        <is>
          <t>ÅSELE</t>
        </is>
      </c>
      <c r="F906" t="inlineStr">
        <is>
          <t>SCA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12589-2024</t>
        </is>
      </c>
      <c r="B907" s="1" t="n">
        <v>45379</v>
      </c>
      <c r="C907" s="1" t="n">
        <v>45734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12633-2024</t>
        </is>
      </c>
      <c r="B908" s="1" t="n">
        <v>45384</v>
      </c>
      <c r="C908" s="1" t="n">
        <v>45734</v>
      </c>
      <c r="D908" t="inlineStr">
        <is>
          <t>VÄSTERBOTTENS LÄN</t>
        </is>
      </c>
      <c r="E908" t="inlineStr">
        <is>
          <t>ÅSELE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13552-2024</t>
        </is>
      </c>
      <c r="B909" s="1" t="n">
        <v>45388</v>
      </c>
      <c r="C909" s="1" t="n">
        <v>45734</v>
      </c>
      <c r="D909" t="inlineStr">
        <is>
          <t>VÄSTERBOTTENS LÄN</t>
        </is>
      </c>
      <c r="E909" t="inlineStr">
        <is>
          <t>ÅSELE</t>
        </is>
      </c>
      <c r="F909" t="inlineStr">
        <is>
          <t>SCA</t>
        </is>
      </c>
      <c r="G909" t="n">
        <v>42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13553-2024</t>
        </is>
      </c>
      <c r="B910" s="1" t="n">
        <v>45388</v>
      </c>
      <c r="C910" s="1" t="n">
        <v>45734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14088-2024</t>
        </is>
      </c>
      <c r="B911" s="1" t="n">
        <v>45392</v>
      </c>
      <c r="C911" s="1" t="n">
        <v>45734</v>
      </c>
      <c r="D911" t="inlineStr">
        <is>
          <t>VÄSTERBOTTENS LÄN</t>
        </is>
      </c>
      <c r="E911" t="inlineStr">
        <is>
          <t>ÅSELE</t>
        </is>
      </c>
      <c r="G911" t="n">
        <v>9.1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14166-2024</t>
        </is>
      </c>
      <c r="B912" s="1" t="n">
        <v>45392</v>
      </c>
      <c r="C912" s="1" t="n">
        <v>45734</v>
      </c>
      <c r="D912" t="inlineStr">
        <is>
          <t>VÄSTERBOTTENS LÄN</t>
        </is>
      </c>
      <c r="E912" t="inlineStr">
        <is>
          <t>ÅSELE</t>
        </is>
      </c>
      <c r="F912" t="inlineStr">
        <is>
          <t>SCA</t>
        </is>
      </c>
      <c r="G912" t="n">
        <v>3.5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14167-2024</t>
        </is>
      </c>
      <c r="B913" s="1" t="n">
        <v>45392</v>
      </c>
      <c r="C913" s="1" t="n">
        <v>45734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14487-2024</t>
        </is>
      </c>
      <c r="B914" s="1" t="n">
        <v>45394</v>
      </c>
      <c r="C914" s="1" t="n">
        <v>45734</v>
      </c>
      <c r="D914" t="inlineStr">
        <is>
          <t>VÄSTERBOTTENS LÄN</t>
        </is>
      </c>
      <c r="E914" t="inlineStr">
        <is>
          <t>ÅSELE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14811-2024</t>
        </is>
      </c>
      <c r="B915" s="1" t="n">
        <v>45398</v>
      </c>
      <c r="C915" s="1" t="n">
        <v>45734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2.4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14810-2024</t>
        </is>
      </c>
      <c r="B916" s="1" t="n">
        <v>45397</v>
      </c>
      <c r="C916" s="1" t="n">
        <v>45734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14808-2024</t>
        </is>
      </c>
      <c r="B917" s="1" t="n">
        <v>45398</v>
      </c>
      <c r="C917" s="1" t="n">
        <v>45734</v>
      </c>
      <c r="D917" t="inlineStr">
        <is>
          <t>VÄSTERBOTTENS LÄN</t>
        </is>
      </c>
      <c r="E917" t="inlineStr">
        <is>
          <t>ÅSELE</t>
        </is>
      </c>
      <c r="F917" t="inlineStr">
        <is>
          <t>SCA</t>
        </is>
      </c>
      <c r="G917" t="n">
        <v>15.4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14809-2024</t>
        </is>
      </c>
      <c r="B918" s="1" t="n">
        <v>45398</v>
      </c>
      <c r="C918" s="1" t="n">
        <v>45734</v>
      </c>
      <c r="D918" t="inlineStr">
        <is>
          <t>VÄSTERBOTTENS LÄN</t>
        </is>
      </c>
      <c r="E918" t="inlineStr">
        <is>
          <t>ÅSELE</t>
        </is>
      </c>
      <c r="F918" t="inlineStr">
        <is>
          <t>SCA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16005-2024</t>
        </is>
      </c>
      <c r="B919" s="1" t="n">
        <v>45405</v>
      </c>
      <c r="C919" s="1" t="n">
        <v>45734</v>
      </c>
      <c r="D919" t="inlineStr">
        <is>
          <t>VÄSTERBOTTENS LÄN</t>
        </is>
      </c>
      <c r="E919" t="inlineStr">
        <is>
          <t>ÅSELE</t>
        </is>
      </c>
      <c r="G919" t="n">
        <v>1.2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15932-2024</t>
        </is>
      </c>
      <c r="B920" s="1" t="n">
        <v>45405</v>
      </c>
      <c r="C920" s="1" t="n">
        <v>45734</v>
      </c>
      <c r="D920" t="inlineStr">
        <is>
          <t>VÄSTERBOTTENS LÄN</t>
        </is>
      </c>
      <c r="E920" t="inlineStr">
        <is>
          <t>ÅSELE</t>
        </is>
      </c>
      <c r="G920" t="n">
        <v>6.6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15931-2024</t>
        </is>
      </c>
      <c r="B921" s="1" t="n">
        <v>45405</v>
      </c>
      <c r="C921" s="1" t="n">
        <v>45734</v>
      </c>
      <c r="D921" t="inlineStr">
        <is>
          <t>VÄSTERBOTTENS LÄN</t>
        </is>
      </c>
      <c r="E921" t="inlineStr">
        <is>
          <t>ÅSELE</t>
        </is>
      </c>
      <c r="G921" t="n">
        <v>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15933-2024</t>
        </is>
      </c>
      <c r="B922" s="1" t="n">
        <v>45405</v>
      </c>
      <c r="C922" s="1" t="n">
        <v>45734</v>
      </c>
      <c r="D922" t="inlineStr">
        <is>
          <t>VÄSTERBOTTENS LÄN</t>
        </is>
      </c>
      <c r="E922" t="inlineStr">
        <is>
          <t>ÅSELE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16231-2024</t>
        </is>
      </c>
      <c r="B923" s="1" t="n">
        <v>45407</v>
      </c>
      <c r="C923" s="1" t="n">
        <v>45734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4.8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16233-2024</t>
        </is>
      </c>
      <c r="B924" s="1" t="n">
        <v>45407</v>
      </c>
      <c r="C924" s="1" t="n">
        <v>45734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4.7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16232-2024</t>
        </is>
      </c>
      <c r="B925" s="1" t="n">
        <v>45407</v>
      </c>
      <c r="C925" s="1" t="n">
        <v>45734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11.1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17177-2024</t>
        </is>
      </c>
      <c r="B926" s="1" t="n">
        <v>45413</v>
      </c>
      <c r="C926" s="1" t="n">
        <v>45734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5.8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17179-2024</t>
        </is>
      </c>
      <c r="B927" s="1" t="n">
        <v>45413</v>
      </c>
      <c r="C927" s="1" t="n">
        <v>45734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17178-2024</t>
        </is>
      </c>
      <c r="B928" s="1" t="n">
        <v>45413</v>
      </c>
      <c r="C928" s="1" t="n">
        <v>45734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10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18230-2024</t>
        </is>
      </c>
      <c r="B929" s="1" t="n">
        <v>45420</v>
      </c>
      <c r="C929" s="1" t="n">
        <v>45734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6.7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18229-2024</t>
        </is>
      </c>
      <c r="B930" s="1" t="n">
        <v>45420</v>
      </c>
      <c r="C930" s="1" t="n">
        <v>45734</v>
      </c>
      <c r="D930" t="inlineStr">
        <is>
          <t>VÄSTERBOTTENS LÄN</t>
        </is>
      </c>
      <c r="E930" t="inlineStr">
        <is>
          <t>ÅSELE</t>
        </is>
      </c>
      <c r="F930" t="inlineStr">
        <is>
          <t>SCA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18231-2024</t>
        </is>
      </c>
      <c r="B931" s="1" t="n">
        <v>45421</v>
      </c>
      <c r="C931" s="1" t="n">
        <v>45734</v>
      </c>
      <c r="D931" t="inlineStr">
        <is>
          <t>VÄSTERBOTTENS LÄN</t>
        </is>
      </c>
      <c r="E931" t="inlineStr">
        <is>
          <t>ÅSELE</t>
        </is>
      </c>
      <c r="F931" t="inlineStr">
        <is>
          <t>SCA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18712-2024</t>
        </is>
      </c>
      <c r="B932" s="1" t="n">
        <v>45426</v>
      </c>
      <c r="C932" s="1" t="n">
        <v>45734</v>
      </c>
      <c r="D932" t="inlineStr">
        <is>
          <t>VÄSTERBOTTENS LÄN</t>
        </is>
      </c>
      <c r="E932" t="inlineStr">
        <is>
          <t>ÅSELE</t>
        </is>
      </c>
      <c r="G932" t="n">
        <v>31.1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18792-2024</t>
        </is>
      </c>
      <c r="B933" s="1" t="n">
        <v>45426</v>
      </c>
      <c r="C933" s="1" t="n">
        <v>45734</v>
      </c>
      <c r="D933" t="inlineStr">
        <is>
          <t>VÄSTERBOTTENS LÄN</t>
        </is>
      </c>
      <c r="E933" t="inlineStr">
        <is>
          <t>ÅSELE</t>
        </is>
      </c>
      <c r="G933" t="n">
        <v>7.2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19330-2024</t>
        </is>
      </c>
      <c r="B934" s="1" t="n">
        <v>45428</v>
      </c>
      <c r="C934" s="1" t="n">
        <v>45734</v>
      </c>
      <c r="D934" t="inlineStr">
        <is>
          <t>VÄSTERBOTTENS LÄN</t>
        </is>
      </c>
      <c r="E934" t="inlineStr">
        <is>
          <t>ÅSELE</t>
        </is>
      </c>
      <c r="F934" t="inlineStr">
        <is>
          <t>SCA</t>
        </is>
      </c>
      <c r="G934" t="n">
        <v>1.1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19591-2024</t>
        </is>
      </c>
      <c r="B935" s="1" t="n">
        <v>45429</v>
      </c>
      <c r="C935" s="1" t="n">
        <v>45734</v>
      </c>
      <c r="D935" t="inlineStr">
        <is>
          <t>VÄSTERBOTTENS LÄN</t>
        </is>
      </c>
      <c r="E935" t="inlineStr">
        <is>
          <t>ÅSELE</t>
        </is>
      </c>
      <c r="F935" t="inlineStr">
        <is>
          <t>SCA</t>
        </is>
      </c>
      <c r="G935" t="n">
        <v>10.7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20088-2024</t>
        </is>
      </c>
      <c r="B936" s="1" t="n">
        <v>45434</v>
      </c>
      <c r="C936" s="1" t="n">
        <v>45734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20617-2024</t>
        </is>
      </c>
      <c r="B937" s="1" t="n">
        <v>45436</v>
      </c>
      <c r="C937" s="1" t="n">
        <v>45734</v>
      </c>
      <c r="D937" t="inlineStr">
        <is>
          <t>VÄSTERBOTTENS LÄN</t>
        </is>
      </c>
      <c r="E937" t="inlineStr">
        <is>
          <t>ÅSELE</t>
        </is>
      </c>
      <c r="F937" t="inlineStr">
        <is>
          <t>Holmen skog AB</t>
        </is>
      </c>
      <c r="G937" t="n">
        <v>2.6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20605-2024</t>
        </is>
      </c>
      <c r="B938" s="1" t="n">
        <v>45436</v>
      </c>
      <c r="C938" s="1" t="n">
        <v>45734</v>
      </c>
      <c r="D938" t="inlineStr">
        <is>
          <t>VÄSTERBOTTENS LÄN</t>
        </is>
      </c>
      <c r="E938" t="inlineStr">
        <is>
          <t>ÅSELE</t>
        </is>
      </c>
      <c r="F938" t="inlineStr">
        <is>
          <t>Holmen skog AB</t>
        </is>
      </c>
      <c r="G938" t="n">
        <v>3.9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21341-2024</t>
        </is>
      </c>
      <c r="B939" s="1" t="n">
        <v>45441</v>
      </c>
      <c r="C939" s="1" t="n">
        <v>45734</v>
      </c>
      <c r="D939" t="inlineStr">
        <is>
          <t>VÄSTERBOTTENS LÄN</t>
        </is>
      </c>
      <c r="E939" t="inlineStr">
        <is>
          <t>ÅSELE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21834-2024</t>
        </is>
      </c>
      <c r="B940" s="1" t="n">
        <v>45442</v>
      </c>
      <c r="C940" s="1" t="n">
        <v>45734</v>
      </c>
      <c r="D940" t="inlineStr">
        <is>
          <t>VÄSTERBOTTENS LÄN</t>
        </is>
      </c>
      <c r="E940" t="inlineStr">
        <is>
          <t>ÅSELE</t>
        </is>
      </c>
      <c r="G940" t="n">
        <v>44.2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21835-2024</t>
        </is>
      </c>
      <c r="B941" s="1" t="n">
        <v>45442</v>
      </c>
      <c r="C941" s="1" t="n">
        <v>45734</v>
      </c>
      <c r="D941" t="inlineStr">
        <is>
          <t>VÄSTERBOTTENS LÄN</t>
        </is>
      </c>
      <c r="E941" t="inlineStr">
        <is>
          <t>ÅSELE</t>
        </is>
      </c>
      <c r="G941" t="n">
        <v>14.4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22112-2024</t>
        </is>
      </c>
      <c r="B942" s="1" t="n">
        <v>45443</v>
      </c>
      <c r="C942" s="1" t="n">
        <v>45734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25.9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22113-2024</t>
        </is>
      </c>
      <c r="B943" s="1" t="n">
        <v>45443</v>
      </c>
      <c r="C943" s="1" t="n">
        <v>45734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11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22111-2024</t>
        </is>
      </c>
      <c r="B944" s="1" t="n">
        <v>45443</v>
      </c>
      <c r="C944" s="1" t="n">
        <v>45734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5.6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22114-2024</t>
        </is>
      </c>
      <c r="B945" s="1" t="n">
        <v>45443</v>
      </c>
      <c r="C945" s="1" t="n">
        <v>45734</v>
      </c>
      <c r="D945" t="inlineStr">
        <is>
          <t>VÄSTERBOTTENS LÄN</t>
        </is>
      </c>
      <c r="E945" t="inlineStr">
        <is>
          <t>ÅSELE</t>
        </is>
      </c>
      <c r="F945" t="inlineStr">
        <is>
          <t>SCA</t>
        </is>
      </c>
      <c r="G945" t="n">
        <v>30.2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22143-2024</t>
        </is>
      </c>
      <c r="B946" s="1" t="n">
        <v>45445</v>
      </c>
      <c r="C946" s="1" t="n">
        <v>45734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22282-2024</t>
        </is>
      </c>
      <c r="B947" s="1" t="n">
        <v>45446</v>
      </c>
      <c r="C947" s="1" t="n">
        <v>45734</v>
      </c>
      <c r="D947" t="inlineStr">
        <is>
          <t>VÄSTERBOTTENS LÄN</t>
        </is>
      </c>
      <c r="E947" t="inlineStr">
        <is>
          <t>ÅSELE</t>
        </is>
      </c>
      <c r="F947" t="inlineStr">
        <is>
          <t>Holmen skog AB</t>
        </is>
      </c>
      <c r="G947" t="n">
        <v>7.3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22945-2024</t>
        </is>
      </c>
      <c r="B948" s="1" t="n">
        <v>45449</v>
      </c>
      <c r="C948" s="1" t="n">
        <v>45734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7.5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22935-2024</t>
        </is>
      </c>
      <c r="B949" s="1" t="n">
        <v>45449</v>
      </c>
      <c r="C949" s="1" t="n">
        <v>45734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3.3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23179-2024</t>
        </is>
      </c>
      <c r="B950" s="1" t="n">
        <v>45450</v>
      </c>
      <c r="C950" s="1" t="n">
        <v>45734</v>
      </c>
      <c r="D950" t="inlineStr">
        <is>
          <t>VÄSTERBOTTENS LÄN</t>
        </is>
      </c>
      <c r="E950" t="inlineStr">
        <is>
          <t>ÅSELE</t>
        </is>
      </c>
      <c r="F950" t="inlineStr">
        <is>
          <t>SCA</t>
        </is>
      </c>
      <c r="G950" t="n">
        <v>1.6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24444-2024</t>
        </is>
      </c>
      <c r="B951" s="1" t="n">
        <v>45458</v>
      </c>
      <c r="C951" s="1" t="n">
        <v>45734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5.7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25039-2024</t>
        </is>
      </c>
      <c r="B952" s="1" t="n">
        <v>45461</v>
      </c>
      <c r="C952" s="1" t="n">
        <v>45734</v>
      </c>
      <c r="D952" t="inlineStr">
        <is>
          <t>VÄSTERBOTTENS LÄN</t>
        </is>
      </c>
      <c r="E952" t="inlineStr">
        <is>
          <t>ÅSELE</t>
        </is>
      </c>
      <c r="F952" t="inlineStr">
        <is>
          <t>Holmen skog AB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25691-2024</t>
        </is>
      </c>
      <c r="B953" s="1" t="n">
        <v>45464</v>
      </c>
      <c r="C953" s="1" t="n">
        <v>45734</v>
      </c>
      <c r="D953" t="inlineStr">
        <is>
          <t>VÄSTERBOTTENS LÄN</t>
        </is>
      </c>
      <c r="E953" t="inlineStr">
        <is>
          <t>ÅSELE</t>
        </is>
      </c>
      <c r="F953" t="inlineStr">
        <is>
          <t>SCA</t>
        </is>
      </c>
      <c r="G953" t="n">
        <v>16.1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25640-2024</t>
        </is>
      </c>
      <c r="B954" s="1" t="n">
        <v>45463</v>
      </c>
      <c r="C954" s="1" t="n">
        <v>45734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6.2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25636-2024</t>
        </is>
      </c>
      <c r="B955" s="1" t="n">
        <v>45463</v>
      </c>
      <c r="C955" s="1" t="n">
        <v>45734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25628-2024</t>
        </is>
      </c>
      <c r="B956" s="1" t="n">
        <v>45463</v>
      </c>
      <c r="C956" s="1" t="n">
        <v>45734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25630-2024</t>
        </is>
      </c>
      <c r="B957" s="1" t="n">
        <v>45463</v>
      </c>
      <c r="C957" s="1" t="n">
        <v>45734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3.6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25574-2024</t>
        </is>
      </c>
      <c r="B958" s="1" t="n">
        <v>45463</v>
      </c>
      <c r="C958" s="1" t="n">
        <v>45734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4.6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25566-2024</t>
        </is>
      </c>
      <c r="B959" s="1" t="n">
        <v>45463</v>
      </c>
      <c r="C959" s="1" t="n">
        <v>45734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25562-2024</t>
        </is>
      </c>
      <c r="B960" s="1" t="n">
        <v>45463</v>
      </c>
      <c r="C960" s="1" t="n">
        <v>45734</v>
      </c>
      <c r="D960" t="inlineStr">
        <is>
          <t>VÄSTERBOTTENS LÄN</t>
        </is>
      </c>
      <c r="E960" t="inlineStr">
        <is>
          <t>ÅSELE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25558-2024</t>
        </is>
      </c>
      <c r="B961" s="1" t="n">
        <v>45463</v>
      </c>
      <c r="C961" s="1" t="n">
        <v>45734</v>
      </c>
      <c r="D961" t="inlineStr">
        <is>
          <t>VÄSTERBOTTENS LÄN</t>
        </is>
      </c>
      <c r="E961" t="inlineStr">
        <is>
          <t>ÅSELE</t>
        </is>
      </c>
      <c r="F961" t="inlineStr">
        <is>
          <t>Sveaskog</t>
        </is>
      </c>
      <c r="G961" t="n">
        <v>18.1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25690-2024</t>
        </is>
      </c>
      <c r="B962" s="1" t="n">
        <v>45464</v>
      </c>
      <c r="C962" s="1" t="n">
        <v>45734</v>
      </c>
      <c r="D962" t="inlineStr">
        <is>
          <t>VÄSTERBOTTENS LÄN</t>
        </is>
      </c>
      <c r="E962" t="inlineStr">
        <is>
          <t>ÅSELE</t>
        </is>
      </c>
      <c r="F962" t="inlineStr">
        <is>
          <t>SCA</t>
        </is>
      </c>
      <c r="G962" t="n">
        <v>4.1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25713-2024</t>
        </is>
      </c>
      <c r="B963" s="1" t="n">
        <v>45463</v>
      </c>
      <c r="C963" s="1" t="n">
        <v>45734</v>
      </c>
      <c r="D963" t="inlineStr">
        <is>
          <t>VÄSTERBOTTENS LÄN</t>
        </is>
      </c>
      <c r="E963" t="inlineStr">
        <is>
          <t>ÅSELE</t>
        </is>
      </c>
      <c r="F963" t="inlineStr">
        <is>
          <t>SCA</t>
        </is>
      </c>
      <c r="G963" t="n">
        <v>7.7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25637-2024</t>
        </is>
      </c>
      <c r="B964" s="1" t="n">
        <v>45463</v>
      </c>
      <c r="C964" s="1" t="n">
        <v>45734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9.4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25569-2024</t>
        </is>
      </c>
      <c r="B965" s="1" t="n">
        <v>45463</v>
      </c>
      <c r="C965" s="1" t="n">
        <v>45734</v>
      </c>
      <c r="D965" t="inlineStr">
        <is>
          <t>VÄSTERBOTTENS LÄN</t>
        </is>
      </c>
      <c r="E965" t="inlineStr">
        <is>
          <t>ÅSELE</t>
        </is>
      </c>
      <c r="F965" t="inlineStr">
        <is>
          <t>Sveaskog</t>
        </is>
      </c>
      <c r="G965" t="n">
        <v>28.7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25557-2024</t>
        </is>
      </c>
      <c r="B966" s="1" t="n">
        <v>45463</v>
      </c>
      <c r="C966" s="1" t="n">
        <v>45734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25689-2024</t>
        </is>
      </c>
      <c r="B967" s="1" t="n">
        <v>45464</v>
      </c>
      <c r="C967" s="1" t="n">
        <v>45734</v>
      </c>
      <c r="D967" t="inlineStr">
        <is>
          <t>VÄSTERBOTTENS LÄN</t>
        </is>
      </c>
      <c r="E967" t="inlineStr">
        <is>
          <t>ÅSELE</t>
        </is>
      </c>
      <c r="F967" t="inlineStr">
        <is>
          <t>SCA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25553-2024</t>
        </is>
      </c>
      <c r="B968" s="1" t="n">
        <v>45463</v>
      </c>
      <c r="C968" s="1" t="n">
        <v>45734</v>
      </c>
      <c r="D968" t="inlineStr">
        <is>
          <t>VÄSTERBOTTENS LÄN</t>
        </is>
      </c>
      <c r="E968" t="inlineStr">
        <is>
          <t>ÅSELE</t>
        </is>
      </c>
      <c r="F968" t="inlineStr">
        <is>
          <t>Sveaskog</t>
        </is>
      </c>
      <c r="G968" t="n">
        <v>13.5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25549-2024</t>
        </is>
      </c>
      <c r="B969" s="1" t="n">
        <v>45463</v>
      </c>
      <c r="C969" s="1" t="n">
        <v>45734</v>
      </c>
      <c r="D969" t="inlineStr">
        <is>
          <t>VÄSTERBOTTENS LÄN</t>
        </is>
      </c>
      <c r="E969" t="inlineStr">
        <is>
          <t>ÅSELE</t>
        </is>
      </c>
      <c r="F969" t="inlineStr">
        <is>
          <t>Sveaskog</t>
        </is>
      </c>
      <c r="G969" t="n">
        <v>3.8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26008-2024</t>
        </is>
      </c>
      <c r="B970" s="1" t="n">
        <v>45468</v>
      </c>
      <c r="C970" s="1" t="n">
        <v>45734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0.9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26006-2024</t>
        </is>
      </c>
      <c r="B971" s="1" t="n">
        <v>45468</v>
      </c>
      <c r="C971" s="1" t="n">
        <v>45734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26007-2024</t>
        </is>
      </c>
      <c r="B972" s="1" t="n">
        <v>45468</v>
      </c>
      <c r="C972" s="1" t="n">
        <v>45734</v>
      </c>
      <c r="D972" t="inlineStr">
        <is>
          <t>VÄSTERBOTTENS LÄN</t>
        </is>
      </c>
      <c r="E972" t="inlineStr">
        <is>
          <t>ÅSELE</t>
        </is>
      </c>
      <c r="F972" t="inlineStr">
        <is>
          <t>SCA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26309-2024</t>
        </is>
      </c>
      <c r="B973" s="1" t="n">
        <v>45469</v>
      </c>
      <c r="C973" s="1" t="n">
        <v>45734</v>
      </c>
      <c r="D973" t="inlineStr">
        <is>
          <t>VÄSTERBOTTENS LÄN</t>
        </is>
      </c>
      <c r="E973" t="inlineStr">
        <is>
          <t>ÅSELE</t>
        </is>
      </c>
      <c r="F973" t="inlineStr">
        <is>
          <t>SCA</t>
        </is>
      </c>
      <c r="G973" t="n">
        <v>2.6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26418-2024</t>
        </is>
      </c>
      <c r="B974" s="1" t="n">
        <v>45469</v>
      </c>
      <c r="C974" s="1" t="n">
        <v>45734</v>
      </c>
      <c r="D974" t="inlineStr">
        <is>
          <t>VÄSTERBOTTENS LÄN</t>
        </is>
      </c>
      <c r="E974" t="inlineStr">
        <is>
          <t>ÅSELE</t>
        </is>
      </c>
      <c r="F974" t="inlineStr">
        <is>
          <t>Holmen skog AB</t>
        </is>
      </c>
      <c r="G974" t="n">
        <v>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26730-2024</t>
        </is>
      </c>
      <c r="B975" s="1" t="n">
        <v>45469</v>
      </c>
      <c r="C975" s="1" t="n">
        <v>45734</v>
      </c>
      <c r="D975" t="inlineStr">
        <is>
          <t>VÄSTERBOTTENS LÄN</t>
        </is>
      </c>
      <c r="E975" t="inlineStr">
        <is>
          <t>ÅSELE</t>
        </is>
      </c>
      <c r="G975" t="n">
        <v>23.1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26563-2024</t>
        </is>
      </c>
      <c r="B976" s="1" t="n">
        <v>45469</v>
      </c>
      <c r="C976" s="1" t="n">
        <v>45734</v>
      </c>
      <c r="D976" t="inlineStr">
        <is>
          <t>VÄSTERBOTTENS LÄN</t>
        </is>
      </c>
      <c r="E976" t="inlineStr">
        <is>
          <t>ÅSELE</t>
        </is>
      </c>
      <c r="F976" t="inlineStr">
        <is>
          <t>Naturvårdsverket</t>
        </is>
      </c>
      <c r="G976" t="n">
        <v>2.2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27206-2024</t>
        </is>
      </c>
      <c r="B977" s="1" t="n">
        <v>45471</v>
      </c>
      <c r="C977" s="1" t="n">
        <v>45734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26980-2024</t>
        </is>
      </c>
      <c r="B978" s="1" t="n">
        <v>45471</v>
      </c>
      <c r="C978" s="1" t="n">
        <v>45734</v>
      </c>
      <c r="D978" t="inlineStr">
        <is>
          <t>VÄSTERBOTTENS LÄN</t>
        </is>
      </c>
      <c r="E978" t="inlineStr">
        <is>
          <t>ÅSELE</t>
        </is>
      </c>
      <c r="G978" t="n">
        <v>7.7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27462-2024</t>
        </is>
      </c>
      <c r="B979" s="1" t="n">
        <v>45474</v>
      </c>
      <c r="C979" s="1" t="n">
        <v>45734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27526-2024</t>
        </is>
      </c>
      <c r="B980" s="1" t="n">
        <v>45474</v>
      </c>
      <c r="C980" s="1" t="n">
        <v>45734</v>
      </c>
      <c r="D980" t="inlineStr">
        <is>
          <t>VÄSTERBOTTENS LÄN</t>
        </is>
      </c>
      <c r="E980" t="inlineStr">
        <is>
          <t>ÅSELE</t>
        </is>
      </c>
      <c r="F980" t="inlineStr">
        <is>
          <t>Holmen skog AB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27570-2024</t>
        </is>
      </c>
      <c r="B981" s="1" t="n">
        <v>45474</v>
      </c>
      <c r="C981" s="1" t="n">
        <v>45734</v>
      </c>
      <c r="D981" t="inlineStr">
        <is>
          <t>VÄSTERBOTTENS LÄN</t>
        </is>
      </c>
      <c r="E981" t="inlineStr">
        <is>
          <t>ÅSELE</t>
        </is>
      </c>
      <c r="F981" t="inlineStr">
        <is>
          <t>Holmen skog AB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27958-2024</t>
        </is>
      </c>
      <c r="B982" s="1" t="n">
        <v>45476</v>
      </c>
      <c r="C982" s="1" t="n">
        <v>45734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11.3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27950-2024</t>
        </is>
      </c>
      <c r="B983" s="1" t="n">
        <v>45476</v>
      </c>
      <c r="C983" s="1" t="n">
        <v>45734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4.9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27946-2024</t>
        </is>
      </c>
      <c r="B984" s="1" t="n">
        <v>45476</v>
      </c>
      <c r="C984" s="1" t="n">
        <v>45734</v>
      </c>
      <c r="D984" t="inlineStr">
        <is>
          <t>VÄSTERBOTTENS LÄN</t>
        </is>
      </c>
      <c r="E984" t="inlineStr">
        <is>
          <t>ÅSELE</t>
        </is>
      </c>
      <c r="F984" t="inlineStr">
        <is>
          <t>Sveaskog</t>
        </is>
      </c>
      <c r="G984" t="n">
        <v>7.5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27942-2024</t>
        </is>
      </c>
      <c r="B985" s="1" t="n">
        <v>45476</v>
      </c>
      <c r="C985" s="1" t="n">
        <v>45734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5.6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28120-2024</t>
        </is>
      </c>
      <c r="B986" s="1" t="n">
        <v>45476</v>
      </c>
      <c r="C986" s="1" t="n">
        <v>45734</v>
      </c>
      <c r="D986" t="inlineStr">
        <is>
          <t>VÄSTERBOTTENS LÄN</t>
        </is>
      </c>
      <c r="E986" t="inlineStr">
        <is>
          <t>ÅSELE</t>
        </is>
      </c>
      <c r="F986" t="inlineStr">
        <is>
          <t>Holmen skog AB</t>
        </is>
      </c>
      <c r="G986" t="n">
        <v>6.7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27951-2024</t>
        </is>
      </c>
      <c r="B987" s="1" t="n">
        <v>45476</v>
      </c>
      <c r="C987" s="1" t="n">
        <v>45734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27943-2024</t>
        </is>
      </c>
      <c r="B988" s="1" t="n">
        <v>45476</v>
      </c>
      <c r="C988" s="1" t="n">
        <v>45734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5.1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27939-2024</t>
        </is>
      </c>
      <c r="B989" s="1" t="n">
        <v>45476</v>
      </c>
      <c r="C989" s="1" t="n">
        <v>45734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2.1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27961-2024</t>
        </is>
      </c>
      <c r="B990" s="1" t="n">
        <v>45476</v>
      </c>
      <c r="C990" s="1" t="n">
        <v>45734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6.4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27949-2024</t>
        </is>
      </c>
      <c r="B991" s="1" t="n">
        <v>45476</v>
      </c>
      <c r="C991" s="1" t="n">
        <v>45734</v>
      </c>
      <c r="D991" t="inlineStr">
        <is>
          <t>VÄSTERBOTTENS LÄN</t>
        </is>
      </c>
      <c r="E991" t="inlineStr">
        <is>
          <t>ÅSELE</t>
        </is>
      </c>
      <c r="F991" t="inlineStr">
        <is>
          <t>Sveaskog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27940-2024</t>
        </is>
      </c>
      <c r="B992" s="1" t="n">
        <v>45476</v>
      </c>
      <c r="C992" s="1" t="n">
        <v>45734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1.2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28565-2024</t>
        </is>
      </c>
      <c r="B993" s="1" t="n">
        <v>45478</v>
      </c>
      <c r="C993" s="1" t="n">
        <v>45734</v>
      </c>
      <c r="D993" t="inlineStr">
        <is>
          <t>VÄSTERBOTTENS LÄN</t>
        </is>
      </c>
      <c r="E993" t="inlineStr">
        <is>
          <t>ÅSELE</t>
        </is>
      </c>
      <c r="F993" t="inlineStr">
        <is>
          <t>Holmen skog AB</t>
        </is>
      </c>
      <c r="G993" t="n">
        <v>12.1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28648-2024</t>
        </is>
      </c>
      <c r="B994" s="1" t="n">
        <v>45478</v>
      </c>
      <c r="C994" s="1" t="n">
        <v>45734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26.6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28681-2024</t>
        </is>
      </c>
      <c r="B995" s="1" t="n">
        <v>45478</v>
      </c>
      <c r="C995" s="1" t="n">
        <v>45734</v>
      </c>
      <c r="D995" t="inlineStr">
        <is>
          <t>VÄSTERBOTTENS LÄN</t>
        </is>
      </c>
      <c r="E995" t="inlineStr">
        <is>
          <t>ÅSELE</t>
        </is>
      </c>
      <c r="G995" t="n">
        <v>6.2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28697-2024</t>
        </is>
      </c>
      <c r="B996" s="1" t="n">
        <v>45478</v>
      </c>
      <c r="C996" s="1" t="n">
        <v>45734</v>
      </c>
      <c r="D996" t="inlineStr">
        <is>
          <t>VÄSTERBOTTENS LÄN</t>
        </is>
      </c>
      <c r="E996" t="inlineStr">
        <is>
          <t>ÅSELE</t>
        </is>
      </c>
      <c r="F996" t="inlineStr">
        <is>
          <t>Sveaskog</t>
        </is>
      </c>
      <c r="G996" t="n">
        <v>2.9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28881-2024</t>
        </is>
      </c>
      <c r="B997" s="1" t="n">
        <v>45479</v>
      </c>
      <c r="C997" s="1" t="n">
        <v>45734</v>
      </c>
      <c r="D997" t="inlineStr">
        <is>
          <t>VÄSTERBOTTENS LÄN</t>
        </is>
      </c>
      <c r="E997" t="inlineStr">
        <is>
          <t>ÅSELE</t>
        </is>
      </c>
      <c r="G997" t="n">
        <v>3.6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28889-2024</t>
        </is>
      </c>
      <c r="B998" s="1" t="n">
        <v>45480</v>
      </c>
      <c r="C998" s="1" t="n">
        <v>45734</v>
      </c>
      <c r="D998" t="inlineStr">
        <is>
          <t>VÄSTERBOTTENS LÄN</t>
        </is>
      </c>
      <c r="E998" t="inlineStr">
        <is>
          <t>ÅSELE</t>
        </is>
      </c>
      <c r="F998" t="inlineStr">
        <is>
          <t>SCA</t>
        </is>
      </c>
      <c r="G998" t="n">
        <v>10.9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29039-2024</t>
        </is>
      </c>
      <c r="B999" s="1" t="n">
        <v>45481</v>
      </c>
      <c r="C999" s="1" t="n">
        <v>45734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28977-2024</t>
        </is>
      </c>
      <c r="B1000" s="1" t="n">
        <v>45481</v>
      </c>
      <c r="C1000" s="1" t="n">
        <v>45734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5.4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28969-2024</t>
        </is>
      </c>
      <c r="B1001" s="1" t="n">
        <v>45481</v>
      </c>
      <c r="C1001" s="1" t="n">
        <v>45734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12.8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28961-2024</t>
        </is>
      </c>
      <c r="B1002" s="1" t="n">
        <v>45481</v>
      </c>
      <c r="C1002" s="1" t="n">
        <v>45734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4.1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28957-2024</t>
        </is>
      </c>
      <c r="B1003" s="1" t="n">
        <v>45481</v>
      </c>
      <c r="C1003" s="1" t="n">
        <v>45734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1.7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28968-2024</t>
        </is>
      </c>
      <c r="B1004" s="1" t="n">
        <v>45481</v>
      </c>
      <c r="C1004" s="1" t="n">
        <v>45734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18.3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28960-2024</t>
        </is>
      </c>
      <c r="B1005" s="1" t="n">
        <v>45481</v>
      </c>
      <c r="C1005" s="1" t="n">
        <v>45734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4.3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28939-2024</t>
        </is>
      </c>
      <c r="B1006" s="1" t="n">
        <v>45481</v>
      </c>
      <c r="C1006" s="1" t="n">
        <v>45734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28934-2024</t>
        </is>
      </c>
      <c r="B1007" s="1" t="n">
        <v>45481</v>
      </c>
      <c r="C1007" s="1" t="n">
        <v>45734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10.5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28996-2024</t>
        </is>
      </c>
      <c r="B1008" s="1" t="n">
        <v>45481</v>
      </c>
      <c r="C1008" s="1" t="n">
        <v>45734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15.6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28980-2024</t>
        </is>
      </c>
      <c r="B1009" s="1" t="n">
        <v>45481</v>
      </c>
      <c r="C1009" s="1" t="n">
        <v>45734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28955-2024</t>
        </is>
      </c>
      <c r="B1010" s="1" t="n">
        <v>45481</v>
      </c>
      <c r="C1010" s="1" t="n">
        <v>45734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1.3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28943-2024</t>
        </is>
      </c>
      <c r="B1011" s="1" t="n">
        <v>45481</v>
      </c>
      <c r="C1011" s="1" t="n">
        <v>45734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24.2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28936-2024</t>
        </is>
      </c>
      <c r="B1012" s="1" t="n">
        <v>45481</v>
      </c>
      <c r="C1012" s="1" t="n">
        <v>45734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29040-2024</t>
        </is>
      </c>
      <c r="B1013" s="1" t="n">
        <v>45481</v>
      </c>
      <c r="C1013" s="1" t="n">
        <v>45734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2.9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28962-2024</t>
        </is>
      </c>
      <c r="B1014" s="1" t="n">
        <v>45481</v>
      </c>
      <c r="C1014" s="1" t="n">
        <v>45734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3.3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28954-2024</t>
        </is>
      </c>
      <c r="B1015" s="1" t="n">
        <v>45481</v>
      </c>
      <c r="C1015" s="1" t="n">
        <v>45734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7.1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28950-2024</t>
        </is>
      </c>
      <c r="B1016" s="1" t="n">
        <v>45481</v>
      </c>
      <c r="C1016" s="1" t="n">
        <v>45734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29597-2024</t>
        </is>
      </c>
      <c r="B1017" s="1" t="n">
        <v>45484</v>
      </c>
      <c r="C1017" s="1" t="n">
        <v>45734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3.4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29608-2024</t>
        </is>
      </c>
      <c r="B1018" s="1" t="n">
        <v>45484</v>
      </c>
      <c r="C1018" s="1" t="n">
        <v>45734</v>
      </c>
      <c r="D1018" t="inlineStr">
        <is>
          <t>VÄSTERBOTTENS LÄN</t>
        </is>
      </c>
      <c r="E1018" t="inlineStr">
        <is>
          <t>ÅSELE</t>
        </is>
      </c>
      <c r="F1018" t="inlineStr">
        <is>
          <t>Sveaskog</t>
        </is>
      </c>
      <c r="G1018" t="n">
        <v>19.9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29600-2024</t>
        </is>
      </c>
      <c r="B1019" s="1" t="n">
        <v>45484</v>
      </c>
      <c r="C1019" s="1" t="n">
        <v>45734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6.7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29511-2024</t>
        </is>
      </c>
      <c r="B1020" s="1" t="n">
        <v>45484</v>
      </c>
      <c r="C1020" s="1" t="n">
        <v>45734</v>
      </c>
      <c r="D1020" t="inlineStr">
        <is>
          <t>VÄSTERBOTTENS LÄN</t>
        </is>
      </c>
      <c r="E1020" t="inlineStr">
        <is>
          <t>ÅSELE</t>
        </is>
      </c>
      <c r="G1020" t="n">
        <v>0.2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29619-2024</t>
        </is>
      </c>
      <c r="B1021" s="1" t="n">
        <v>45484</v>
      </c>
      <c r="C1021" s="1" t="n">
        <v>45734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9.5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29599-2024</t>
        </is>
      </c>
      <c r="B1022" s="1" t="n">
        <v>45484</v>
      </c>
      <c r="C1022" s="1" t="n">
        <v>45734</v>
      </c>
      <c r="D1022" t="inlineStr">
        <is>
          <t>VÄSTERBOTTENS LÄN</t>
        </is>
      </c>
      <c r="E1022" t="inlineStr">
        <is>
          <t>ÅSELE</t>
        </is>
      </c>
      <c r="F1022" t="inlineStr">
        <is>
          <t>Sveaskog</t>
        </is>
      </c>
      <c r="G1022" t="n">
        <v>5.7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29510-2024</t>
        </is>
      </c>
      <c r="B1023" s="1" t="n">
        <v>45484</v>
      </c>
      <c r="C1023" s="1" t="n">
        <v>45734</v>
      </c>
      <c r="D1023" t="inlineStr">
        <is>
          <t>VÄSTERBOTTENS LÄN</t>
        </is>
      </c>
      <c r="E1023" t="inlineStr">
        <is>
          <t>ÅSELE</t>
        </is>
      </c>
      <c r="F1023" t="inlineStr">
        <is>
          <t>Sveaskog</t>
        </is>
      </c>
      <c r="G1023" t="n">
        <v>5.4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29517-2024</t>
        </is>
      </c>
      <c r="B1024" s="1" t="n">
        <v>45484</v>
      </c>
      <c r="C1024" s="1" t="n">
        <v>45734</v>
      </c>
      <c r="D1024" t="inlineStr">
        <is>
          <t>VÄSTERBOTTENS LÄN</t>
        </is>
      </c>
      <c r="E1024" t="inlineStr">
        <is>
          <t>ÅSELE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29738-2024</t>
        </is>
      </c>
      <c r="B1025" s="1" t="n">
        <v>45485</v>
      </c>
      <c r="C1025" s="1" t="n">
        <v>45734</v>
      </c>
      <c r="D1025" t="inlineStr">
        <is>
          <t>VÄSTERBOTTENS LÄN</t>
        </is>
      </c>
      <c r="E1025" t="inlineStr">
        <is>
          <t>ÅSELE</t>
        </is>
      </c>
      <c r="G1025" t="n">
        <v>0.2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29736-2024</t>
        </is>
      </c>
      <c r="B1026" s="1" t="n">
        <v>45485</v>
      </c>
      <c r="C1026" s="1" t="n">
        <v>45734</v>
      </c>
      <c r="D1026" t="inlineStr">
        <is>
          <t>VÄSTERBOTTENS LÄN</t>
        </is>
      </c>
      <c r="E1026" t="inlineStr">
        <is>
          <t>ÅSELE</t>
        </is>
      </c>
      <c r="G1026" t="n">
        <v>0.2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29731-2024</t>
        </is>
      </c>
      <c r="B1027" s="1" t="n">
        <v>45485</v>
      </c>
      <c r="C1027" s="1" t="n">
        <v>45734</v>
      </c>
      <c r="D1027" t="inlineStr">
        <is>
          <t>VÄSTERBOTTENS LÄN</t>
        </is>
      </c>
      <c r="E1027" t="inlineStr">
        <is>
          <t>ÅSELE</t>
        </is>
      </c>
      <c r="G1027" t="n">
        <v>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30058-2024</t>
        </is>
      </c>
      <c r="B1028" s="1" t="n">
        <v>45489</v>
      </c>
      <c r="C1028" s="1" t="n">
        <v>45734</v>
      </c>
      <c r="D1028" t="inlineStr">
        <is>
          <t>VÄSTERBOTTENS LÄN</t>
        </is>
      </c>
      <c r="E1028" t="inlineStr">
        <is>
          <t>ÅSELE</t>
        </is>
      </c>
      <c r="F1028" t="inlineStr">
        <is>
          <t>SCA</t>
        </is>
      </c>
      <c r="G1028" t="n">
        <v>7.6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29979-2024</t>
        </is>
      </c>
      <c r="B1029" s="1" t="n">
        <v>45488</v>
      </c>
      <c r="C1029" s="1" t="n">
        <v>45734</v>
      </c>
      <c r="D1029" t="inlineStr">
        <is>
          <t>VÄSTERBOTTENS LÄN</t>
        </is>
      </c>
      <c r="E1029" t="inlineStr">
        <is>
          <t>ÅSELE</t>
        </is>
      </c>
      <c r="G1029" t="n">
        <v>4.4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29948-2024</t>
        </is>
      </c>
      <c r="B1030" s="1" t="n">
        <v>45488</v>
      </c>
      <c r="C1030" s="1" t="n">
        <v>45734</v>
      </c>
      <c r="D1030" t="inlineStr">
        <is>
          <t>VÄSTERBOTTENS LÄN</t>
        </is>
      </c>
      <c r="E1030" t="inlineStr">
        <is>
          <t>ÅSELE</t>
        </is>
      </c>
      <c r="G1030" t="n">
        <v>14.7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29951-2024</t>
        </is>
      </c>
      <c r="B1031" s="1" t="n">
        <v>45488</v>
      </c>
      <c r="C1031" s="1" t="n">
        <v>45734</v>
      </c>
      <c r="D1031" t="inlineStr">
        <is>
          <t>VÄSTERBOTTENS LÄN</t>
        </is>
      </c>
      <c r="E1031" t="inlineStr">
        <is>
          <t>ÅSELE</t>
        </is>
      </c>
      <c r="G1031" t="n">
        <v>4.6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29981-2024</t>
        </is>
      </c>
      <c r="B1032" s="1" t="n">
        <v>45488</v>
      </c>
      <c r="C1032" s="1" t="n">
        <v>45734</v>
      </c>
      <c r="D1032" t="inlineStr">
        <is>
          <t>VÄSTERBOTTENS LÄN</t>
        </is>
      </c>
      <c r="E1032" t="inlineStr">
        <is>
          <t>ÅSELE</t>
        </is>
      </c>
      <c r="G1032" t="n">
        <v>6.3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29962-2024</t>
        </is>
      </c>
      <c r="B1033" s="1" t="n">
        <v>45488</v>
      </c>
      <c r="C1033" s="1" t="n">
        <v>45734</v>
      </c>
      <c r="D1033" t="inlineStr">
        <is>
          <t>VÄSTERBOTTENS LÄN</t>
        </is>
      </c>
      <c r="E1033" t="inlineStr">
        <is>
          <t>ÅSELE</t>
        </is>
      </c>
      <c r="G1033" t="n">
        <v>8.800000000000001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29967-2024</t>
        </is>
      </c>
      <c r="B1034" s="1" t="n">
        <v>45488</v>
      </c>
      <c r="C1034" s="1" t="n">
        <v>45734</v>
      </c>
      <c r="D1034" t="inlineStr">
        <is>
          <t>VÄSTERBOTTENS LÄN</t>
        </is>
      </c>
      <c r="E1034" t="inlineStr">
        <is>
          <t>ÅSELE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30135-2024</t>
        </is>
      </c>
      <c r="B1035" s="1" t="n">
        <v>45489</v>
      </c>
      <c r="C1035" s="1" t="n">
        <v>45734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Holmen skog AB</t>
        </is>
      </c>
      <c r="G1035" t="n">
        <v>2.8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30126-2024</t>
        </is>
      </c>
      <c r="B1036" s="1" t="n">
        <v>45489</v>
      </c>
      <c r="C1036" s="1" t="n">
        <v>45734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Naturvårdsverket</t>
        </is>
      </c>
      <c r="G1036" t="n">
        <v>2.9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30338-2024</t>
        </is>
      </c>
      <c r="B1037" s="1" t="n">
        <v>45491</v>
      </c>
      <c r="C1037" s="1" t="n">
        <v>45734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30339-2024</t>
        </is>
      </c>
      <c r="B1038" s="1" t="n">
        <v>45491</v>
      </c>
      <c r="C1038" s="1" t="n">
        <v>45734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SCA</t>
        </is>
      </c>
      <c r="G1038" t="n">
        <v>15.9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30337-2024</t>
        </is>
      </c>
      <c r="B1039" s="1" t="n">
        <v>45491</v>
      </c>
      <c r="C1039" s="1" t="n">
        <v>45734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SCA</t>
        </is>
      </c>
      <c r="G1039" t="n">
        <v>7.2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30385-2024</t>
        </is>
      </c>
      <c r="B1040" s="1" t="n">
        <v>45491</v>
      </c>
      <c r="C1040" s="1" t="n">
        <v>45734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Holmen skog AB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30405-2024</t>
        </is>
      </c>
      <c r="B1041" s="1" t="n">
        <v>45491</v>
      </c>
      <c r="C1041" s="1" t="n">
        <v>45734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Holmen skog AB</t>
        </is>
      </c>
      <c r="G1041" t="n">
        <v>4.6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30587-2024</t>
        </is>
      </c>
      <c r="B1042" s="1" t="n">
        <v>45493</v>
      </c>
      <c r="C1042" s="1" t="n">
        <v>45734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SCA</t>
        </is>
      </c>
      <c r="G1042" t="n">
        <v>4.4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30588-2024</t>
        </is>
      </c>
      <c r="B1043" s="1" t="n">
        <v>45493</v>
      </c>
      <c r="C1043" s="1" t="n">
        <v>45734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SCA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30925-2024</t>
        </is>
      </c>
      <c r="B1044" s="1" t="n">
        <v>45498</v>
      </c>
      <c r="C1044" s="1" t="n">
        <v>45734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7.5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31127-2024</t>
        </is>
      </c>
      <c r="B1045" s="1" t="n">
        <v>45502</v>
      </c>
      <c r="C1045" s="1" t="n">
        <v>45734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Holmen skog AB</t>
        </is>
      </c>
      <c r="G1045" t="n">
        <v>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31118-2024</t>
        </is>
      </c>
      <c r="B1046" s="1" t="n">
        <v>45502</v>
      </c>
      <c r="C1046" s="1" t="n">
        <v>45734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Holmen skog AB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31217-2024</t>
        </is>
      </c>
      <c r="B1047" s="1" t="n">
        <v>45503</v>
      </c>
      <c r="C1047" s="1" t="n">
        <v>45734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Naturvårdsverket</t>
        </is>
      </c>
      <c r="G1047" t="n">
        <v>11.1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31474-2024</t>
        </is>
      </c>
      <c r="B1048" s="1" t="n">
        <v>45506</v>
      </c>
      <c r="C1048" s="1" t="n">
        <v>45734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6.3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31475-2024</t>
        </is>
      </c>
      <c r="B1049" s="1" t="n">
        <v>45506</v>
      </c>
      <c r="C1049" s="1" t="n">
        <v>45734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31541-2024</t>
        </is>
      </c>
      <c r="B1050" s="1" t="n">
        <v>45505</v>
      </c>
      <c r="C1050" s="1" t="n">
        <v>45734</v>
      </c>
      <c r="D1050" t="inlineStr">
        <is>
          <t>VÄSTERBOTTENS LÄN</t>
        </is>
      </c>
      <c r="E1050" t="inlineStr">
        <is>
          <t>ÅSELE</t>
        </is>
      </c>
      <c r="F1050" t="inlineStr">
        <is>
          <t>SCA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31676-2024</t>
        </is>
      </c>
      <c r="B1051" s="1" t="n">
        <v>45507</v>
      </c>
      <c r="C1051" s="1" t="n">
        <v>45734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12.3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31659-2024</t>
        </is>
      </c>
      <c r="B1052" s="1" t="n">
        <v>45506</v>
      </c>
      <c r="C1052" s="1" t="n">
        <v>45734</v>
      </c>
      <c r="D1052" t="inlineStr">
        <is>
          <t>VÄSTERBOTTENS LÄN</t>
        </is>
      </c>
      <c r="E1052" t="inlineStr">
        <is>
          <t>ÅSELE</t>
        </is>
      </c>
      <c r="G1052" t="n">
        <v>41.1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31677-2024</t>
        </is>
      </c>
      <c r="B1053" s="1" t="n">
        <v>45507</v>
      </c>
      <c r="C1053" s="1" t="n">
        <v>45734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32058-2024</t>
        </is>
      </c>
      <c r="B1054" s="1" t="n">
        <v>45511</v>
      </c>
      <c r="C1054" s="1" t="n">
        <v>45734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SCA</t>
        </is>
      </c>
      <c r="G1054" t="n">
        <v>1.6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32057-2024</t>
        </is>
      </c>
      <c r="B1055" s="1" t="n">
        <v>45510</v>
      </c>
      <c r="C1055" s="1" t="n">
        <v>45734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32039-2024</t>
        </is>
      </c>
      <c r="B1056" s="1" t="n">
        <v>45510</v>
      </c>
      <c r="C1056" s="1" t="n">
        <v>45734</v>
      </c>
      <c r="D1056" t="inlineStr">
        <is>
          <t>VÄSTERBOTTENS LÄN</t>
        </is>
      </c>
      <c r="E1056" t="inlineStr">
        <is>
          <t>ÅSELE</t>
        </is>
      </c>
      <c r="F1056" t="inlineStr">
        <is>
          <t>Holmen skog AB</t>
        </is>
      </c>
      <c r="G1056" t="n">
        <v>2.1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32059-2024</t>
        </is>
      </c>
      <c r="B1057" s="1" t="n">
        <v>45511</v>
      </c>
      <c r="C1057" s="1" t="n">
        <v>45734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SCA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32942-2024</t>
        </is>
      </c>
      <c r="B1058" s="1" t="n">
        <v>45517</v>
      </c>
      <c r="C1058" s="1" t="n">
        <v>45734</v>
      </c>
      <c r="D1058" t="inlineStr">
        <is>
          <t>VÄSTERBOTTENS LÄN</t>
        </is>
      </c>
      <c r="E1058" t="inlineStr">
        <is>
          <t>ÅSELE</t>
        </is>
      </c>
      <c r="G1058" t="n">
        <v>1.1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33294-2024</t>
        </is>
      </c>
      <c r="B1059" s="1" t="n">
        <v>45518</v>
      </c>
      <c r="C1059" s="1" t="n">
        <v>45734</v>
      </c>
      <c r="D1059" t="inlineStr">
        <is>
          <t>VÄSTERBOTTENS LÄN</t>
        </is>
      </c>
      <c r="E1059" t="inlineStr">
        <is>
          <t>ÅSELE</t>
        </is>
      </c>
      <c r="F1059" t="inlineStr">
        <is>
          <t>Sveaskog</t>
        </is>
      </c>
      <c r="G1059" t="n">
        <v>4.6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33295-2024</t>
        </is>
      </c>
      <c r="B1060" s="1" t="n">
        <v>45518</v>
      </c>
      <c r="C1060" s="1" t="n">
        <v>45734</v>
      </c>
      <c r="D1060" t="inlineStr">
        <is>
          <t>VÄSTERBOTTENS LÄN</t>
        </is>
      </c>
      <c r="E1060" t="inlineStr">
        <is>
          <t>ÅSELE</t>
        </is>
      </c>
      <c r="F1060" t="inlineStr">
        <is>
          <t>Sveaskog</t>
        </is>
      </c>
      <c r="G1060" t="n">
        <v>5.7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33194-2024</t>
        </is>
      </c>
      <c r="B1061" s="1" t="n">
        <v>45518</v>
      </c>
      <c r="C1061" s="1" t="n">
        <v>45734</v>
      </c>
      <c r="D1061" t="inlineStr">
        <is>
          <t>VÄSTERBOTTENS LÄN</t>
        </is>
      </c>
      <c r="E1061" t="inlineStr">
        <is>
          <t>ÅSELE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33344-2024</t>
        </is>
      </c>
      <c r="B1062" s="1" t="n">
        <v>45519</v>
      </c>
      <c r="C1062" s="1" t="n">
        <v>45734</v>
      </c>
      <c r="D1062" t="inlineStr">
        <is>
          <t>VÄSTERBOTTENS LÄN</t>
        </is>
      </c>
      <c r="E1062" t="inlineStr">
        <is>
          <t>ÅSELE</t>
        </is>
      </c>
      <c r="G1062" t="n">
        <v>6.6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33990-2024</t>
        </is>
      </c>
      <c r="B1063" s="1" t="n">
        <v>45523</v>
      </c>
      <c r="C1063" s="1" t="n">
        <v>45734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6.2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34139-2024</t>
        </is>
      </c>
      <c r="B1064" s="1" t="n">
        <v>45524</v>
      </c>
      <c r="C1064" s="1" t="n">
        <v>45734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Sveaskog</t>
        </is>
      </c>
      <c r="G1064" t="n">
        <v>5.9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34144-2024</t>
        </is>
      </c>
      <c r="B1065" s="1" t="n">
        <v>45524</v>
      </c>
      <c r="C1065" s="1" t="n">
        <v>45734</v>
      </c>
      <c r="D1065" t="inlineStr">
        <is>
          <t>VÄSTERBOTTENS LÄN</t>
        </is>
      </c>
      <c r="E1065" t="inlineStr">
        <is>
          <t>ÅSELE</t>
        </is>
      </c>
      <c r="F1065" t="inlineStr">
        <is>
          <t>Sveaskog</t>
        </is>
      </c>
      <c r="G1065" t="n">
        <v>10.9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34779-2024</t>
        </is>
      </c>
      <c r="B1066" s="1" t="n">
        <v>45526</v>
      </c>
      <c r="C1066" s="1" t="n">
        <v>45734</v>
      </c>
      <c r="D1066" t="inlineStr">
        <is>
          <t>VÄSTERBOTTENS LÄN</t>
        </is>
      </c>
      <c r="E1066" t="inlineStr">
        <is>
          <t>ÅSELE</t>
        </is>
      </c>
      <c r="F1066" t="inlineStr">
        <is>
          <t>SCA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34605-2024</t>
        </is>
      </c>
      <c r="B1067" s="1" t="n">
        <v>45526</v>
      </c>
      <c r="C1067" s="1" t="n">
        <v>45734</v>
      </c>
      <c r="D1067" t="inlineStr">
        <is>
          <t>VÄSTERBOTTENS LÄN</t>
        </is>
      </c>
      <c r="E1067" t="inlineStr">
        <is>
          <t>ÅSELE</t>
        </is>
      </c>
      <c r="G1067" t="n">
        <v>3.4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34604-2024</t>
        </is>
      </c>
      <c r="B1068" s="1" t="n">
        <v>45526</v>
      </c>
      <c r="C1068" s="1" t="n">
        <v>45734</v>
      </c>
      <c r="D1068" t="inlineStr">
        <is>
          <t>VÄSTERBOTTENS LÄN</t>
        </is>
      </c>
      <c r="E1068" t="inlineStr">
        <is>
          <t>ÅSELE</t>
        </is>
      </c>
      <c r="G1068" t="n">
        <v>6.5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34578-2024</t>
        </is>
      </c>
      <c r="B1069" s="1" t="n">
        <v>45526</v>
      </c>
      <c r="C1069" s="1" t="n">
        <v>45734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SCA</t>
        </is>
      </c>
      <c r="G1069" t="n">
        <v>0.3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35065-2024</t>
        </is>
      </c>
      <c r="B1070" s="1" t="n">
        <v>45527</v>
      </c>
      <c r="C1070" s="1" t="n">
        <v>45734</v>
      </c>
      <c r="D1070" t="inlineStr">
        <is>
          <t>VÄSTERBOTTENS LÄN</t>
        </is>
      </c>
      <c r="E1070" t="inlineStr">
        <is>
          <t>ÅSELE</t>
        </is>
      </c>
      <c r="F1070" t="inlineStr">
        <is>
          <t>Holmen skog AB</t>
        </is>
      </c>
      <c r="G1070" t="n">
        <v>3.6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35281-2024</t>
        </is>
      </c>
      <c r="B1071" s="1" t="n">
        <v>45530</v>
      </c>
      <c r="C1071" s="1" t="n">
        <v>45734</v>
      </c>
      <c r="D1071" t="inlineStr">
        <is>
          <t>VÄSTERBOTTENS LÄN</t>
        </is>
      </c>
      <c r="E1071" t="inlineStr">
        <is>
          <t>ÅSELE</t>
        </is>
      </c>
      <c r="F1071" t="inlineStr">
        <is>
          <t>Holmen skog AB</t>
        </is>
      </c>
      <c r="G1071" t="n">
        <v>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35286-2024</t>
        </is>
      </c>
      <c r="B1072" s="1" t="n">
        <v>45530</v>
      </c>
      <c r="C1072" s="1" t="n">
        <v>45734</v>
      </c>
      <c r="D1072" t="inlineStr">
        <is>
          <t>VÄSTERBOTTENS LÄN</t>
        </is>
      </c>
      <c r="E1072" t="inlineStr">
        <is>
          <t>ÅSELE</t>
        </is>
      </c>
      <c r="G1072" t="n">
        <v>0.9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35836-2024</t>
        </is>
      </c>
      <c r="B1073" s="1" t="n">
        <v>45532</v>
      </c>
      <c r="C1073" s="1" t="n">
        <v>45734</v>
      </c>
      <c r="D1073" t="inlineStr">
        <is>
          <t>VÄSTERBOTTENS LÄN</t>
        </is>
      </c>
      <c r="E1073" t="inlineStr">
        <is>
          <t>ÅSELE</t>
        </is>
      </c>
      <c r="G1073" t="n">
        <v>2.1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35991-2024</t>
        </is>
      </c>
      <c r="B1074" s="1" t="n">
        <v>45533</v>
      </c>
      <c r="C1074" s="1" t="n">
        <v>45734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Holmen skog AB</t>
        </is>
      </c>
      <c r="G1074" t="n">
        <v>10.6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36037-2024</t>
        </is>
      </c>
      <c r="B1075" s="1" t="n">
        <v>45533</v>
      </c>
      <c r="C1075" s="1" t="n">
        <v>45734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Holmen skog AB</t>
        </is>
      </c>
      <c r="G1075" t="n">
        <v>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36115-2024</t>
        </is>
      </c>
      <c r="B1076" s="1" t="n">
        <v>45534</v>
      </c>
      <c r="C1076" s="1" t="n">
        <v>45734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Sveaskog</t>
        </is>
      </c>
      <c r="G1076" t="n">
        <v>6.4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36164-2024</t>
        </is>
      </c>
      <c r="B1077" s="1" t="n">
        <v>45534</v>
      </c>
      <c r="C1077" s="1" t="n">
        <v>45734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Sveaskog</t>
        </is>
      </c>
      <c r="G1077" t="n">
        <v>31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36331-2024</t>
        </is>
      </c>
      <c r="B1078" s="1" t="n">
        <v>45534</v>
      </c>
      <c r="C1078" s="1" t="n">
        <v>45734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Holmen skog AB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36396-2024</t>
        </is>
      </c>
      <c r="B1079" s="1" t="n">
        <v>45535</v>
      </c>
      <c r="C1079" s="1" t="n">
        <v>45734</v>
      </c>
      <c r="D1079" t="inlineStr">
        <is>
          <t>VÄSTERBOTTENS LÄN</t>
        </is>
      </c>
      <c r="E1079" t="inlineStr">
        <is>
          <t>ÅSELE</t>
        </is>
      </c>
      <c r="F1079" t="inlineStr">
        <is>
          <t>Holmen skog AB</t>
        </is>
      </c>
      <c r="G1079" t="n">
        <v>3.9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36552-2024</t>
        </is>
      </c>
      <c r="B1080" s="1" t="n">
        <v>45537</v>
      </c>
      <c r="C1080" s="1" t="n">
        <v>45734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11.3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37123-2024</t>
        </is>
      </c>
      <c r="B1081" s="1" t="n">
        <v>45539</v>
      </c>
      <c r="C1081" s="1" t="n">
        <v>45734</v>
      </c>
      <c r="D1081" t="inlineStr">
        <is>
          <t>VÄSTERBOTTENS LÄN</t>
        </is>
      </c>
      <c r="E1081" t="inlineStr">
        <is>
          <t>ÅSELE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37241-2024</t>
        </is>
      </c>
      <c r="B1082" s="1" t="n">
        <v>45540</v>
      </c>
      <c r="C1082" s="1" t="n">
        <v>45734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SCA</t>
        </is>
      </c>
      <c r="G1082" t="n">
        <v>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37434-2024</t>
        </is>
      </c>
      <c r="B1083" s="1" t="n">
        <v>45540</v>
      </c>
      <c r="C1083" s="1" t="n">
        <v>45734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Holmen skog AB</t>
        </is>
      </c>
      <c r="G1083" t="n">
        <v>3.2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37576-2024</t>
        </is>
      </c>
      <c r="B1084" s="1" t="n">
        <v>45541</v>
      </c>
      <c r="C1084" s="1" t="n">
        <v>45734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Holmen skog AB</t>
        </is>
      </c>
      <c r="G1084" t="n">
        <v>17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38197-2024</t>
        </is>
      </c>
      <c r="B1085" s="1" t="n">
        <v>45545</v>
      </c>
      <c r="C1085" s="1" t="n">
        <v>45734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Sveaskog</t>
        </is>
      </c>
      <c r="G1085" t="n">
        <v>10.6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38261-2024</t>
        </is>
      </c>
      <c r="B1086" s="1" t="n">
        <v>45545</v>
      </c>
      <c r="C1086" s="1" t="n">
        <v>45734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26.5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38350-2024</t>
        </is>
      </c>
      <c r="B1087" s="1" t="n">
        <v>45545</v>
      </c>
      <c r="C1087" s="1" t="n">
        <v>45734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2.1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38260-2024</t>
        </is>
      </c>
      <c r="B1088" s="1" t="n">
        <v>45545</v>
      </c>
      <c r="C1088" s="1" t="n">
        <v>45734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75.7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38405-2024</t>
        </is>
      </c>
      <c r="B1089" s="1" t="n">
        <v>45546</v>
      </c>
      <c r="C1089" s="1" t="n">
        <v>45734</v>
      </c>
      <c r="D1089" t="inlineStr">
        <is>
          <t>VÄSTERBOTTENS LÄN</t>
        </is>
      </c>
      <c r="E1089" t="inlineStr">
        <is>
          <t>ÅSELE</t>
        </is>
      </c>
      <c r="F1089" t="inlineStr">
        <is>
          <t>SCA</t>
        </is>
      </c>
      <c r="G1089" t="n">
        <v>3.5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39266-2024</t>
        </is>
      </c>
      <c r="B1090" s="1" t="n">
        <v>45551</v>
      </c>
      <c r="C1090" s="1" t="n">
        <v>45734</v>
      </c>
      <c r="D1090" t="inlineStr">
        <is>
          <t>VÄSTERBOTTENS LÄN</t>
        </is>
      </c>
      <c r="E1090" t="inlineStr">
        <is>
          <t>ÅSELE</t>
        </is>
      </c>
      <c r="F1090" t="inlineStr">
        <is>
          <t>SCA</t>
        </is>
      </c>
      <c r="G1090" t="n">
        <v>11.7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39450-2024</t>
        </is>
      </c>
      <c r="B1091" s="1" t="n">
        <v>45551</v>
      </c>
      <c r="C1091" s="1" t="n">
        <v>45734</v>
      </c>
      <c r="D1091" t="inlineStr">
        <is>
          <t>VÄSTERBOTTENS LÄN</t>
        </is>
      </c>
      <c r="E1091" t="inlineStr">
        <is>
          <t>ÅSELE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40046-2024</t>
        </is>
      </c>
      <c r="B1092" s="1" t="n">
        <v>45553</v>
      </c>
      <c r="C1092" s="1" t="n">
        <v>45734</v>
      </c>
      <c r="D1092" t="inlineStr">
        <is>
          <t>VÄSTERBOTTENS LÄN</t>
        </is>
      </c>
      <c r="E1092" t="inlineStr">
        <is>
          <t>ÅSELE</t>
        </is>
      </c>
      <c r="G1092" t="n">
        <v>5.6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40042-2024</t>
        </is>
      </c>
      <c r="B1093" s="1" t="n">
        <v>45553</v>
      </c>
      <c r="C1093" s="1" t="n">
        <v>45734</v>
      </c>
      <c r="D1093" t="inlineStr">
        <is>
          <t>VÄSTERBOTTENS LÄN</t>
        </is>
      </c>
      <c r="E1093" t="inlineStr">
        <is>
          <t>ÅSELE</t>
        </is>
      </c>
      <c r="G1093" t="n">
        <v>3.9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40969-2024</t>
        </is>
      </c>
      <c r="B1094" s="1" t="n">
        <v>45558</v>
      </c>
      <c r="C1094" s="1" t="n">
        <v>45734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14.2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41160-2024</t>
        </is>
      </c>
      <c r="B1095" s="1" t="n">
        <v>45559</v>
      </c>
      <c r="C1095" s="1" t="n">
        <v>45734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Sveaskog</t>
        </is>
      </c>
      <c r="G1095" t="n">
        <v>18.8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41164-2024</t>
        </is>
      </c>
      <c r="B1096" s="1" t="n">
        <v>45559</v>
      </c>
      <c r="C1096" s="1" t="n">
        <v>45734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Sveaskog</t>
        </is>
      </c>
      <c r="G1096" t="n">
        <v>10.2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41300-2024</t>
        </is>
      </c>
      <c r="B1097" s="1" t="n">
        <v>45559</v>
      </c>
      <c r="C1097" s="1" t="n">
        <v>45734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Naturvårdsverket</t>
        </is>
      </c>
      <c r="G1097" t="n">
        <v>3.1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41321-2024</t>
        </is>
      </c>
      <c r="B1098" s="1" t="n">
        <v>45559</v>
      </c>
      <c r="C1098" s="1" t="n">
        <v>45734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Naturvårdsverket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41408-2024</t>
        </is>
      </c>
      <c r="B1099" s="1" t="n">
        <v>45560</v>
      </c>
      <c r="C1099" s="1" t="n">
        <v>45734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41402-2024</t>
        </is>
      </c>
      <c r="B1100" s="1" t="n">
        <v>45560</v>
      </c>
      <c r="C1100" s="1" t="n">
        <v>45734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Holmen skog AB</t>
        </is>
      </c>
      <c r="G1100" t="n">
        <v>4.5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41427-2024</t>
        </is>
      </c>
      <c r="B1101" s="1" t="n">
        <v>45560</v>
      </c>
      <c r="C1101" s="1" t="n">
        <v>45734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Sveaskog</t>
        </is>
      </c>
      <c r="G1101" t="n">
        <v>1.4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41556-2024</t>
        </is>
      </c>
      <c r="B1102" s="1" t="n">
        <v>45560</v>
      </c>
      <c r="C1102" s="1" t="n">
        <v>45734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Naturvårdsverket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41475-2024</t>
        </is>
      </c>
      <c r="B1103" s="1" t="n">
        <v>45560</v>
      </c>
      <c r="C1103" s="1" t="n">
        <v>45734</v>
      </c>
      <c r="D1103" t="inlineStr">
        <is>
          <t>VÄSTERBOTTENS LÄN</t>
        </is>
      </c>
      <c r="E1103" t="inlineStr">
        <is>
          <t>ÅSELE</t>
        </is>
      </c>
      <c r="F1103" t="inlineStr">
        <is>
          <t>Holmen skog AB</t>
        </is>
      </c>
      <c r="G1103" t="n">
        <v>3.6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41583-2024</t>
        </is>
      </c>
      <c r="B1104" s="1" t="n">
        <v>45560</v>
      </c>
      <c r="C1104" s="1" t="n">
        <v>45734</v>
      </c>
      <c r="D1104" t="inlineStr">
        <is>
          <t>VÄSTERBOTTENS LÄN</t>
        </is>
      </c>
      <c r="E1104" t="inlineStr">
        <is>
          <t>ÅSELE</t>
        </is>
      </c>
      <c r="F1104" t="inlineStr">
        <is>
          <t>Holmen skog AB</t>
        </is>
      </c>
      <c r="G1104" t="n">
        <v>0.8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41827-2024</t>
        </is>
      </c>
      <c r="B1105" s="1" t="n">
        <v>45561</v>
      </c>
      <c r="C1105" s="1" t="n">
        <v>45734</v>
      </c>
      <c r="D1105" t="inlineStr">
        <is>
          <t>VÄSTERBOTTENS LÄN</t>
        </is>
      </c>
      <c r="E1105" t="inlineStr">
        <is>
          <t>ÅSELE</t>
        </is>
      </c>
      <c r="G1105" t="n">
        <v>4.2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41815-2024</t>
        </is>
      </c>
      <c r="B1106" s="1" t="n">
        <v>45561</v>
      </c>
      <c r="C1106" s="1" t="n">
        <v>45734</v>
      </c>
      <c r="D1106" t="inlineStr">
        <is>
          <t>VÄSTERBOTTENS LÄN</t>
        </is>
      </c>
      <c r="E1106" t="inlineStr">
        <is>
          <t>ÅSELE</t>
        </is>
      </c>
      <c r="G1106" t="n">
        <v>3.4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41861-2024</t>
        </is>
      </c>
      <c r="B1107" s="1" t="n">
        <v>45561</v>
      </c>
      <c r="C1107" s="1" t="n">
        <v>45734</v>
      </c>
      <c r="D1107" t="inlineStr">
        <is>
          <t>VÄSTERBOTTENS LÄN</t>
        </is>
      </c>
      <c r="E1107" t="inlineStr">
        <is>
          <t>ÅSELE</t>
        </is>
      </c>
      <c r="G1107" t="n">
        <v>0.3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42027-2024</t>
        </is>
      </c>
      <c r="B1108" s="1" t="n">
        <v>45561</v>
      </c>
      <c r="C1108" s="1" t="n">
        <v>45734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5.1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42031-2024</t>
        </is>
      </c>
      <c r="B1109" s="1" t="n">
        <v>45561</v>
      </c>
      <c r="C1109" s="1" t="n">
        <v>45734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41960-2024</t>
        </is>
      </c>
      <c r="B1110" s="1" t="n">
        <v>45561</v>
      </c>
      <c r="C1110" s="1" t="n">
        <v>45734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42206-2024</t>
        </is>
      </c>
      <c r="B1111" s="1" t="n">
        <v>45562</v>
      </c>
      <c r="C1111" s="1" t="n">
        <v>45734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42304-2024</t>
        </is>
      </c>
      <c r="B1112" s="1" t="n">
        <v>45562</v>
      </c>
      <c r="C1112" s="1" t="n">
        <v>45734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Holmen skog AB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42301-2024</t>
        </is>
      </c>
      <c r="B1113" s="1" t="n">
        <v>45562</v>
      </c>
      <c r="C1113" s="1" t="n">
        <v>45734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6.2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42268-2024</t>
        </is>
      </c>
      <c r="B1114" s="1" t="n">
        <v>45562</v>
      </c>
      <c r="C1114" s="1" t="n">
        <v>45734</v>
      </c>
      <c r="D1114" t="inlineStr">
        <is>
          <t>VÄSTERBOTTENS LÄN</t>
        </is>
      </c>
      <c r="E1114" t="inlineStr">
        <is>
          <t>ÅSELE</t>
        </is>
      </c>
      <c r="F1114" t="inlineStr">
        <is>
          <t>Naturvårdsverket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42286-2024</t>
        </is>
      </c>
      <c r="B1115" s="1" t="n">
        <v>45562</v>
      </c>
      <c r="C1115" s="1" t="n">
        <v>45734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42420-2024</t>
        </is>
      </c>
      <c r="B1116" s="1" t="n">
        <v>45565</v>
      </c>
      <c r="C1116" s="1" t="n">
        <v>45734</v>
      </c>
      <c r="D1116" t="inlineStr">
        <is>
          <t>VÄSTERBOTTENS LÄN</t>
        </is>
      </c>
      <c r="E1116" t="inlineStr">
        <is>
          <t>ÅSELE</t>
        </is>
      </c>
      <c r="G1116" t="n">
        <v>1.5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42640-2024</t>
        </is>
      </c>
      <c r="B1117" s="1" t="n">
        <v>45566</v>
      </c>
      <c r="C1117" s="1" t="n">
        <v>45734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2.1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42399-2024</t>
        </is>
      </c>
      <c r="B1118" s="1" t="n">
        <v>45565</v>
      </c>
      <c r="C1118" s="1" t="n">
        <v>45734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42601-2024</t>
        </is>
      </c>
      <c r="B1119" s="1" t="n">
        <v>45565</v>
      </c>
      <c r="C1119" s="1" t="n">
        <v>45734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8.6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42636-2024</t>
        </is>
      </c>
      <c r="B1120" s="1" t="n">
        <v>45565</v>
      </c>
      <c r="C1120" s="1" t="n">
        <v>45734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Holmen skog AB</t>
        </is>
      </c>
      <c r="G1120" t="n">
        <v>2.5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42618-2024</t>
        </is>
      </c>
      <c r="B1121" s="1" t="n">
        <v>45565</v>
      </c>
      <c r="C1121" s="1" t="n">
        <v>45734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42910-2024</t>
        </is>
      </c>
      <c r="B1122" s="1" t="n">
        <v>45567</v>
      </c>
      <c r="C1122" s="1" t="n">
        <v>45734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Sveaskog</t>
        </is>
      </c>
      <c r="G1122" t="n">
        <v>1.5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42897-2024</t>
        </is>
      </c>
      <c r="B1123" s="1" t="n">
        <v>45566</v>
      </c>
      <c r="C1123" s="1" t="n">
        <v>45734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3.7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42702-2024</t>
        </is>
      </c>
      <c r="B1124" s="1" t="n">
        <v>45566</v>
      </c>
      <c r="C1124" s="1" t="n">
        <v>45734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Naturvårdsverket</t>
        </is>
      </c>
      <c r="G1124" t="n">
        <v>4.7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42689-2024</t>
        </is>
      </c>
      <c r="B1125" s="1" t="n">
        <v>45566</v>
      </c>
      <c r="C1125" s="1" t="n">
        <v>45734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Holmen skog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42641-2024</t>
        </is>
      </c>
      <c r="B1126" s="1" t="n">
        <v>45566</v>
      </c>
      <c r="C1126" s="1" t="n">
        <v>45734</v>
      </c>
      <c r="D1126" t="inlineStr">
        <is>
          <t>VÄSTERBOTTENS LÄN</t>
        </is>
      </c>
      <c r="E1126" t="inlineStr">
        <is>
          <t>ÅSELE</t>
        </is>
      </c>
      <c r="F1126" t="inlineStr">
        <is>
          <t>Sveaskog</t>
        </is>
      </c>
      <c r="G1126" t="n">
        <v>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42642-2024</t>
        </is>
      </c>
      <c r="B1127" s="1" t="n">
        <v>45566</v>
      </c>
      <c r="C1127" s="1" t="n">
        <v>45734</v>
      </c>
      <c r="D1127" t="inlineStr">
        <is>
          <t>VÄSTERBOTTENS LÄN</t>
        </is>
      </c>
      <c r="E1127" t="inlineStr">
        <is>
          <t>ÅSELE</t>
        </is>
      </c>
      <c r="F1127" t="inlineStr">
        <is>
          <t>Sveaskog</t>
        </is>
      </c>
      <c r="G1127" t="n">
        <v>1.2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43058-2024</t>
        </is>
      </c>
      <c r="B1128" s="1" t="n">
        <v>45567</v>
      </c>
      <c r="C1128" s="1" t="n">
        <v>45734</v>
      </c>
      <c r="D1128" t="inlineStr">
        <is>
          <t>VÄSTERBOTTENS LÄN</t>
        </is>
      </c>
      <c r="E1128" t="inlineStr">
        <is>
          <t>ÅSELE</t>
        </is>
      </c>
      <c r="G1128" t="n">
        <v>7.8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43048-2024</t>
        </is>
      </c>
      <c r="B1129" s="1" t="n">
        <v>45567</v>
      </c>
      <c r="C1129" s="1" t="n">
        <v>45734</v>
      </c>
      <c r="D1129" t="inlineStr">
        <is>
          <t>VÄSTERBOTTENS LÄN</t>
        </is>
      </c>
      <c r="E1129" t="inlineStr">
        <is>
          <t>ÅSELE</t>
        </is>
      </c>
      <c r="G1129" t="n">
        <v>4.8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44209-2024</t>
        </is>
      </c>
      <c r="B1130" s="1" t="n">
        <v>45573</v>
      </c>
      <c r="C1130" s="1" t="n">
        <v>45734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Sveaskog</t>
        </is>
      </c>
      <c r="G1130" t="n">
        <v>12.5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44644-2024</t>
        </is>
      </c>
      <c r="B1131" s="1" t="n">
        <v>45574</v>
      </c>
      <c r="C1131" s="1" t="n">
        <v>45734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SCA</t>
        </is>
      </c>
      <c r="G1131" t="n">
        <v>6.9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44622-2024</t>
        </is>
      </c>
      <c r="B1132" s="1" t="n">
        <v>45574</v>
      </c>
      <c r="C1132" s="1" t="n">
        <v>45734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SCA</t>
        </is>
      </c>
      <c r="G1132" t="n">
        <v>14.9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44742-2024</t>
        </is>
      </c>
      <c r="B1133" s="1" t="n">
        <v>45574</v>
      </c>
      <c r="C1133" s="1" t="n">
        <v>45734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Sveaskog</t>
        </is>
      </c>
      <c r="G1133" t="n">
        <v>5.9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44696-2024</t>
        </is>
      </c>
      <c r="B1134" s="1" t="n">
        <v>45574</v>
      </c>
      <c r="C1134" s="1" t="n">
        <v>45734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Sveaskog</t>
        </is>
      </c>
      <c r="G1134" t="n">
        <v>1.7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44612-2024</t>
        </is>
      </c>
      <c r="B1135" s="1" t="n">
        <v>45574</v>
      </c>
      <c r="C1135" s="1" t="n">
        <v>45734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5.2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44637-2024</t>
        </is>
      </c>
      <c r="B1136" s="1" t="n">
        <v>45574</v>
      </c>
      <c r="C1136" s="1" t="n">
        <v>45734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SCA</t>
        </is>
      </c>
      <c r="G1136" t="n">
        <v>3.7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44894-2024</t>
        </is>
      </c>
      <c r="B1137" s="1" t="n">
        <v>45575</v>
      </c>
      <c r="C1137" s="1" t="n">
        <v>45734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SCA</t>
        </is>
      </c>
      <c r="G1137" t="n">
        <v>4.3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45298-2024</t>
        </is>
      </c>
      <c r="B1138" s="1" t="n">
        <v>45576</v>
      </c>
      <c r="C1138" s="1" t="n">
        <v>45734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45478-2024</t>
        </is>
      </c>
      <c r="B1139" s="1" t="n">
        <v>45576</v>
      </c>
      <c r="C1139" s="1" t="n">
        <v>45734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6.9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45477-2024</t>
        </is>
      </c>
      <c r="B1140" s="1" t="n">
        <v>45576</v>
      </c>
      <c r="C1140" s="1" t="n">
        <v>45734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5.2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45475-2024</t>
        </is>
      </c>
      <c r="B1141" s="1" t="n">
        <v>45576</v>
      </c>
      <c r="C1141" s="1" t="n">
        <v>45734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45301-2024</t>
        </is>
      </c>
      <c r="B1142" s="1" t="n">
        <v>45576</v>
      </c>
      <c r="C1142" s="1" t="n">
        <v>45734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2.5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45297-2024</t>
        </is>
      </c>
      <c r="B1143" s="1" t="n">
        <v>45576</v>
      </c>
      <c r="C1143" s="1" t="n">
        <v>45734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Sveaskog</t>
        </is>
      </c>
      <c r="G1143" t="n">
        <v>2.8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45311-2024</t>
        </is>
      </c>
      <c r="B1144" s="1" t="n">
        <v>45576</v>
      </c>
      <c r="C1144" s="1" t="n">
        <v>45734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Sveaskog</t>
        </is>
      </c>
      <c r="G1144" t="n">
        <v>1.5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45854-2024</t>
        </is>
      </c>
      <c r="B1145" s="1" t="n">
        <v>45580</v>
      </c>
      <c r="C1145" s="1" t="n">
        <v>45734</v>
      </c>
      <c r="D1145" t="inlineStr">
        <is>
          <t>VÄSTERBOTTENS LÄN</t>
        </is>
      </c>
      <c r="E1145" t="inlineStr">
        <is>
          <t>ÅSELE</t>
        </is>
      </c>
      <c r="F1145" t="inlineStr">
        <is>
          <t>SCA</t>
        </is>
      </c>
      <c r="G1145" t="n">
        <v>13.1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45852-2024</t>
        </is>
      </c>
      <c r="B1146" s="1" t="n">
        <v>45580</v>
      </c>
      <c r="C1146" s="1" t="n">
        <v>45734</v>
      </c>
      <c r="D1146" t="inlineStr">
        <is>
          <t>VÄSTERBOTTENS LÄN</t>
        </is>
      </c>
      <c r="E1146" t="inlineStr">
        <is>
          <t>ÅSELE</t>
        </is>
      </c>
      <c r="F1146" t="inlineStr">
        <is>
          <t>SCA</t>
        </is>
      </c>
      <c r="G1146" t="n">
        <v>2.4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46130-2024</t>
        </is>
      </c>
      <c r="B1147" s="1" t="n">
        <v>45581</v>
      </c>
      <c r="C1147" s="1" t="n">
        <v>45734</v>
      </c>
      <c r="D1147" t="inlineStr">
        <is>
          <t>VÄSTERBOTTENS LÄN</t>
        </is>
      </c>
      <c r="E1147" t="inlineStr">
        <is>
          <t>ÅSELE</t>
        </is>
      </c>
      <c r="G1147" t="n">
        <v>5.1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46273-2024</t>
        </is>
      </c>
      <c r="B1148" s="1" t="n">
        <v>45581</v>
      </c>
      <c r="C1148" s="1" t="n">
        <v>45734</v>
      </c>
      <c r="D1148" t="inlineStr">
        <is>
          <t>VÄSTERBOTTENS LÄN</t>
        </is>
      </c>
      <c r="E1148" t="inlineStr">
        <is>
          <t>ÅSELE</t>
        </is>
      </c>
      <c r="G1148" t="n">
        <v>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46634-2024</t>
        </is>
      </c>
      <c r="B1149" s="1" t="n">
        <v>45583</v>
      </c>
      <c r="C1149" s="1" t="n">
        <v>45734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4.7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47536-2024</t>
        </is>
      </c>
      <c r="B1150" s="1" t="n">
        <v>45587</v>
      </c>
      <c r="C1150" s="1" t="n">
        <v>45734</v>
      </c>
      <c r="D1150" t="inlineStr">
        <is>
          <t>VÄSTERBOTTENS LÄN</t>
        </is>
      </c>
      <c r="E1150" t="inlineStr">
        <is>
          <t>ÅSELE</t>
        </is>
      </c>
      <c r="F1150" t="inlineStr">
        <is>
          <t>Holmen skog AB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47441-2024</t>
        </is>
      </c>
      <c r="B1151" s="1" t="n">
        <v>45587</v>
      </c>
      <c r="C1151" s="1" t="n">
        <v>45734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3.7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47829-2024</t>
        </is>
      </c>
      <c r="B1152" s="1" t="n">
        <v>45588</v>
      </c>
      <c r="C1152" s="1" t="n">
        <v>45734</v>
      </c>
      <c r="D1152" t="inlineStr">
        <is>
          <t>VÄSTERBOTTENS LÄN</t>
        </is>
      </c>
      <c r="E1152" t="inlineStr">
        <is>
          <t>ÅSELE</t>
        </is>
      </c>
      <c r="G1152" t="n">
        <v>5.7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48051-2024</t>
        </is>
      </c>
      <c r="B1153" s="1" t="n">
        <v>45589</v>
      </c>
      <c r="C1153" s="1" t="n">
        <v>45734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4.2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48033-2024</t>
        </is>
      </c>
      <c r="B1154" s="1" t="n">
        <v>45589</v>
      </c>
      <c r="C1154" s="1" t="n">
        <v>45734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48044-2024</t>
        </is>
      </c>
      <c r="B1155" s="1" t="n">
        <v>45589</v>
      </c>
      <c r="C1155" s="1" t="n">
        <v>45734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48206-2024</t>
        </is>
      </c>
      <c r="B1156" s="1" t="n">
        <v>45590</v>
      </c>
      <c r="C1156" s="1" t="n">
        <v>45734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48248-2024</t>
        </is>
      </c>
      <c r="B1157" s="1" t="n">
        <v>45590</v>
      </c>
      <c r="C1157" s="1" t="n">
        <v>45734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48250-2024</t>
        </is>
      </c>
      <c r="B1158" s="1" t="n">
        <v>45590</v>
      </c>
      <c r="C1158" s="1" t="n">
        <v>45734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SCA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48209-2024</t>
        </is>
      </c>
      <c r="B1159" s="1" t="n">
        <v>45590</v>
      </c>
      <c r="C1159" s="1" t="n">
        <v>45734</v>
      </c>
      <c r="D1159" t="inlineStr">
        <is>
          <t>VÄSTERBOTTENS LÄN</t>
        </is>
      </c>
      <c r="E1159" t="inlineStr">
        <is>
          <t>ÅSELE</t>
        </is>
      </c>
      <c r="F1159" t="inlineStr">
        <is>
          <t>SCA</t>
        </is>
      </c>
      <c r="G1159" t="n">
        <v>5.4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48328-2024</t>
        </is>
      </c>
      <c r="B1160" s="1" t="n">
        <v>45590</v>
      </c>
      <c r="C1160" s="1" t="n">
        <v>45734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Sveaskog</t>
        </is>
      </c>
      <c r="G1160" t="n">
        <v>3.3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48299-2024</t>
        </is>
      </c>
      <c r="B1161" s="1" t="n">
        <v>45590</v>
      </c>
      <c r="C1161" s="1" t="n">
        <v>45734</v>
      </c>
      <c r="D1161" t="inlineStr">
        <is>
          <t>VÄSTERBOTTENS LÄN</t>
        </is>
      </c>
      <c r="E1161" t="inlineStr">
        <is>
          <t>ÅSELE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48532-2024</t>
        </is>
      </c>
      <c r="B1162" s="1" t="n">
        <v>45593</v>
      </c>
      <c r="C1162" s="1" t="n">
        <v>45734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48530-2024</t>
        </is>
      </c>
      <c r="B1163" s="1" t="n">
        <v>45593</v>
      </c>
      <c r="C1163" s="1" t="n">
        <v>45734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SCA</t>
        </is>
      </c>
      <c r="G1163" t="n">
        <v>8.9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48531-2024</t>
        </is>
      </c>
      <c r="B1164" s="1" t="n">
        <v>45593</v>
      </c>
      <c r="C1164" s="1" t="n">
        <v>45734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SCA</t>
        </is>
      </c>
      <c r="G1164" t="n">
        <v>1.6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49382-2024</t>
        </is>
      </c>
      <c r="B1165" s="1" t="n">
        <v>45595</v>
      </c>
      <c r="C1165" s="1" t="n">
        <v>45734</v>
      </c>
      <c r="D1165" t="inlineStr">
        <is>
          <t>VÄSTERBOTTENS LÄN</t>
        </is>
      </c>
      <c r="E1165" t="inlineStr">
        <is>
          <t>ÅSELE</t>
        </is>
      </c>
      <c r="F1165" t="inlineStr">
        <is>
          <t>Holmen skog AB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49879-2024</t>
        </is>
      </c>
      <c r="B1166" s="1" t="n">
        <v>45597</v>
      </c>
      <c r="C1166" s="1" t="n">
        <v>45734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Sveaskog</t>
        </is>
      </c>
      <c r="G1166" t="n">
        <v>19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50030-2024</t>
        </is>
      </c>
      <c r="B1167" s="1" t="n">
        <v>45599</v>
      </c>
      <c r="C1167" s="1" t="n">
        <v>45734</v>
      </c>
      <c r="D1167" t="inlineStr">
        <is>
          <t>VÄSTERBOTTENS LÄN</t>
        </is>
      </c>
      <c r="E1167" t="inlineStr">
        <is>
          <t>ÅSELE</t>
        </is>
      </c>
      <c r="G1167" t="n">
        <v>4.4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50151-2024</t>
        </is>
      </c>
      <c r="B1168" s="1" t="n">
        <v>45600</v>
      </c>
      <c r="C1168" s="1" t="n">
        <v>45734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3.3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50284-2024</t>
        </is>
      </c>
      <c r="B1169" s="1" t="n">
        <v>45600</v>
      </c>
      <c r="C1169" s="1" t="n">
        <v>45734</v>
      </c>
      <c r="D1169" t="inlineStr">
        <is>
          <t>VÄSTERBOTTENS LÄN</t>
        </is>
      </c>
      <c r="E1169" t="inlineStr">
        <is>
          <t>ÅSELE</t>
        </is>
      </c>
      <c r="F1169" t="inlineStr">
        <is>
          <t>SCA</t>
        </is>
      </c>
      <c r="G1169" t="n">
        <v>15.3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50641-2024</t>
        </is>
      </c>
      <c r="B1170" s="1" t="n">
        <v>45601</v>
      </c>
      <c r="C1170" s="1" t="n">
        <v>45734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Holmen skog AB</t>
        </is>
      </c>
      <c r="G1170" t="n">
        <v>5.2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50446-2024</t>
        </is>
      </c>
      <c r="B1171" s="1" t="n">
        <v>45601</v>
      </c>
      <c r="C1171" s="1" t="n">
        <v>45734</v>
      </c>
      <c r="D1171" t="inlineStr">
        <is>
          <t>VÄSTERBOTTENS LÄN</t>
        </is>
      </c>
      <c r="E1171" t="inlineStr">
        <is>
          <t>ÅSELE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50420-2024</t>
        </is>
      </c>
      <c r="B1172" s="1" t="n">
        <v>45601</v>
      </c>
      <c r="C1172" s="1" t="n">
        <v>45734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2.5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50419-2024</t>
        </is>
      </c>
      <c r="B1173" s="1" t="n">
        <v>45601</v>
      </c>
      <c r="C1173" s="1" t="n">
        <v>45734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5.1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51544-2024</t>
        </is>
      </c>
      <c r="B1174" s="1" t="n">
        <v>45604</v>
      </c>
      <c r="C1174" s="1" t="n">
        <v>45734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SCA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51405-2024</t>
        </is>
      </c>
      <c r="B1175" s="1" t="n">
        <v>45604</v>
      </c>
      <c r="C1175" s="1" t="n">
        <v>45734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2.1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52308-2024</t>
        </is>
      </c>
      <c r="B1176" s="1" t="n">
        <v>45608</v>
      </c>
      <c r="C1176" s="1" t="n">
        <v>45734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Naturvårdsverket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52772-2024</t>
        </is>
      </c>
      <c r="B1177" s="1" t="n">
        <v>45610</v>
      </c>
      <c r="C1177" s="1" t="n">
        <v>45734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SCA</t>
        </is>
      </c>
      <c r="G1177" t="n">
        <v>3.1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52771-2024</t>
        </is>
      </c>
      <c r="B1178" s="1" t="n">
        <v>45610</v>
      </c>
      <c r="C1178" s="1" t="n">
        <v>45734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10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52887-2024</t>
        </is>
      </c>
      <c r="B1179" s="1" t="n">
        <v>45610</v>
      </c>
      <c r="C1179" s="1" t="n">
        <v>45734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3.8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53018-2024</t>
        </is>
      </c>
      <c r="B1180" s="1" t="n">
        <v>45611</v>
      </c>
      <c r="C1180" s="1" t="n">
        <v>45734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SCA</t>
        </is>
      </c>
      <c r="G1180" t="n">
        <v>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53108-2024</t>
        </is>
      </c>
      <c r="B1181" s="1" t="n">
        <v>45611</v>
      </c>
      <c r="C1181" s="1" t="n">
        <v>45734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Holmen skog AB</t>
        </is>
      </c>
      <c r="G1181" t="n">
        <v>6.9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53681-2024</t>
        </is>
      </c>
      <c r="B1182" s="1" t="n">
        <v>45615</v>
      </c>
      <c r="C1182" s="1" t="n">
        <v>45734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4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53679-2024</t>
        </is>
      </c>
      <c r="B1183" s="1" t="n">
        <v>45615</v>
      </c>
      <c r="C1183" s="1" t="n">
        <v>45734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SCA</t>
        </is>
      </c>
      <c r="G1183" t="n">
        <v>5.2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54161-2024</t>
        </is>
      </c>
      <c r="B1184" s="1" t="n">
        <v>45616</v>
      </c>
      <c r="C1184" s="1" t="n">
        <v>45734</v>
      </c>
      <c r="D1184" t="inlineStr">
        <is>
          <t>VÄSTERBOTTENS LÄN</t>
        </is>
      </c>
      <c r="E1184" t="inlineStr">
        <is>
          <t>ÅSELE</t>
        </is>
      </c>
      <c r="F1184" t="inlineStr">
        <is>
          <t>Holmen skog AB</t>
        </is>
      </c>
      <c r="G1184" t="n">
        <v>3.1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54194-2024</t>
        </is>
      </c>
      <c r="B1185" s="1" t="n">
        <v>45616</v>
      </c>
      <c r="C1185" s="1" t="n">
        <v>45734</v>
      </c>
      <c r="D1185" t="inlineStr">
        <is>
          <t>VÄSTERBOTTENS LÄN</t>
        </is>
      </c>
      <c r="E1185" t="inlineStr">
        <is>
          <t>ÅSELE</t>
        </is>
      </c>
      <c r="G1185" t="n">
        <v>3.3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54766-2024</t>
        </is>
      </c>
      <c r="B1186" s="1" t="n">
        <v>45618</v>
      </c>
      <c r="C1186" s="1" t="n">
        <v>45734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54729-2024</t>
        </is>
      </c>
      <c r="B1187" s="1" t="n">
        <v>45618</v>
      </c>
      <c r="C1187" s="1" t="n">
        <v>45734</v>
      </c>
      <c r="D1187" t="inlineStr">
        <is>
          <t>VÄSTERBOTTENS LÄN</t>
        </is>
      </c>
      <c r="E1187" t="inlineStr">
        <is>
          <t>ÅSELE</t>
        </is>
      </c>
      <c r="F1187" t="inlineStr">
        <is>
          <t>SCA</t>
        </is>
      </c>
      <c r="G1187" t="n">
        <v>5.6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54696-2024</t>
        </is>
      </c>
      <c r="B1188" s="1" t="n">
        <v>45618</v>
      </c>
      <c r="C1188" s="1" t="n">
        <v>45734</v>
      </c>
      <c r="D1188" t="inlineStr">
        <is>
          <t>VÄSTERBOTTENS LÄN</t>
        </is>
      </c>
      <c r="E1188" t="inlineStr">
        <is>
          <t>ÅSELE</t>
        </is>
      </c>
      <c r="G1188" t="n">
        <v>22.2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54957-2024</t>
        </is>
      </c>
      <c r="B1189" s="1" t="n">
        <v>45619</v>
      </c>
      <c r="C1189" s="1" t="n">
        <v>45734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17.4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54958-2024</t>
        </is>
      </c>
      <c r="B1190" s="1" t="n">
        <v>45619</v>
      </c>
      <c r="C1190" s="1" t="n">
        <v>45734</v>
      </c>
      <c r="D1190" t="inlineStr">
        <is>
          <t>VÄSTERBOTTENS LÄN</t>
        </is>
      </c>
      <c r="E1190" t="inlineStr">
        <is>
          <t>ÅSELE</t>
        </is>
      </c>
      <c r="F1190" t="inlineStr">
        <is>
          <t>SCA</t>
        </is>
      </c>
      <c r="G1190" t="n">
        <v>1.9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54992-2024</t>
        </is>
      </c>
      <c r="B1191" s="1" t="n">
        <v>45620</v>
      </c>
      <c r="C1191" s="1" t="n">
        <v>45734</v>
      </c>
      <c r="D1191" t="inlineStr">
        <is>
          <t>VÄSTERBOTTENS LÄN</t>
        </is>
      </c>
      <c r="E1191" t="inlineStr">
        <is>
          <t>ÅSELE</t>
        </is>
      </c>
      <c r="G1191" t="n">
        <v>5.7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55283-2024</t>
        </is>
      </c>
      <c r="B1192" s="1" t="n">
        <v>45621</v>
      </c>
      <c r="C1192" s="1" t="n">
        <v>45734</v>
      </c>
      <c r="D1192" t="inlineStr">
        <is>
          <t>VÄSTERBOTTENS LÄN</t>
        </is>
      </c>
      <c r="E1192" t="inlineStr">
        <is>
          <t>ÅSELE</t>
        </is>
      </c>
      <c r="F1192" t="inlineStr">
        <is>
          <t>Holmen skog AB</t>
        </is>
      </c>
      <c r="G1192" t="n">
        <v>14.9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55509-2024</t>
        </is>
      </c>
      <c r="B1193" s="1" t="n">
        <v>45622</v>
      </c>
      <c r="C1193" s="1" t="n">
        <v>45734</v>
      </c>
      <c r="D1193" t="inlineStr">
        <is>
          <t>VÄSTERBOTTENS LÄN</t>
        </is>
      </c>
      <c r="E1193" t="inlineStr">
        <is>
          <t>ÅSELE</t>
        </is>
      </c>
      <c r="G1193" t="n">
        <v>10.3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55657-2024</t>
        </is>
      </c>
      <c r="B1194" s="1" t="n">
        <v>45622</v>
      </c>
      <c r="C1194" s="1" t="n">
        <v>45734</v>
      </c>
      <c r="D1194" t="inlineStr">
        <is>
          <t>VÄSTERBOTTENS LÄN</t>
        </is>
      </c>
      <c r="E1194" t="inlineStr">
        <is>
          <t>ÅSELE</t>
        </is>
      </c>
      <c r="F1194" t="inlineStr">
        <is>
          <t>SCA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55615-2024</t>
        </is>
      </c>
      <c r="B1195" s="1" t="n">
        <v>45622</v>
      </c>
      <c r="C1195" s="1" t="n">
        <v>45734</v>
      </c>
      <c r="D1195" t="inlineStr">
        <is>
          <t>VÄSTERBOTTENS LÄN</t>
        </is>
      </c>
      <c r="E1195" t="inlineStr">
        <is>
          <t>ÅSELE</t>
        </is>
      </c>
      <c r="G1195" t="n">
        <v>1.2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55623-2024</t>
        </is>
      </c>
      <c r="B1196" s="1" t="n">
        <v>45622</v>
      </c>
      <c r="C1196" s="1" t="n">
        <v>45734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3.6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56446-2024</t>
        </is>
      </c>
      <c r="B1197" s="1" t="n">
        <v>45625</v>
      </c>
      <c r="C1197" s="1" t="n">
        <v>45734</v>
      </c>
      <c r="D1197" t="inlineStr">
        <is>
          <t>VÄSTERBOTTENS LÄN</t>
        </is>
      </c>
      <c r="E1197" t="inlineStr">
        <is>
          <t>ÅSELE</t>
        </is>
      </c>
      <c r="F1197" t="inlineStr">
        <is>
          <t>SCA</t>
        </is>
      </c>
      <c r="G1197" t="n">
        <v>12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57498-2024</t>
        </is>
      </c>
      <c r="B1198" s="1" t="n">
        <v>45629</v>
      </c>
      <c r="C1198" s="1" t="n">
        <v>45734</v>
      </c>
      <c r="D1198" t="inlineStr">
        <is>
          <t>VÄSTERBOTTENS LÄN</t>
        </is>
      </c>
      <c r="E1198" t="inlineStr">
        <is>
          <t>ÅSELE</t>
        </is>
      </c>
      <c r="G1198" t="n">
        <v>3.5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58115-2024</t>
        </is>
      </c>
      <c r="B1199" s="1" t="n">
        <v>45632</v>
      </c>
      <c r="C1199" s="1" t="n">
        <v>45734</v>
      </c>
      <c r="D1199" t="inlineStr">
        <is>
          <t>VÄSTERBOTTENS LÄN</t>
        </is>
      </c>
      <c r="E1199" t="inlineStr">
        <is>
          <t>ÅSELE</t>
        </is>
      </c>
      <c r="G1199" t="n">
        <v>11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58472-2024</t>
        </is>
      </c>
      <c r="B1200" s="1" t="n">
        <v>45635</v>
      </c>
      <c r="C1200" s="1" t="n">
        <v>45734</v>
      </c>
      <c r="D1200" t="inlineStr">
        <is>
          <t>VÄSTERBOTTENS LÄN</t>
        </is>
      </c>
      <c r="E1200" t="inlineStr">
        <is>
          <t>ÅSELE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58558-2024</t>
        </is>
      </c>
      <c r="B1201" s="1" t="n">
        <v>45635</v>
      </c>
      <c r="C1201" s="1" t="n">
        <v>45734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22.3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58596-2024</t>
        </is>
      </c>
      <c r="B1202" s="1" t="n">
        <v>45635</v>
      </c>
      <c r="C1202" s="1" t="n">
        <v>45734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3.3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58807-2024</t>
        </is>
      </c>
      <c r="B1203" s="1" t="n">
        <v>45636</v>
      </c>
      <c r="C1203" s="1" t="n">
        <v>45734</v>
      </c>
      <c r="D1203" t="inlineStr">
        <is>
          <t>VÄSTERBOTTENS LÄN</t>
        </is>
      </c>
      <c r="E1203" t="inlineStr">
        <is>
          <t>ÅSELE</t>
        </is>
      </c>
      <c r="F1203" t="inlineStr">
        <is>
          <t>SCA</t>
        </is>
      </c>
      <c r="G1203" t="n">
        <v>9.800000000000001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59282-2024</t>
        </is>
      </c>
      <c r="B1204" s="1" t="n">
        <v>45637</v>
      </c>
      <c r="C1204" s="1" t="n">
        <v>45734</v>
      </c>
      <c r="D1204" t="inlineStr">
        <is>
          <t>VÄSTERBOTTENS LÄN</t>
        </is>
      </c>
      <c r="E1204" t="inlineStr">
        <is>
          <t>ÅSELE</t>
        </is>
      </c>
      <c r="G1204" t="n">
        <v>6.9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59106-2024</t>
        </is>
      </c>
      <c r="B1205" s="1" t="n">
        <v>45637</v>
      </c>
      <c r="C1205" s="1" t="n">
        <v>45734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59560-2024</t>
        </is>
      </c>
      <c r="B1206" s="1" t="n">
        <v>45638</v>
      </c>
      <c r="C1206" s="1" t="n">
        <v>45734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22.6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59819-2024</t>
        </is>
      </c>
      <c r="B1207" s="1" t="n">
        <v>45639</v>
      </c>
      <c r="C1207" s="1" t="n">
        <v>45734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SCA</t>
        </is>
      </c>
      <c r="G1207" t="n">
        <v>1.9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59687-2024</t>
        </is>
      </c>
      <c r="B1208" s="1" t="n">
        <v>45639</v>
      </c>
      <c r="C1208" s="1" t="n">
        <v>45734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Kommuner</t>
        </is>
      </c>
      <c r="G1208" t="n">
        <v>8.800000000000001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59690-2024</t>
        </is>
      </c>
      <c r="B1209" s="1" t="n">
        <v>45639</v>
      </c>
      <c r="C1209" s="1" t="n">
        <v>45734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4.8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60493-2024</t>
        </is>
      </c>
      <c r="B1210" s="1" t="n">
        <v>45643</v>
      </c>
      <c r="C1210" s="1" t="n">
        <v>45734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60344-2024</t>
        </is>
      </c>
      <c r="B1211" s="1" t="n">
        <v>45643</v>
      </c>
      <c r="C1211" s="1" t="n">
        <v>45734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SCA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61330-2024</t>
        </is>
      </c>
      <c r="B1212" s="1" t="n">
        <v>45645</v>
      </c>
      <c r="C1212" s="1" t="n">
        <v>45734</v>
      </c>
      <c r="D1212" t="inlineStr">
        <is>
          <t>VÄSTERBOTTENS LÄN</t>
        </is>
      </c>
      <c r="E1212" t="inlineStr">
        <is>
          <t>ÅSELE</t>
        </is>
      </c>
      <c r="F1212" t="inlineStr">
        <is>
          <t>Sveaskog</t>
        </is>
      </c>
      <c r="G1212" t="n">
        <v>8.6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61542-2024</t>
        </is>
      </c>
      <c r="B1213" s="1" t="n">
        <v>45645</v>
      </c>
      <c r="C1213" s="1" t="n">
        <v>45734</v>
      </c>
      <c r="D1213" t="inlineStr">
        <is>
          <t>VÄSTERBOTTENS LÄN</t>
        </is>
      </c>
      <c r="E1213" t="inlineStr">
        <is>
          <t>ÅSELE</t>
        </is>
      </c>
      <c r="G1213" t="n">
        <v>1.2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61351-2024</t>
        </is>
      </c>
      <c r="B1214" s="1" t="n">
        <v>45646</v>
      </c>
      <c r="C1214" s="1" t="n">
        <v>45734</v>
      </c>
      <c r="D1214" t="inlineStr">
        <is>
          <t>VÄSTERBOTTENS LÄN</t>
        </is>
      </c>
      <c r="E1214" t="inlineStr">
        <is>
          <t>ÅSELE</t>
        </is>
      </c>
      <c r="G1214" t="n">
        <v>9.6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61744-2024</t>
        </is>
      </c>
      <c r="B1215" s="1" t="n">
        <v>45649</v>
      </c>
      <c r="C1215" s="1" t="n">
        <v>45734</v>
      </c>
      <c r="D1215" t="inlineStr">
        <is>
          <t>VÄSTERBOTTENS LÄN</t>
        </is>
      </c>
      <c r="E1215" t="inlineStr">
        <is>
          <t>ÅSELE</t>
        </is>
      </c>
      <c r="G1215" t="n">
        <v>6.6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45734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743-2025</t>
        </is>
      </c>
      <c r="B1217" s="1" t="n">
        <v>45665</v>
      </c>
      <c r="C1217" s="1" t="n">
        <v>45734</v>
      </c>
      <c r="D1217" t="inlineStr">
        <is>
          <t>VÄSTERBOTTENS LÄN</t>
        </is>
      </c>
      <c r="E1217" t="inlineStr">
        <is>
          <t>ÅSELE</t>
        </is>
      </c>
      <c r="F1217" t="inlineStr">
        <is>
          <t>Naturvårdsverket</t>
        </is>
      </c>
      <c r="G1217" t="n">
        <v>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1136-2025</t>
        </is>
      </c>
      <c r="B1218" s="1" t="n">
        <v>45666</v>
      </c>
      <c r="C1218" s="1" t="n">
        <v>45734</v>
      </c>
      <c r="D1218" t="inlineStr">
        <is>
          <t>VÄSTERBOTTENS LÄN</t>
        </is>
      </c>
      <c r="E1218" t="inlineStr">
        <is>
          <t>ÅSELE</t>
        </is>
      </c>
      <c r="G1218" t="n">
        <v>18.6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1275-2025</t>
        </is>
      </c>
      <c r="B1219" s="1" t="n">
        <v>45666</v>
      </c>
      <c r="C1219" s="1" t="n">
        <v>45734</v>
      </c>
      <c r="D1219" t="inlineStr">
        <is>
          <t>VÄSTERBOTTENS LÄN</t>
        </is>
      </c>
      <c r="E1219" t="inlineStr">
        <is>
          <t>ÅSELE</t>
        </is>
      </c>
      <c r="G1219" t="n">
        <v>8.1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1640-2025</t>
        </is>
      </c>
      <c r="B1220" s="1" t="n">
        <v>45670</v>
      </c>
      <c r="C1220" s="1" t="n">
        <v>45734</v>
      </c>
      <c r="D1220" t="inlineStr">
        <is>
          <t>VÄSTERBOTTENS LÄN</t>
        </is>
      </c>
      <c r="E1220" t="inlineStr">
        <is>
          <t>ÅSELE</t>
        </is>
      </c>
      <c r="G1220" t="n">
        <v>2.9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1733-2025</t>
        </is>
      </c>
      <c r="B1221" s="1" t="n">
        <v>45671</v>
      </c>
      <c r="C1221" s="1" t="n">
        <v>45734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Sveaskog</t>
        </is>
      </c>
      <c r="G1221" t="n">
        <v>18.2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2244-2025</t>
        </is>
      </c>
      <c r="B1222" s="1" t="n">
        <v>45673</v>
      </c>
      <c r="C1222" s="1" t="n">
        <v>45734</v>
      </c>
      <c r="D1222" t="inlineStr">
        <is>
          <t>VÄSTERBOTTENS LÄN</t>
        </is>
      </c>
      <c r="E1222" t="inlineStr">
        <is>
          <t>ÅSELE</t>
        </is>
      </c>
      <c r="F1222" t="inlineStr">
        <is>
          <t>SCA</t>
        </is>
      </c>
      <c r="G1222" t="n">
        <v>2.4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45734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2892-2025</t>
        </is>
      </c>
      <c r="B1224" s="1" t="n">
        <v>45677</v>
      </c>
      <c r="C1224" s="1" t="n">
        <v>45734</v>
      </c>
      <c r="D1224" t="inlineStr">
        <is>
          <t>VÄSTERBOTTENS LÄN</t>
        </is>
      </c>
      <c r="E1224" t="inlineStr">
        <is>
          <t>ÅSELE</t>
        </is>
      </c>
      <c r="G1224" t="n">
        <v>3.1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2893-2025</t>
        </is>
      </c>
      <c r="B1225" s="1" t="n">
        <v>45677</v>
      </c>
      <c r="C1225" s="1" t="n">
        <v>45734</v>
      </c>
      <c r="D1225" t="inlineStr">
        <is>
          <t>VÄSTERBOTTENS LÄN</t>
        </is>
      </c>
      <c r="E1225" t="inlineStr">
        <is>
          <t>ÅSELE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2891-2025</t>
        </is>
      </c>
      <c r="B1226" s="1" t="n">
        <v>45677</v>
      </c>
      <c r="C1226" s="1" t="n">
        <v>45734</v>
      </c>
      <c r="D1226" t="inlineStr">
        <is>
          <t>VÄSTERBOTTENS LÄN</t>
        </is>
      </c>
      <c r="E1226" t="inlineStr">
        <is>
          <t>ÅSELE</t>
        </is>
      </c>
      <c r="G1226" t="n">
        <v>4.2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3250-2025</t>
        </is>
      </c>
      <c r="B1227" s="1" t="n">
        <v>45679</v>
      </c>
      <c r="C1227" s="1" t="n">
        <v>45734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3199-2025</t>
        </is>
      </c>
      <c r="B1228" s="1" t="n">
        <v>45679</v>
      </c>
      <c r="C1228" s="1" t="n">
        <v>45734</v>
      </c>
      <c r="D1228" t="inlineStr">
        <is>
          <t>VÄSTERBOTTENS LÄN</t>
        </is>
      </c>
      <c r="E1228" t="inlineStr">
        <is>
          <t>ÅSELE</t>
        </is>
      </c>
      <c r="G1228" t="n">
        <v>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4078-2025</t>
        </is>
      </c>
      <c r="B1229" s="1" t="n">
        <v>45684</v>
      </c>
      <c r="C1229" s="1" t="n">
        <v>45734</v>
      </c>
      <c r="D1229" t="inlineStr">
        <is>
          <t>VÄSTERBOTTENS LÄN</t>
        </is>
      </c>
      <c r="E1229" t="inlineStr">
        <is>
          <t>ÅSELE</t>
        </is>
      </c>
      <c r="G1229" t="n">
        <v>2.4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4511-2025</t>
        </is>
      </c>
      <c r="B1230" s="1" t="n">
        <v>45686</v>
      </c>
      <c r="C1230" s="1" t="n">
        <v>45734</v>
      </c>
      <c r="D1230" t="inlineStr">
        <is>
          <t>VÄSTERBOTTENS LÄN</t>
        </is>
      </c>
      <c r="E1230" t="inlineStr">
        <is>
          <t>ÅSELE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5112-2025</t>
        </is>
      </c>
      <c r="B1231" s="1" t="n">
        <v>45691</v>
      </c>
      <c r="C1231" s="1" t="n">
        <v>45734</v>
      </c>
      <c r="D1231" t="inlineStr">
        <is>
          <t>VÄSTERBOTTENS LÄN</t>
        </is>
      </c>
      <c r="E1231" t="inlineStr">
        <is>
          <t>ÅSELE</t>
        </is>
      </c>
      <c r="G1231" t="n">
        <v>3.2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6326-2025</t>
        </is>
      </c>
      <c r="B1232" s="1" t="n">
        <v>45698</v>
      </c>
      <c r="C1232" s="1" t="n">
        <v>45734</v>
      </c>
      <c r="D1232" t="inlineStr">
        <is>
          <t>VÄSTERBOTTENS LÄN</t>
        </is>
      </c>
      <c r="E1232" t="inlineStr">
        <is>
          <t>ÅSELE</t>
        </is>
      </c>
      <c r="G1232" t="n">
        <v>4.4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6283-2025</t>
        </is>
      </c>
      <c r="B1233" s="1" t="n">
        <v>45698</v>
      </c>
      <c r="C1233" s="1" t="n">
        <v>45734</v>
      </c>
      <c r="D1233" t="inlineStr">
        <is>
          <t>VÄSTERBOTTENS LÄN</t>
        </is>
      </c>
      <c r="E1233" t="inlineStr">
        <is>
          <t>ÅSELE</t>
        </is>
      </c>
      <c r="F1233" t="inlineStr">
        <is>
          <t>SCA</t>
        </is>
      </c>
      <c r="G1233" t="n">
        <v>3.6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7621-2025</t>
        </is>
      </c>
      <c r="B1234" s="1" t="n">
        <v>45705</v>
      </c>
      <c r="C1234" s="1" t="n">
        <v>45734</v>
      </c>
      <c r="D1234" t="inlineStr">
        <is>
          <t>VÄSTERBOTTENS LÄN</t>
        </is>
      </c>
      <c r="E1234" t="inlineStr">
        <is>
          <t>ÅSELE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7475-2025</t>
        </is>
      </c>
      <c r="B1235" s="1" t="n">
        <v>45705</v>
      </c>
      <c r="C1235" s="1" t="n">
        <v>45734</v>
      </c>
      <c r="D1235" t="inlineStr">
        <is>
          <t>VÄSTERBOTTENS LÄN</t>
        </is>
      </c>
      <c r="E1235" t="inlineStr">
        <is>
          <t>ÅSELE</t>
        </is>
      </c>
      <c r="G1235" t="n">
        <v>4.4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7577-2025</t>
        </is>
      </c>
      <c r="B1236" s="1" t="n">
        <v>45705</v>
      </c>
      <c r="C1236" s="1" t="n">
        <v>45734</v>
      </c>
      <c r="D1236" t="inlineStr">
        <is>
          <t>VÄSTERBOTTENS LÄN</t>
        </is>
      </c>
      <c r="E1236" t="inlineStr">
        <is>
          <t>ÅSELE</t>
        </is>
      </c>
      <c r="F1236" t="inlineStr">
        <is>
          <t>Holmen skog AB</t>
        </is>
      </c>
      <c r="G1236" t="n">
        <v>2.5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7498-2025</t>
        </is>
      </c>
      <c r="B1237" s="1" t="n">
        <v>45705</v>
      </c>
      <c r="C1237" s="1" t="n">
        <v>45734</v>
      </c>
      <c r="D1237" t="inlineStr">
        <is>
          <t>VÄSTERBOTTENS LÄN</t>
        </is>
      </c>
      <c r="E1237" t="inlineStr">
        <is>
          <t>ÅSELE</t>
        </is>
      </c>
      <c r="F1237" t="inlineStr">
        <is>
          <t>Holmen skog AB</t>
        </is>
      </c>
      <c r="G1237" t="n">
        <v>10.1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7706-2025</t>
        </is>
      </c>
      <c r="B1238" s="1" t="n">
        <v>45706</v>
      </c>
      <c r="C1238" s="1" t="n">
        <v>45734</v>
      </c>
      <c r="D1238" t="inlineStr">
        <is>
          <t>VÄSTERBOTTENS LÄN</t>
        </is>
      </c>
      <c r="E1238" t="inlineStr">
        <is>
          <t>ÅSELE</t>
        </is>
      </c>
      <c r="F1238" t="inlineStr">
        <is>
          <t>Sveaskog</t>
        </is>
      </c>
      <c r="G1238" t="n">
        <v>24.8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7817-2025</t>
        </is>
      </c>
      <c r="B1239" s="1" t="n">
        <v>45706</v>
      </c>
      <c r="C1239" s="1" t="n">
        <v>45734</v>
      </c>
      <c r="D1239" t="inlineStr">
        <is>
          <t>VÄSTERBOTTENS LÄN</t>
        </is>
      </c>
      <c r="E1239" t="inlineStr">
        <is>
          <t>ÅSELE</t>
        </is>
      </c>
      <c r="F1239" t="inlineStr">
        <is>
          <t>Holmen skog AB</t>
        </is>
      </c>
      <c r="G1239" t="n">
        <v>1.6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8391-2025</t>
        </is>
      </c>
      <c r="B1240" s="1" t="n">
        <v>45709</v>
      </c>
      <c r="C1240" s="1" t="n">
        <v>45734</v>
      </c>
      <c r="D1240" t="inlineStr">
        <is>
          <t>VÄSTERBOTTENS LÄN</t>
        </is>
      </c>
      <c r="E1240" t="inlineStr">
        <is>
          <t>ÅSELE</t>
        </is>
      </c>
      <c r="F1240" t="inlineStr">
        <is>
          <t>SCA</t>
        </is>
      </c>
      <c r="G1240" t="n">
        <v>3.9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8722-2025</t>
        </is>
      </c>
      <c r="B1241" s="1" t="n">
        <v>45712</v>
      </c>
      <c r="C1241" s="1" t="n">
        <v>45734</v>
      </c>
      <c r="D1241" t="inlineStr">
        <is>
          <t>VÄSTERBOTTENS LÄN</t>
        </is>
      </c>
      <c r="E1241" t="inlineStr">
        <is>
          <t>ÅSELE</t>
        </is>
      </c>
      <c r="F1241" t="inlineStr">
        <is>
          <t>SCA</t>
        </is>
      </c>
      <c r="G1241" t="n">
        <v>2.7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8723-2025</t>
        </is>
      </c>
      <c r="B1242" s="1" t="n">
        <v>45712</v>
      </c>
      <c r="C1242" s="1" t="n">
        <v>45734</v>
      </c>
      <c r="D1242" t="inlineStr">
        <is>
          <t>VÄSTERBOTTENS LÄN</t>
        </is>
      </c>
      <c r="E1242" t="inlineStr">
        <is>
          <t>ÅSELE</t>
        </is>
      </c>
      <c r="F1242" t="inlineStr">
        <is>
          <t>SCA</t>
        </is>
      </c>
      <c r="G1242" t="n">
        <v>6.5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8661-2025</t>
        </is>
      </c>
      <c r="B1243" s="1" t="n">
        <v>45712</v>
      </c>
      <c r="C1243" s="1" t="n">
        <v>45734</v>
      </c>
      <c r="D1243" t="inlineStr">
        <is>
          <t>VÄSTERBOTTENS LÄN</t>
        </is>
      </c>
      <c r="E1243" t="inlineStr">
        <is>
          <t>ÅSELE</t>
        </is>
      </c>
      <c r="F1243" t="inlineStr">
        <is>
          <t>Naturvårdsverket</t>
        </is>
      </c>
      <c r="G1243" t="n">
        <v>4.2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8724-2025</t>
        </is>
      </c>
      <c r="B1244" s="1" t="n">
        <v>45712</v>
      </c>
      <c r="C1244" s="1" t="n">
        <v>45734</v>
      </c>
      <c r="D1244" t="inlineStr">
        <is>
          <t>VÄSTERBOTTENS LÄN</t>
        </is>
      </c>
      <c r="E1244" t="inlineStr">
        <is>
          <t>ÅSELE</t>
        </is>
      </c>
      <c r="F1244" t="inlineStr">
        <is>
          <t>SCA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8855-2025</t>
        </is>
      </c>
      <c r="B1245" s="1" t="n">
        <v>45713</v>
      </c>
      <c r="C1245" s="1" t="n">
        <v>45734</v>
      </c>
      <c r="D1245" t="inlineStr">
        <is>
          <t>VÄSTERBOTTENS LÄN</t>
        </is>
      </c>
      <c r="E1245" t="inlineStr">
        <is>
          <t>ÅSELE</t>
        </is>
      </c>
      <c r="G1245" t="n">
        <v>23.5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8964-2025</t>
        </is>
      </c>
      <c r="B1246" s="1" t="n">
        <v>45713</v>
      </c>
      <c r="C1246" s="1" t="n">
        <v>45734</v>
      </c>
      <c r="D1246" t="inlineStr">
        <is>
          <t>VÄSTERBOTTENS LÄN</t>
        </is>
      </c>
      <c r="E1246" t="inlineStr">
        <is>
          <t>ÅSELE</t>
        </is>
      </c>
      <c r="F1246" t="inlineStr">
        <is>
          <t>SCA</t>
        </is>
      </c>
      <c r="G1246" t="n">
        <v>20.5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9259-2025</t>
        </is>
      </c>
      <c r="B1247" s="1" t="n">
        <v>45714</v>
      </c>
      <c r="C1247" s="1" t="n">
        <v>45734</v>
      </c>
      <c r="D1247" t="inlineStr">
        <is>
          <t>VÄSTERBOTTENS LÄN</t>
        </is>
      </c>
      <c r="E1247" t="inlineStr">
        <is>
          <t>ÅSELE</t>
        </is>
      </c>
      <c r="G1247" t="n">
        <v>1.3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9848-2025</t>
        </is>
      </c>
      <c r="B1248" s="1" t="n">
        <v>45716</v>
      </c>
      <c r="C1248" s="1" t="n">
        <v>45734</v>
      </c>
      <c r="D1248" t="inlineStr">
        <is>
          <t>VÄSTERBOTTENS LÄN</t>
        </is>
      </c>
      <c r="E1248" t="inlineStr">
        <is>
          <t>ÅSELE</t>
        </is>
      </c>
      <c r="F1248" t="inlineStr">
        <is>
          <t>SCA</t>
        </is>
      </c>
      <c r="G1248" t="n">
        <v>24.3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10109-2025</t>
        </is>
      </c>
      <c r="B1249" s="1" t="n">
        <v>45719</v>
      </c>
      <c r="C1249" s="1" t="n">
        <v>45734</v>
      </c>
      <c r="D1249" t="inlineStr">
        <is>
          <t>VÄSTERBOTTENS LÄN</t>
        </is>
      </c>
      <c r="E1249" t="inlineStr">
        <is>
          <t>ÅSELE</t>
        </is>
      </c>
      <c r="G1249" t="n">
        <v>3.6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10381-2025</t>
        </is>
      </c>
      <c r="B1250" s="1" t="n">
        <v>45720</v>
      </c>
      <c r="C1250" s="1" t="n">
        <v>45734</v>
      </c>
      <c r="D1250" t="inlineStr">
        <is>
          <t>VÄSTERBOTTENS LÄN</t>
        </is>
      </c>
      <c r="E1250" t="inlineStr">
        <is>
          <t>ÅSELE</t>
        </is>
      </c>
      <c r="F1250" t="inlineStr">
        <is>
          <t>SCA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10360-2025</t>
        </is>
      </c>
      <c r="B1251" s="1" t="n">
        <v>45720</v>
      </c>
      <c r="C1251" s="1" t="n">
        <v>45734</v>
      </c>
      <c r="D1251" t="inlineStr">
        <is>
          <t>VÄSTERBOTTENS LÄN</t>
        </is>
      </c>
      <c r="E1251" t="inlineStr">
        <is>
          <t>ÅSELE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11072-2025</t>
        </is>
      </c>
      <c r="B1252" s="1" t="n">
        <v>45723</v>
      </c>
      <c r="C1252" s="1" t="n">
        <v>45734</v>
      </c>
      <c r="D1252" t="inlineStr">
        <is>
          <t>VÄSTERBOTTENS LÄN</t>
        </is>
      </c>
      <c r="E1252" t="inlineStr">
        <is>
          <t>ÅSELE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>
      <c r="A1253" t="inlineStr">
        <is>
          <t>A 11896-2025</t>
        </is>
      </c>
      <c r="B1253" s="1" t="n">
        <v>45728</v>
      </c>
      <c r="C1253" s="1" t="n">
        <v>45734</v>
      </c>
      <c r="D1253" t="inlineStr">
        <is>
          <t>VÄSTERBOTTENS LÄN</t>
        </is>
      </c>
      <c r="E1253" t="inlineStr">
        <is>
          <t>ÅSELE</t>
        </is>
      </c>
      <c r="F1253" t="inlineStr">
        <is>
          <t>SCA</t>
        </is>
      </c>
      <c r="G1253" t="n">
        <v>8.6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2025-03-18T15:35:18Z</dcterms:created>
  <dcterms:modified xmlns:dcterms="http://purl.org/dc/terms/" xmlns:xsi="http://www.w3.org/2001/XMLSchema-instance" xsi:type="dcterms:W3CDTF">2025-03-18T15:35:19Z</dcterms:modified>
</cp:coreProperties>
</file>