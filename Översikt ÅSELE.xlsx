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45883</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45883</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45883</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45883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45883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45883</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45883</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45883</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45883</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45883</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45883</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45883</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45883</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45883</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45883</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42046-2023</t>
        </is>
      </c>
      <c r="B17" s="1" t="n">
        <v>45177</v>
      </c>
      <c r="C17" s="1" t="n">
        <v>45883</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54340-2024</t>
        </is>
      </c>
      <c r="B18" s="1" t="n">
        <v>45617</v>
      </c>
      <c r="C18" s="1" t="n">
        <v>45883</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45883</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8655-2024</t>
        </is>
      </c>
      <c r="B20" s="1" t="n">
        <v>45356</v>
      </c>
      <c r="C20" s="1" t="n">
        <v>45883</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45883</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45883</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45883</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45883</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45883</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45883</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45883</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26136-2025</t>
        </is>
      </c>
      <c r="B28" s="1" t="n">
        <v>45805.41388888889</v>
      </c>
      <c r="C28" s="1" t="n">
        <v>45883</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22110-2024</t>
        </is>
      </c>
      <c r="B29" s="1" t="n">
        <v>45443</v>
      </c>
      <c r="C29" s="1" t="n">
        <v>45883</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25712-2024</t>
        </is>
      </c>
      <c r="B30" s="1" t="n">
        <v>45463</v>
      </c>
      <c r="C30" s="1" t="n">
        <v>45883</v>
      </c>
      <c r="D30" t="inlineStr">
        <is>
          <t>VÄSTERBOTTENS LÄN</t>
        </is>
      </c>
      <c r="E30" t="inlineStr">
        <is>
          <t>ÅSELE</t>
        </is>
      </c>
      <c r="F30" t="inlineStr">
        <is>
          <t>SCA</t>
        </is>
      </c>
      <c r="G30" t="n">
        <v>3.3</v>
      </c>
      <c r="H30" t="n">
        <v>0</v>
      </c>
      <c r="I30" t="n">
        <v>1</v>
      </c>
      <c r="J30" t="n">
        <v>1</v>
      </c>
      <c r="K30" t="n">
        <v>0</v>
      </c>
      <c r="L30" t="n">
        <v>0</v>
      </c>
      <c r="M30" t="n">
        <v>0</v>
      </c>
      <c r="N30" t="n">
        <v>0</v>
      </c>
      <c r="O30" t="n">
        <v>1</v>
      </c>
      <c r="P30" t="n">
        <v>0</v>
      </c>
      <c r="Q30" t="n">
        <v>2</v>
      </c>
      <c r="R30" s="2" t="inlineStr">
        <is>
          <t>Lunglav
Stuplav</t>
        </is>
      </c>
      <c r="S30">
        <f>HYPERLINK("https://klasma.github.io/Logging_2463/artfynd/A 25712-2024 artfynd.xlsx", "A 25712-2024")</f>
        <v/>
      </c>
      <c r="T30">
        <f>HYPERLINK("https://klasma.github.io/Logging_2463/kartor/A 25712-2024 karta.png", "A 25712-2024")</f>
        <v/>
      </c>
      <c r="V30">
        <f>HYPERLINK("https://klasma.github.io/Logging_2463/klagomål/A 25712-2024 FSC-klagomål.docx", "A 25712-2024")</f>
        <v/>
      </c>
      <c r="W30">
        <f>HYPERLINK("https://klasma.github.io/Logging_2463/klagomålsmail/A 25712-2024 FSC-klagomål mail.docx", "A 25712-2024")</f>
        <v/>
      </c>
      <c r="X30">
        <f>HYPERLINK("https://klasma.github.io/Logging_2463/tillsyn/A 25712-2024 tillsynsbegäran.docx", "A 25712-2024")</f>
        <v/>
      </c>
      <c r="Y30">
        <f>HYPERLINK("https://klasma.github.io/Logging_2463/tillsynsmail/A 25712-2024 tillsynsbegäran mail.docx", "A 25712-2024")</f>
        <v/>
      </c>
    </row>
    <row r="31" ht="15" customHeight="1">
      <c r="A31" t="inlineStr">
        <is>
          <t>A 10292-2023</t>
        </is>
      </c>
      <c r="B31" s="1" t="n">
        <v>44986</v>
      </c>
      <c r="C31" s="1" t="n">
        <v>45883</v>
      </c>
      <c r="D31" t="inlineStr">
        <is>
          <t>VÄSTERBOTTENS LÄN</t>
        </is>
      </c>
      <c r="E31" t="inlineStr">
        <is>
          <t>ÅSELE</t>
        </is>
      </c>
      <c r="F31" t="inlineStr">
        <is>
          <t>SCA</t>
        </is>
      </c>
      <c r="G31" t="n">
        <v>22.4</v>
      </c>
      <c r="H31" t="n">
        <v>0</v>
      </c>
      <c r="I31" t="n">
        <v>0</v>
      </c>
      <c r="J31" t="n">
        <v>2</v>
      </c>
      <c r="K31" t="n">
        <v>0</v>
      </c>
      <c r="L31" t="n">
        <v>0</v>
      </c>
      <c r="M31" t="n">
        <v>0</v>
      </c>
      <c r="N31" t="n">
        <v>0</v>
      </c>
      <c r="O31" t="n">
        <v>2</v>
      </c>
      <c r="P31" t="n">
        <v>0</v>
      </c>
      <c r="Q31" t="n">
        <v>2</v>
      </c>
      <c r="R31" s="2" t="inlineStr">
        <is>
          <t>Granticka
Lunglav</t>
        </is>
      </c>
      <c r="S31">
        <f>HYPERLINK("https://klasma.github.io/Logging_2463/artfynd/A 10292-2023 artfynd.xlsx", "A 10292-2023")</f>
        <v/>
      </c>
      <c r="T31">
        <f>HYPERLINK("https://klasma.github.io/Logging_2463/kartor/A 10292-2023 karta.png", "A 10292-2023")</f>
        <v/>
      </c>
      <c r="V31">
        <f>HYPERLINK("https://klasma.github.io/Logging_2463/klagomål/A 10292-2023 FSC-klagomål.docx", "A 10292-2023")</f>
        <v/>
      </c>
      <c r="W31">
        <f>HYPERLINK("https://klasma.github.io/Logging_2463/klagomålsmail/A 10292-2023 FSC-klagomål mail.docx", "A 10292-2023")</f>
        <v/>
      </c>
      <c r="X31">
        <f>HYPERLINK("https://klasma.github.io/Logging_2463/tillsyn/A 10292-2023 tillsynsbegäran.docx", "A 10292-2023")</f>
        <v/>
      </c>
      <c r="Y31">
        <f>HYPERLINK("https://klasma.github.io/Logging_2463/tillsynsmail/A 10292-2023 tillsynsbegäran mail.docx", "A 10292-2023")</f>
        <v/>
      </c>
    </row>
    <row r="32" ht="15" customHeight="1">
      <c r="A32" t="inlineStr">
        <is>
          <t>A 10546-2023</t>
        </is>
      </c>
      <c r="B32" s="1" t="n">
        <v>44987</v>
      </c>
      <c r="C32" s="1" t="n">
        <v>45883</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15081-2023</t>
        </is>
      </c>
      <c r="B33" s="1" t="n">
        <v>45016.07569444444</v>
      </c>
      <c r="C33" s="1" t="n">
        <v>45883</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40328-2022</t>
        </is>
      </c>
      <c r="B34" s="1" t="n">
        <v>44823</v>
      </c>
      <c r="C34" s="1" t="n">
        <v>45883</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45883</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45883</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54741-2023</t>
        </is>
      </c>
      <c r="B37" s="1" t="n">
        <v>45236.40642361111</v>
      </c>
      <c r="C37" s="1" t="n">
        <v>45883</v>
      </c>
      <c r="D37" t="inlineStr">
        <is>
          <t>VÄSTERBOTTENS LÄN</t>
        </is>
      </c>
      <c r="E37" t="inlineStr">
        <is>
          <t>ÅSELE</t>
        </is>
      </c>
      <c r="F37" t="inlineStr">
        <is>
          <t>Sveaskog</t>
        </is>
      </c>
      <c r="G37" t="n">
        <v>23.4</v>
      </c>
      <c r="H37" t="n">
        <v>0</v>
      </c>
      <c r="I37" t="n">
        <v>0</v>
      </c>
      <c r="J37" t="n">
        <v>1</v>
      </c>
      <c r="K37" t="n">
        <v>0</v>
      </c>
      <c r="L37" t="n">
        <v>0</v>
      </c>
      <c r="M37" t="n">
        <v>0</v>
      </c>
      <c r="N37" t="n">
        <v>0</v>
      </c>
      <c r="O37" t="n">
        <v>1</v>
      </c>
      <c r="P37" t="n">
        <v>0</v>
      </c>
      <c r="Q37" t="n">
        <v>1</v>
      </c>
      <c r="R37" s="2" t="inlineStr">
        <is>
          <t>Garnlav</t>
        </is>
      </c>
      <c r="S37">
        <f>HYPERLINK("https://klasma.github.io/Logging_2463/artfynd/A 54741-2023 artfynd.xlsx", "A 54741-2023")</f>
        <v/>
      </c>
      <c r="T37">
        <f>HYPERLINK("https://klasma.github.io/Logging_2463/kartor/A 54741-2023 karta.png", "A 54741-2023")</f>
        <v/>
      </c>
      <c r="V37">
        <f>HYPERLINK("https://klasma.github.io/Logging_2463/klagomål/A 54741-2023 FSC-klagomål.docx", "A 54741-2023")</f>
        <v/>
      </c>
      <c r="W37">
        <f>HYPERLINK("https://klasma.github.io/Logging_2463/klagomålsmail/A 54741-2023 FSC-klagomål mail.docx", "A 54741-2023")</f>
        <v/>
      </c>
      <c r="X37">
        <f>HYPERLINK("https://klasma.github.io/Logging_2463/tillsyn/A 54741-2023 tillsynsbegäran.docx", "A 54741-2023")</f>
        <v/>
      </c>
      <c r="Y37">
        <f>HYPERLINK("https://klasma.github.io/Logging_2463/tillsynsmail/A 54741-2023 tillsynsbegäran mail.docx", "A 54741-2023")</f>
        <v/>
      </c>
    </row>
    <row r="38" ht="15" customHeight="1">
      <c r="A38" t="inlineStr">
        <is>
          <t>A 31518-2024</t>
        </is>
      </c>
      <c r="B38" s="1" t="n">
        <v>45505</v>
      </c>
      <c r="C38" s="1" t="n">
        <v>45883</v>
      </c>
      <c r="D38" t="inlineStr">
        <is>
          <t>VÄSTERBOTTENS LÄN</t>
        </is>
      </c>
      <c r="E38" t="inlineStr">
        <is>
          <t>ÅSELE</t>
        </is>
      </c>
      <c r="F38" t="inlineStr">
        <is>
          <t>SCA</t>
        </is>
      </c>
      <c r="G38" t="n">
        <v>5.4</v>
      </c>
      <c r="H38" t="n">
        <v>0</v>
      </c>
      <c r="I38" t="n">
        <v>0</v>
      </c>
      <c r="J38" t="n">
        <v>1</v>
      </c>
      <c r="K38" t="n">
        <v>0</v>
      </c>
      <c r="L38" t="n">
        <v>0</v>
      </c>
      <c r="M38" t="n">
        <v>0</v>
      </c>
      <c r="N38" t="n">
        <v>0</v>
      </c>
      <c r="O38" t="n">
        <v>1</v>
      </c>
      <c r="P38" t="n">
        <v>0</v>
      </c>
      <c r="Q38" t="n">
        <v>1</v>
      </c>
      <c r="R38" s="2" t="inlineStr">
        <is>
          <t>Garnlav</t>
        </is>
      </c>
      <c r="S38">
        <f>HYPERLINK("https://klasma.github.io/Logging_2463/artfynd/A 31518-2024 artfynd.xlsx", "A 31518-2024")</f>
        <v/>
      </c>
      <c r="T38">
        <f>HYPERLINK("https://klasma.github.io/Logging_2463/kartor/A 31518-2024 karta.png", "A 31518-2024")</f>
        <v/>
      </c>
      <c r="V38">
        <f>HYPERLINK("https://klasma.github.io/Logging_2463/klagomål/A 31518-2024 FSC-klagomål.docx", "A 31518-2024")</f>
        <v/>
      </c>
      <c r="W38">
        <f>HYPERLINK("https://klasma.github.io/Logging_2463/klagomålsmail/A 31518-2024 FSC-klagomål mail.docx", "A 31518-2024")</f>
        <v/>
      </c>
      <c r="X38">
        <f>HYPERLINK("https://klasma.github.io/Logging_2463/tillsyn/A 31518-2024 tillsynsbegäran.docx", "A 31518-2024")</f>
        <v/>
      </c>
      <c r="Y38">
        <f>HYPERLINK("https://klasma.github.io/Logging_2463/tillsynsmail/A 31518-2024 tillsynsbegäran mail.docx", "A 31518-2024")</f>
        <v/>
      </c>
    </row>
    <row r="39" ht="15" customHeight="1">
      <c r="A39" t="inlineStr">
        <is>
          <t>A 39556-2024</t>
        </is>
      </c>
      <c r="B39" s="1" t="n">
        <v>45552</v>
      </c>
      <c r="C39" s="1" t="n">
        <v>45883</v>
      </c>
      <c r="D39" t="inlineStr">
        <is>
          <t>VÄSTERBOTTENS LÄN</t>
        </is>
      </c>
      <c r="E39" t="inlineStr">
        <is>
          <t>ÅSELE</t>
        </is>
      </c>
      <c r="F39" t="inlineStr">
        <is>
          <t>Sveaskog</t>
        </is>
      </c>
      <c r="G39" t="n">
        <v>13.9</v>
      </c>
      <c r="H39" t="n">
        <v>0</v>
      </c>
      <c r="I39" t="n">
        <v>0</v>
      </c>
      <c r="J39" t="n">
        <v>1</v>
      </c>
      <c r="K39" t="n">
        <v>0</v>
      </c>
      <c r="L39" t="n">
        <v>0</v>
      </c>
      <c r="M39" t="n">
        <v>0</v>
      </c>
      <c r="N39" t="n">
        <v>0</v>
      </c>
      <c r="O39" t="n">
        <v>1</v>
      </c>
      <c r="P39" t="n">
        <v>0</v>
      </c>
      <c r="Q39" t="n">
        <v>1</v>
      </c>
      <c r="R39" s="2" t="inlineStr">
        <is>
          <t>Garnlav</t>
        </is>
      </c>
      <c r="S39">
        <f>HYPERLINK("https://klasma.github.io/Logging_2463/artfynd/A 39556-2024 artfynd.xlsx", "A 39556-2024")</f>
        <v/>
      </c>
      <c r="T39">
        <f>HYPERLINK("https://klasma.github.io/Logging_2463/kartor/A 39556-2024 karta.png", "A 39556-2024")</f>
        <v/>
      </c>
      <c r="V39">
        <f>HYPERLINK("https://klasma.github.io/Logging_2463/klagomål/A 39556-2024 FSC-klagomål.docx", "A 39556-2024")</f>
        <v/>
      </c>
      <c r="W39">
        <f>HYPERLINK("https://klasma.github.io/Logging_2463/klagomålsmail/A 39556-2024 FSC-klagomål mail.docx", "A 39556-2024")</f>
        <v/>
      </c>
      <c r="X39">
        <f>HYPERLINK("https://klasma.github.io/Logging_2463/tillsyn/A 39556-2024 tillsynsbegäran.docx", "A 39556-2024")</f>
        <v/>
      </c>
      <c r="Y39">
        <f>HYPERLINK("https://klasma.github.io/Logging_2463/tillsynsmail/A 39556-2024 tillsynsbegäran mail.docx", "A 39556-2024")</f>
        <v/>
      </c>
    </row>
    <row r="40" ht="15" customHeight="1">
      <c r="A40" t="inlineStr">
        <is>
          <t>A 26897-2023</t>
        </is>
      </c>
      <c r="B40" s="1" t="n">
        <v>45093.60384259259</v>
      </c>
      <c r="C40" s="1" t="n">
        <v>45883</v>
      </c>
      <c r="D40" t="inlineStr">
        <is>
          <t>VÄSTERBOTTENS LÄN</t>
        </is>
      </c>
      <c r="E40" t="inlineStr">
        <is>
          <t>ÅSELE</t>
        </is>
      </c>
      <c r="F40" t="inlineStr">
        <is>
          <t>Sveaskog</t>
        </is>
      </c>
      <c r="G40" t="n">
        <v>15</v>
      </c>
      <c r="H40" t="n">
        <v>1</v>
      </c>
      <c r="I40" t="n">
        <v>0</v>
      </c>
      <c r="J40" t="n">
        <v>1</v>
      </c>
      <c r="K40" t="n">
        <v>0</v>
      </c>
      <c r="L40" t="n">
        <v>0</v>
      </c>
      <c r="M40" t="n">
        <v>0</v>
      </c>
      <c r="N40" t="n">
        <v>0</v>
      </c>
      <c r="O40" t="n">
        <v>1</v>
      </c>
      <c r="P40" t="n">
        <v>0</v>
      </c>
      <c r="Q40" t="n">
        <v>1</v>
      </c>
      <c r="R40" s="2" t="inlineStr">
        <is>
          <t>Talltita</t>
        </is>
      </c>
      <c r="S40">
        <f>HYPERLINK("https://klasma.github.io/Logging_2463/artfynd/A 26897-2023 artfynd.xlsx", "A 26897-2023")</f>
        <v/>
      </c>
      <c r="T40">
        <f>HYPERLINK("https://klasma.github.io/Logging_2463/kartor/A 26897-2023 karta.png", "A 26897-2023")</f>
        <v/>
      </c>
      <c r="V40">
        <f>HYPERLINK("https://klasma.github.io/Logging_2463/klagomål/A 26897-2023 FSC-klagomål.docx", "A 26897-2023")</f>
        <v/>
      </c>
      <c r="W40">
        <f>HYPERLINK("https://klasma.github.io/Logging_2463/klagomålsmail/A 26897-2023 FSC-klagomål mail.docx", "A 26897-2023")</f>
        <v/>
      </c>
      <c r="X40">
        <f>HYPERLINK("https://klasma.github.io/Logging_2463/tillsyn/A 26897-2023 tillsynsbegäran.docx", "A 26897-2023")</f>
        <v/>
      </c>
      <c r="Y40">
        <f>HYPERLINK("https://klasma.github.io/Logging_2463/tillsynsmail/A 26897-2023 tillsynsbegäran mail.docx", "A 26897-2023")</f>
        <v/>
      </c>
      <c r="Z40">
        <f>HYPERLINK("https://klasma.github.io/Logging_2463/fåglar/A 26897-2023 prioriterade fågelarter.docx", "A 26897-2023")</f>
        <v/>
      </c>
    </row>
    <row r="41" ht="15" customHeight="1">
      <c r="A41" t="inlineStr">
        <is>
          <t>A 18000-2025</t>
        </is>
      </c>
      <c r="B41" s="1" t="n">
        <v>45761</v>
      </c>
      <c r="C41" s="1" t="n">
        <v>45883</v>
      </c>
      <c r="D41" t="inlineStr">
        <is>
          <t>VÄSTERBOTTENS LÄN</t>
        </is>
      </c>
      <c r="E41" t="inlineStr">
        <is>
          <t>ÅSELE</t>
        </is>
      </c>
      <c r="G41" t="n">
        <v>4.2</v>
      </c>
      <c r="H41" t="n">
        <v>0</v>
      </c>
      <c r="I41" t="n">
        <v>0</v>
      </c>
      <c r="J41" t="n">
        <v>1</v>
      </c>
      <c r="K41" t="n">
        <v>0</v>
      </c>
      <c r="L41" t="n">
        <v>0</v>
      </c>
      <c r="M41" t="n">
        <v>0</v>
      </c>
      <c r="N41" t="n">
        <v>0</v>
      </c>
      <c r="O41" t="n">
        <v>1</v>
      </c>
      <c r="P41" t="n">
        <v>0</v>
      </c>
      <c r="Q41" t="n">
        <v>1</v>
      </c>
      <c r="R41" s="2" t="inlineStr">
        <is>
          <t>Månlåsbräken</t>
        </is>
      </c>
      <c r="S41">
        <f>HYPERLINK("https://klasma.github.io/Logging_2463/artfynd/A 18000-2025 artfynd.xlsx", "A 18000-2025")</f>
        <v/>
      </c>
      <c r="T41">
        <f>HYPERLINK("https://klasma.github.io/Logging_2463/kartor/A 18000-2025 karta.png", "A 18000-2025")</f>
        <v/>
      </c>
      <c r="V41">
        <f>HYPERLINK("https://klasma.github.io/Logging_2463/klagomål/A 18000-2025 FSC-klagomål.docx", "A 18000-2025")</f>
        <v/>
      </c>
      <c r="W41">
        <f>HYPERLINK("https://klasma.github.io/Logging_2463/klagomålsmail/A 18000-2025 FSC-klagomål mail.docx", "A 18000-2025")</f>
        <v/>
      </c>
      <c r="X41">
        <f>HYPERLINK("https://klasma.github.io/Logging_2463/tillsyn/A 18000-2025 tillsynsbegäran.docx", "A 18000-2025")</f>
        <v/>
      </c>
      <c r="Y41">
        <f>HYPERLINK("https://klasma.github.io/Logging_2463/tillsynsmail/A 18000-2025 tillsynsbegäran mail.docx", "A 18000-2025")</f>
        <v/>
      </c>
    </row>
    <row r="42" ht="15" customHeight="1">
      <c r="A42" t="inlineStr">
        <is>
          <t>A 26867-2025</t>
        </is>
      </c>
      <c r="B42" s="1" t="n">
        <v>45810</v>
      </c>
      <c r="C42" s="1" t="n">
        <v>45883</v>
      </c>
      <c r="D42" t="inlineStr">
        <is>
          <t>VÄSTERBOTTENS LÄN</t>
        </is>
      </c>
      <c r="E42" t="inlineStr">
        <is>
          <t>ÅSELE</t>
        </is>
      </c>
      <c r="F42" t="inlineStr">
        <is>
          <t>SCA</t>
        </is>
      </c>
      <c r="G42" t="n">
        <v>1.6</v>
      </c>
      <c r="H42" t="n">
        <v>1</v>
      </c>
      <c r="I42" t="n">
        <v>0</v>
      </c>
      <c r="J42" t="n">
        <v>0</v>
      </c>
      <c r="K42" t="n">
        <v>1</v>
      </c>
      <c r="L42" t="n">
        <v>0</v>
      </c>
      <c r="M42" t="n">
        <v>0</v>
      </c>
      <c r="N42" t="n">
        <v>0</v>
      </c>
      <c r="O42" t="n">
        <v>1</v>
      </c>
      <c r="P42" t="n">
        <v>1</v>
      </c>
      <c r="Q42" t="n">
        <v>1</v>
      </c>
      <c r="R42" s="2" t="inlineStr">
        <is>
          <t>Knärot</t>
        </is>
      </c>
      <c r="S42">
        <f>HYPERLINK("https://klasma.github.io/Logging_2463/artfynd/A 26867-2025 artfynd.xlsx", "A 26867-2025")</f>
        <v/>
      </c>
      <c r="T42">
        <f>HYPERLINK("https://klasma.github.io/Logging_2463/kartor/A 26867-2025 karta.png", "A 26867-2025")</f>
        <v/>
      </c>
      <c r="U42">
        <f>HYPERLINK("https://klasma.github.io/Logging_2463/knärot/A 26867-2025 karta knärot.png", "A 26867-2025")</f>
        <v/>
      </c>
      <c r="V42">
        <f>HYPERLINK("https://klasma.github.io/Logging_2463/klagomål/A 26867-2025 FSC-klagomål.docx", "A 26867-2025")</f>
        <v/>
      </c>
      <c r="W42">
        <f>HYPERLINK("https://klasma.github.io/Logging_2463/klagomålsmail/A 26867-2025 FSC-klagomål mail.docx", "A 26867-2025")</f>
        <v/>
      </c>
      <c r="X42">
        <f>HYPERLINK("https://klasma.github.io/Logging_2463/tillsyn/A 26867-2025 tillsynsbegäran.docx", "A 26867-2025")</f>
        <v/>
      </c>
      <c r="Y42">
        <f>HYPERLINK("https://klasma.github.io/Logging_2463/tillsynsmail/A 26867-2025 tillsynsbegäran mail.docx", "A 26867-2025")</f>
        <v/>
      </c>
    </row>
    <row r="43" ht="15" customHeight="1">
      <c r="A43" t="inlineStr">
        <is>
          <t>A 48743-2023</t>
        </is>
      </c>
      <c r="B43" s="1" t="n">
        <v>45208</v>
      </c>
      <c r="C43" s="1" t="n">
        <v>45883</v>
      </c>
      <c r="D43" t="inlineStr">
        <is>
          <t>VÄSTERBOTTENS LÄN</t>
        </is>
      </c>
      <c r="E43" t="inlineStr">
        <is>
          <t>ÅSELE</t>
        </is>
      </c>
      <c r="G43" t="n">
        <v>18.5</v>
      </c>
      <c r="H43" t="n">
        <v>0</v>
      </c>
      <c r="I43" t="n">
        <v>1</v>
      </c>
      <c r="J43" t="n">
        <v>0</v>
      </c>
      <c r="K43" t="n">
        <v>0</v>
      </c>
      <c r="L43" t="n">
        <v>0</v>
      </c>
      <c r="M43" t="n">
        <v>0</v>
      </c>
      <c r="N43" t="n">
        <v>0</v>
      </c>
      <c r="O43" t="n">
        <v>0</v>
      </c>
      <c r="P43" t="n">
        <v>0</v>
      </c>
      <c r="Q43" t="n">
        <v>1</v>
      </c>
      <c r="R43" s="2" t="inlineStr">
        <is>
          <t>Skinnlav</t>
        </is>
      </c>
      <c r="S43">
        <f>HYPERLINK("https://klasma.github.io/Logging_2463/artfynd/A 48743-2023 artfynd.xlsx", "A 48743-2023")</f>
        <v/>
      </c>
      <c r="T43">
        <f>HYPERLINK("https://klasma.github.io/Logging_2463/kartor/A 48743-2023 karta.png", "A 48743-2023")</f>
        <v/>
      </c>
      <c r="V43">
        <f>HYPERLINK("https://klasma.github.io/Logging_2463/klagomål/A 48743-2023 FSC-klagomål.docx", "A 48743-2023")</f>
        <v/>
      </c>
      <c r="W43">
        <f>HYPERLINK("https://klasma.github.io/Logging_2463/klagomålsmail/A 48743-2023 FSC-klagomål mail.docx", "A 48743-2023")</f>
        <v/>
      </c>
      <c r="X43">
        <f>HYPERLINK("https://klasma.github.io/Logging_2463/tillsyn/A 48743-2023 tillsynsbegäran.docx", "A 48743-2023")</f>
        <v/>
      </c>
      <c r="Y43">
        <f>HYPERLINK("https://klasma.github.io/Logging_2463/tillsynsmail/A 48743-2023 tillsynsbegäran mail.docx", "A 48743-2023")</f>
        <v/>
      </c>
    </row>
    <row r="44" ht="15" customHeight="1">
      <c r="A44" t="inlineStr">
        <is>
          <t>A 27106-2025</t>
        </is>
      </c>
      <c r="B44" s="1" t="n">
        <v>45811</v>
      </c>
      <c r="C44" s="1" t="n">
        <v>45883</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39380-2022</t>
        </is>
      </c>
      <c r="B45" s="1" t="n">
        <v>44817</v>
      </c>
      <c r="C45" s="1" t="n">
        <v>45883</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43459-2024</t>
        </is>
      </c>
      <c r="B46" s="1" t="n">
        <v>45568</v>
      </c>
      <c r="C46" s="1" t="n">
        <v>45883</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37568-2025</t>
        </is>
      </c>
      <c r="B47" s="1" t="n">
        <v>45880.3647337963</v>
      </c>
      <c r="C47" s="1" t="n">
        <v>45883</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42132-2024</t>
        </is>
      </c>
      <c r="B48" s="1" t="n">
        <v>45562</v>
      </c>
      <c r="C48" s="1" t="n">
        <v>45883</v>
      </c>
      <c r="D48" t="inlineStr">
        <is>
          <t>VÄSTERBOTTENS LÄN</t>
        </is>
      </c>
      <c r="E48" t="inlineStr">
        <is>
          <t>ÅSELE</t>
        </is>
      </c>
      <c r="F48" t="inlineStr">
        <is>
          <t>Holmen skog AB</t>
        </is>
      </c>
      <c r="G48" t="n">
        <v>18.5</v>
      </c>
      <c r="H48" t="n">
        <v>0</v>
      </c>
      <c r="I48" t="n">
        <v>0</v>
      </c>
      <c r="J48" t="n">
        <v>1</v>
      </c>
      <c r="K48" t="n">
        <v>0</v>
      </c>
      <c r="L48" t="n">
        <v>0</v>
      </c>
      <c r="M48" t="n">
        <v>0</v>
      </c>
      <c r="N48" t="n">
        <v>0</v>
      </c>
      <c r="O48" t="n">
        <v>1</v>
      </c>
      <c r="P48" t="n">
        <v>0</v>
      </c>
      <c r="Q48" t="n">
        <v>1</v>
      </c>
      <c r="R48" s="2" t="inlineStr">
        <is>
          <t>Kolflarnlav</t>
        </is>
      </c>
      <c r="S48">
        <f>HYPERLINK("https://klasma.github.io/Logging_2463/artfynd/A 42132-2024 artfynd.xlsx", "A 42132-2024")</f>
        <v/>
      </c>
      <c r="T48">
        <f>HYPERLINK("https://klasma.github.io/Logging_2463/kartor/A 42132-2024 karta.png", "A 42132-2024")</f>
        <v/>
      </c>
      <c r="V48">
        <f>HYPERLINK("https://klasma.github.io/Logging_2463/klagomål/A 42132-2024 FSC-klagomål.docx", "A 42132-2024")</f>
        <v/>
      </c>
      <c r="W48">
        <f>HYPERLINK("https://klasma.github.io/Logging_2463/klagomålsmail/A 42132-2024 FSC-klagomål mail.docx", "A 42132-2024")</f>
        <v/>
      </c>
      <c r="X48">
        <f>HYPERLINK("https://klasma.github.io/Logging_2463/tillsyn/A 42132-2024 tillsynsbegäran.docx", "A 42132-2024")</f>
        <v/>
      </c>
      <c r="Y48">
        <f>HYPERLINK("https://klasma.github.io/Logging_2463/tillsynsmail/A 42132-2024 tillsynsbegäran mail.docx", "A 42132-2024")</f>
        <v/>
      </c>
    </row>
    <row r="49" ht="15" customHeight="1">
      <c r="A49" t="inlineStr">
        <is>
          <t>A 27315-2021</t>
        </is>
      </c>
      <c r="B49" s="1" t="n">
        <v>44350</v>
      </c>
      <c r="C49" s="1" t="n">
        <v>45883</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45883</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45883</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45883</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45883</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45883</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45883</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45883</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45883</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45883</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45883</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45883</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45883</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45883</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45883</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45883</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45883</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45883</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45883</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45883</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29902-2022</t>
        </is>
      </c>
      <c r="B69" s="1" t="n">
        <v>44756.49922453704</v>
      </c>
      <c r="C69" s="1" t="n">
        <v>45883</v>
      </c>
      <c r="D69" t="inlineStr">
        <is>
          <t>VÄSTERBOTTENS LÄN</t>
        </is>
      </c>
      <c r="E69" t="inlineStr">
        <is>
          <t>ÅSELE</t>
        </is>
      </c>
      <c r="F69" t="inlineStr">
        <is>
          <t>Holmen skog AB</t>
        </is>
      </c>
      <c r="G69" t="n">
        <v>20.6</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45883</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45883</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45883</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45883</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45883</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45883</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45883</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45883</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45883</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45883</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45883</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57865-2020</t>
        </is>
      </c>
      <c r="B81" s="1" t="n">
        <v>44141</v>
      </c>
      <c r="C81" s="1" t="n">
        <v>45883</v>
      </c>
      <c r="D81" t="inlineStr">
        <is>
          <t>VÄSTERBOTTENS LÄN</t>
        </is>
      </c>
      <c r="E81" t="inlineStr">
        <is>
          <t>ÅSELE</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45883</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45883</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46856-2020</t>
        </is>
      </c>
      <c r="B84" s="1" t="n">
        <v>44089</v>
      </c>
      <c r="C84" s="1" t="n">
        <v>45883</v>
      </c>
      <c r="D84" t="inlineStr">
        <is>
          <t>VÄSTERBOTTENS LÄN</t>
        </is>
      </c>
      <c r="E84" t="inlineStr">
        <is>
          <t>ÅSELE</t>
        </is>
      </c>
      <c r="G84" t="n">
        <v>4.1</v>
      </c>
      <c r="H84" t="n">
        <v>0</v>
      </c>
      <c r="I84" t="n">
        <v>0</v>
      </c>
      <c r="J84" t="n">
        <v>0</v>
      </c>
      <c r="K84" t="n">
        <v>0</v>
      </c>
      <c r="L84" t="n">
        <v>0</v>
      </c>
      <c r="M84" t="n">
        <v>0</v>
      </c>
      <c r="N84" t="n">
        <v>0</v>
      </c>
      <c r="O84" t="n">
        <v>0</v>
      </c>
      <c r="P84" t="n">
        <v>0</v>
      </c>
      <c r="Q84" t="n">
        <v>0</v>
      </c>
      <c r="R84" s="2" t="inlineStr"/>
    </row>
    <row r="85" ht="15" customHeight="1">
      <c r="A85" t="inlineStr">
        <is>
          <t>A 46883-2020</t>
        </is>
      </c>
      <c r="B85" s="1" t="n">
        <v>44089</v>
      </c>
      <c r="C85" s="1" t="n">
        <v>45883</v>
      </c>
      <c r="D85" t="inlineStr">
        <is>
          <t>VÄSTERBOTTENS LÄN</t>
        </is>
      </c>
      <c r="E85" t="inlineStr">
        <is>
          <t>ÅSELE</t>
        </is>
      </c>
      <c r="G85" t="n">
        <v>3</v>
      </c>
      <c r="H85" t="n">
        <v>0</v>
      </c>
      <c r="I85" t="n">
        <v>0</v>
      </c>
      <c r="J85" t="n">
        <v>0</v>
      </c>
      <c r="K85" t="n">
        <v>0</v>
      </c>
      <c r="L85" t="n">
        <v>0</v>
      </c>
      <c r="M85" t="n">
        <v>0</v>
      </c>
      <c r="N85" t="n">
        <v>0</v>
      </c>
      <c r="O85" t="n">
        <v>0</v>
      </c>
      <c r="P85" t="n">
        <v>0</v>
      </c>
      <c r="Q85" t="n">
        <v>0</v>
      </c>
      <c r="R85" s="2" t="inlineStr"/>
    </row>
    <row r="86" ht="15" customHeight="1">
      <c r="A86" t="inlineStr">
        <is>
          <t>A 46913-2020</t>
        </is>
      </c>
      <c r="B86" s="1" t="n">
        <v>44090</v>
      </c>
      <c r="C86" s="1" t="n">
        <v>45883</v>
      </c>
      <c r="D86" t="inlineStr">
        <is>
          <t>VÄSTERBOTTENS LÄN</t>
        </is>
      </c>
      <c r="E86" t="inlineStr">
        <is>
          <t>ÅSELE</t>
        </is>
      </c>
      <c r="G86" t="n">
        <v>2.8</v>
      </c>
      <c r="H86" t="n">
        <v>0</v>
      </c>
      <c r="I86" t="n">
        <v>0</v>
      </c>
      <c r="J86" t="n">
        <v>0</v>
      </c>
      <c r="K86" t="n">
        <v>0</v>
      </c>
      <c r="L86" t="n">
        <v>0</v>
      </c>
      <c r="M86" t="n">
        <v>0</v>
      </c>
      <c r="N86" t="n">
        <v>0</v>
      </c>
      <c r="O86" t="n">
        <v>0</v>
      </c>
      <c r="P86" t="n">
        <v>0</v>
      </c>
      <c r="Q86" t="n">
        <v>0</v>
      </c>
      <c r="R86" s="2" t="inlineStr"/>
    </row>
    <row r="87" ht="15" customHeight="1">
      <c r="A87" t="inlineStr">
        <is>
          <t>A 66079-2020</t>
        </is>
      </c>
      <c r="B87" s="1" t="n">
        <v>44175</v>
      </c>
      <c r="C87" s="1" t="n">
        <v>45883</v>
      </c>
      <c r="D87" t="inlineStr">
        <is>
          <t>VÄSTERBOTTENS LÄN</t>
        </is>
      </c>
      <c r="E87" t="inlineStr">
        <is>
          <t>ÅSELE</t>
        </is>
      </c>
      <c r="G87" t="n">
        <v>3.2</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45883</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45883</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45883</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45883</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45883</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45883</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45883</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45883</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45883</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45883</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45883</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45883</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45883</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66557-2021</t>
        </is>
      </c>
      <c r="B101" s="1" t="n">
        <v>44519.41366898148</v>
      </c>
      <c r="C101" s="1" t="n">
        <v>45883</v>
      </c>
      <c r="D101" t="inlineStr">
        <is>
          <t>VÄSTERBOTTENS LÄN</t>
        </is>
      </c>
      <c r="E101" t="inlineStr">
        <is>
          <t>ÅSELE</t>
        </is>
      </c>
      <c r="F101" t="inlineStr">
        <is>
          <t>Holmen skog AB</t>
        </is>
      </c>
      <c r="G101" t="n">
        <v>2.3</v>
      </c>
      <c r="H101" t="n">
        <v>0</v>
      </c>
      <c r="I101" t="n">
        <v>0</v>
      </c>
      <c r="J101" t="n">
        <v>0</v>
      </c>
      <c r="K101" t="n">
        <v>0</v>
      </c>
      <c r="L101" t="n">
        <v>0</v>
      </c>
      <c r="M101" t="n">
        <v>0</v>
      </c>
      <c r="N101" t="n">
        <v>0</v>
      </c>
      <c r="O101" t="n">
        <v>0</v>
      </c>
      <c r="P101" t="n">
        <v>0</v>
      </c>
      <c r="Q101" t="n">
        <v>0</v>
      </c>
      <c r="R101" s="2" t="inlineStr"/>
    </row>
    <row r="102" ht="15" customHeight="1">
      <c r="A102" t="inlineStr">
        <is>
          <t>A 39938-2021</t>
        </is>
      </c>
      <c r="B102" s="1" t="n">
        <v>44417</v>
      </c>
      <c r="C102" s="1" t="n">
        <v>45883</v>
      </c>
      <c r="D102" t="inlineStr">
        <is>
          <t>VÄSTERBOTTENS LÄN</t>
        </is>
      </c>
      <c r="E102" t="inlineStr">
        <is>
          <t>ÅSELE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7694-2022</t>
        </is>
      </c>
      <c r="B103" s="1" t="n">
        <v>44607.94155092593</v>
      </c>
      <c r="C103" s="1" t="n">
        <v>45883</v>
      </c>
      <c r="D103" t="inlineStr">
        <is>
          <t>VÄSTERBOTTENS LÄN</t>
        </is>
      </c>
      <c r="E103" t="inlineStr">
        <is>
          <t>ÅSELE</t>
        </is>
      </c>
      <c r="F103" t="inlineStr">
        <is>
          <t>SCA</t>
        </is>
      </c>
      <c r="G103" t="n">
        <v>3.8</v>
      </c>
      <c r="H103" t="n">
        <v>0</v>
      </c>
      <c r="I103" t="n">
        <v>0</v>
      </c>
      <c r="J103" t="n">
        <v>0</v>
      </c>
      <c r="K103" t="n">
        <v>0</v>
      </c>
      <c r="L103" t="n">
        <v>0</v>
      </c>
      <c r="M103" t="n">
        <v>0</v>
      </c>
      <c r="N103" t="n">
        <v>0</v>
      </c>
      <c r="O103" t="n">
        <v>0</v>
      </c>
      <c r="P103" t="n">
        <v>0</v>
      </c>
      <c r="Q103" t="n">
        <v>0</v>
      </c>
      <c r="R103" s="2" t="inlineStr"/>
    </row>
    <row r="104" ht="15" customHeight="1">
      <c r="A104" t="inlineStr">
        <is>
          <t>A 32359-2022</t>
        </is>
      </c>
      <c r="B104" s="1" t="n">
        <v>44781</v>
      </c>
      <c r="C104" s="1" t="n">
        <v>45883</v>
      </c>
      <c r="D104" t="inlineStr">
        <is>
          <t>VÄSTERBOTTENS LÄN</t>
        </is>
      </c>
      <c r="E104" t="inlineStr">
        <is>
          <t>ÅSELE</t>
        </is>
      </c>
      <c r="F104" t="inlineStr">
        <is>
          <t>SCA</t>
        </is>
      </c>
      <c r="G104" t="n">
        <v>11.8</v>
      </c>
      <c r="H104" t="n">
        <v>0</v>
      </c>
      <c r="I104" t="n">
        <v>0</v>
      </c>
      <c r="J104" t="n">
        <v>0</v>
      </c>
      <c r="K104" t="n">
        <v>0</v>
      </c>
      <c r="L104" t="n">
        <v>0</v>
      </c>
      <c r="M104" t="n">
        <v>0</v>
      </c>
      <c r="N104" t="n">
        <v>0</v>
      </c>
      <c r="O104" t="n">
        <v>0</v>
      </c>
      <c r="P104" t="n">
        <v>0</v>
      </c>
      <c r="Q104" t="n">
        <v>0</v>
      </c>
      <c r="R104" s="2" t="inlineStr"/>
    </row>
    <row r="105" ht="15" customHeight="1">
      <c r="A105" t="inlineStr">
        <is>
          <t>A 15559-2022</t>
        </is>
      </c>
      <c r="B105" s="1" t="n">
        <v>44662</v>
      </c>
      <c r="C105" s="1" t="n">
        <v>45883</v>
      </c>
      <c r="D105" t="inlineStr">
        <is>
          <t>VÄSTERBOTTENS LÄN</t>
        </is>
      </c>
      <c r="E105" t="inlineStr">
        <is>
          <t>ÅSELE</t>
        </is>
      </c>
      <c r="G105" t="n">
        <v>6.4</v>
      </c>
      <c r="H105" t="n">
        <v>0</v>
      </c>
      <c r="I105" t="n">
        <v>0</v>
      </c>
      <c r="J105" t="n">
        <v>0</v>
      </c>
      <c r="K105" t="n">
        <v>0</v>
      </c>
      <c r="L105" t="n">
        <v>0</v>
      </c>
      <c r="M105" t="n">
        <v>0</v>
      </c>
      <c r="N105" t="n">
        <v>0</v>
      </c>
      <c r="O105" t="n">
        <v>0</v>
      </c>
      <c r="P105" t="n">
        <v>0</v>
      </c>
      <c r="Q105" t="n">
        <v>0</v>
      </c>
      <c r="R105" s="2" t="inlineStr"/>
    </row>
    <row r="106" ht="15" customHeight="1">
      <c r="A106" t="inlineStr">
        <is>
          <t>A 35745-2021</t>
        </is>
      </c>
      <c r="B106" s="1" t="n">
        <v>44386.56488425926</v>
      </c>
      <c r="C106" s="1" t="n">
        <v>45883</v>
      </c>
      <c r="D106" t="inlineStr">
        <is>
          <t>VÄSTERBOTTENS LÄN</t>
        </is>
      </c>
      <c r="E106" t="inlineStr">
        <is>
          <t>ÅSELE</t>
        </is>
      </c>
      <c r="F106" t="inlineStr">
        <is>
          <t>Holmen skog AB</t>
        </is>
      </c>
      <c r="G106" t="n">
        <v>1.8</v>
      </c>
      <c r="H106" t="n">
        <v>0</v>
      </c>
      <c r="I106" t="n">
        <v>0</v>
      </c>
      <c r="J106" t="n">
        <v>0</v>
      </c>
      <c r="K106" t="n">
        <v>0</v>
      </c>
      <c r="L106" t="n">
        <v>0</v>
      </c>
      <c r="M106" t="n">
        <v>0</v>
      </c>
      <c r="N106" t="n">
        <v>0</v>
      </c>
      <c r="O106" t="n">
        <v>0</v>
      </c>
      <c r="P106" t="n">
        <v>0</v>
      </c>
      <c r="Q106" t="n">
        <v>0</v>
      </c>
      <c r="R106" s="2" t="inlineStr"/>
    </row>
    <row r="107" ht="15" customHeight="1">
      <c r="A107" t="inlineStr">
        <is>
          <t>A 60413-2021</t>
        </is>
      </c>
      <c r="B107" s="1" t="n">
        <v>44496.39971064815</v>
      </c>
      <c r="C107" s="1" t="n">
        <v>45883</v>
      </c>
      <c r="D107" t="inlineStr">
        <is>
          <t>VÄSTERBOTTENS LÄN</t>
        </is>
      </c>
      <c r="E107" t="inlineStr">
        <is>
          <t>ÅSELE</t>
        </is>
      </c>
      <c r="F107" t="inlineStr">
        <is>
          <t>Holmen skog AB</t>
        </is>
      </c>
      <c r="G107" t="n">
        <v>4</v>
      </c>
      <c r="H107" t="n">
        <v>0</v>
      </c>
      <c r="I107" t="n">
        <v>0</v>
      </c>
      <c r="J107" t="n">
        <v>0</v>
      </c>
      <c r="K107" t="n">
        <v>0</v>
      </c>
      <c r="L107" t="n">
        <v>0</v>
      </c>
      <c r="M107" t="n">
        <v>0</v>
      </c>
      <c r="N107" t="n">
        <v>0</v>
      </c>
      <c r="O107" t="n">
        <v>0</v>
      </c>
      <c r="P107" t="n">
        <v>0</v>
      </c>
      <c r="Q107" t="n">
        <v>0</v>
      </c>
      <c r="R107" s="2" t="inlineStr"/>
    </row>
    <row r="108" ht="15" customHeight="1">
      <c r="A108" t="inlineStr">
        <is>
          <t>A 60033-2020</t>
        </is>
      </c>
      <c r="B108" s="1" t="n">
        <v>44151</v>
      </c>
      <c r="C108" s="1" t="n">
        <v>45883</v>
      </c>
      <c r="D108" t="inlineStr">
        <is>
          <t>VÄSTERBOTTENS LÄN</t>
        </is>
      </c>
      <c r="E108" t="inlineStr">
        <is>
          <t>ÅSELE</t>
        </is>
      </c>
      <c r="F108" t="inlineStr">
        <is>
          <t>SCA</t>
        </is>
      </c>
      <c r="G108" t="n">
        <v>0.2</v>
      </c>
      <c r="H108" t="n">
        <v>0</v>
      </c>
      <c r="I108" t="n">
        <v>0</v>
      </c>
      <c r="J108" t="n">
        <v>0</v>
      </c>
      <c r="K108" t="n">
        <v>0</v>
      </c>
      <c r="L108" t="n">
        <v>0</v>
      </c>
      <c r="M108" t="n">
        <v>0</v>
      </c>
      <c r="N108" t="n">
        <v>0</v>
      </c>
      <c r="O108" t="n">
        <v>0</v>
      </c>
      <c r="P108" t="n">
        <v>0</v>
      </c>
      <c r="Q108" t="n">
        <v>0</v>
      </c>
      <c r="R108" s="2" t="inlineStr"/>
    </row>
    <row r="109" ht="15" customHeight="1">
      <c r="A109" t="inlineStr">
        <is>
          <t>A 43619-2020</t>
        </is>
      </c>
      <c r="B109" s="1" t="n">
        <v>44078</v>
      </c>
      <c r="C109" s="1" t="n">
        <v>45883</v>
      </c>
      <c r="D109" t="inlineStr">
        <is>
          <t>VÄSTERBOTTENS LÄN</t>
        </is>
      </c>
      <c r="E109" t="inlineStr">
        <is>
          <t>ÅSELE</t>
        </is>
      </c>
      <c r="G109" t="n">
        <v>0.8</v>
      </c>
      <c r="H109" t="n">
        <v>0</v>
      </c>
      <c r="I109" t="n">
        <v>0</v>
      </c>
      <c r="J109" t="n">
        <v>0</v>
      </c>
      <c r="K109" t="n">
        <v>0</v>
      </c>
      <c r="L109" t="n">
        <v>0</v>
      </c>
      <c r="M109" t="n">
        <v>0</v>
      </c>
      <c r="N109" t="n">
        <v>0</v>
      </c>
      <c r="O109" t="n">
        <v>0</v>
      </c>
      <c r="P109" t="n">
        <v>0</v>
      </c>
      <c r="Q109" t="n">
        <v>0</v>
      </c>
      <c r="R109" s="2" t="inlineStr"/>
    </row>
    <row r="110" ht="15" customHeight="1">
      <c r="A110" t="inlineStr">
        <is>
          <t>A 61289-2021</t>
        </is>
      </c>
      <c r="B110" s="1" t="n">
        <v>44498.61892361111</v>
      </c>
      <c r="C110" s="1" t="n">
        <v>45883</v>
      </c>
      <c r="D110" t="inlineStr">
        <is>
          <t>VÄSTERBOTTENS LÄN</t>
        </is>
      </c>
      <c r="E110" t="inlineStr">
        <is>
          <t>ÅSELE</t>
        </is>
      </c>
      <c r="F110" t="inlineStr">
        <is>
          <t>Sveaskog</t>
        </is>
      </c>
      <c r="G110" t="n">
        <v>3.3</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45883</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60524-2021</t>
        </is>
      </c>
      <c r="B112" s="1" t="n">
        <v>44496</v>
      </c>
      <c r="C112" s="1" t="n">
        <v>45883</v>
      </c>
      <c r="D112" t="inlineStr">
        <is>
          <t>VÄSTERBOTTENS LÄN</t>
        </is>
      </c>
      <c r="E112" t="inlineStr">
        <is>
          <t>ÅSELE</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45883</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54432-2021</t>
        </is>
      </c>
      <c r="B114" s="1" t="n">
        <v>44472</v>
      </c>
      <c r="C114" s="1" t="n">
        <v>45883</v>
      </c>
      <c r="D114" t="inlineStr">
        <is>
          <t>VÄSTERBOTTENS LÄN</t>
        </is>
      </c>
      <c r="E114" t="inlineStr">
        <is>
          <t>ÅSELE</t>
        </is>
      </c>
      <c r="G114" t="n">
        <v>5.2</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45883</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45883</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61299-2021</t>
        </is>
      </c>
      <c r="B117" s="1" t="n">
        <v>44498.62789351852</v>
      </c>
      <c r="C117" s="1" t="n">
        <v>45883</v>
      </c>
      <c r="D117" t="inlineStr">
        <is>
          <t>VÄSTERBOTTENS LÄN</t>
        </is>
      </c>
      <c r="E117" t="inlineStr">
        <is>
          <t>ÅSELE</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45883</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45883</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27301-2021</t>
        </is>
      </c>
      <c r="B120" s="1" t="n">
        <v>44350</v>
      </c>
      <c r="C120" s="1" t="n">
        <v>45883</v>
      </c>
      <c r="D120" t="inlineStr">
        <is>
          <t>VÄSTERBOTTENS LÄN</t>
        </is>
      </c>
      <c r="E120" t="inlineStr">
        <is>
          <t>ÅSELE</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41246-2020</t>
        </is>
      </c>
      <c r="B121" s="1" t="n">
        <v>44071</v>
      </c>
      <c r="C121" s="1" t="n">
        <v>45883</v>
      </c>
      <c r="D121" t="inlineStr">
        <is>
          <t>VÄSTERBOTTENS LÄN</t>
        </is>
      </c>
      <c r="E121" t="inlineStr">
        <is>
          <t>ÅSELE</t>
        </is>
      </c>
      <c r="F121" t="inlineStr">
        <is>
          <t>Kyrkan</t>
        </is>
      </c>
      <c r="G121" t="n">
        <v>0.7</v>
      </c>
      <c r="H121" t="n">
        <v>0</v>
      </c>
      <c r="I121" t="n">
        <v>0</v>
      </c>
      <c r="J121" t="n">
        <v>0</v>
      </c>
      <c r="K121" t="n">
        <v>0</v>
      </c>
      <c r="L121" t="n">
        <v>0</v>
      </c>
      <c r="M121" t="n">
        <v>0</v>
      </c>
      <c r="N121" t="n">
        <v>0</v>
      </c>
      <c r="O121" t="n">
        <v>0</v>
      </c>
      <c r="P121" t="n">
        <v>0</v>
      </c>
      <c r="Q121" t="n">
        <v>0</v>
      </c>
      <c r="R121" s="2" t="inlineStr"/>
    </row>
    <row r="122" ht="15" customHeight="1">
      <c r="A122" t="inlineStr">
        <is>
          <t>A 49836-2020</t>
        </is>
      </c>
      <c r="B122" s="1" t="n">
        <v>44106</v>
      </c>
      <c r="C122" s="1" t="n">
        <v>45883</v>
      </c>
      <c r="D122" t="inlineStr">
        <is>
          <t>VÄSTERBOTTENS LÄN</t>
        </is>
      </c>
      <c r="E122" t="inlineStr">
        <is>
          <t>ÅSELE</t>
        </is>
      </c>
      <c r="F122" t="inlineStr">
        <is>
          <t>Kommuner</t>
        </is>
      </c>
      <c r="G122" t="n">
        <v>3.9</v>
      </c>
      <c r="H122" t="n">
        <v>0</v>
      </c>
      <c r="I122" t="n">
        <v>0</v>
      </c>
      <c r="J122" t="n">
        <v>0</v>
      </c>
      <c r="K122" t="n">
        <v>0</v>
      </c>
      <c r="L122" t="n">
        <v>0</v>
      </c>
      <c r="M122" t="n">
        <v>0</v>
      </c>
      <c r="N122" t="n">
        <v>0</v>
      </c>
      <c r="O122" t="n">
        <v>0</v>
      </c>
      <c r="P122" t="n">
        <v>0</v>
      </c>
      <c r="Q122" t="n">
        <v>0</v>
      </c>
      <c r="R122" s="2" t="inlineStr"/>
    </row>
    <row r="123" ht="15" customHeight="1">
      <c r="A123" t="inlineStr">
        <is>
          <t>A 49803-2021</t>
        </is>
      </c>
      <c r="B123" s="1" t="n">
        <v>44455.60459490741</v>
      </c>
      <c r="C123" s="1" t="n">
        <v>45883</v>
      </c>
      <c r="D123" t="inlineStr">
        <is>
          <t>VÄSTERBOTTENS LÄN</t>
        </is>
      </c>
      <c r="E123" t="inlineStr">
        <is>
          <t>ÅSELE</t>
        </is>
      </c>
      <c r="F123" t="inlineStr">
        <is>
          <t>Holmen skog AB</t>
        </is>
      </c>
      <c r="G123" t="n">
        <v>13.7</v>
      </c>
      <c r="H123" t="n">
        <v>0</v>
      </c>
      <c r="I123" t="n">
        <v>0</v>
      </c>
      <c r="J123" t="n">
        <v>0</v>
      </c>
      <c r="K123" t="n">
        <v>0</v>
      </c>
      <c r="L123" t="n">
        <v>0</v>
      </c>
      <c r="M123" t="n">
        <v>0</v>
      </c>
      <c r="N123" t="n">
        <v>0</v>
      </c>
      <c r="O123" t="n">
        <v>0</v>
      </c>
      <c r="P123" t="n">
        <v>0</v>
      </c>
      <c r="Q123" t="n">
        <v>0</v>
      </c>
      <c r="R123" s="2" t="inlineStr"/>
    </row>
    <row r="124" ht="15" customHeight="1">
      <c r="A124" t="inlineStr">
        <is>
          <t>A 51958-2020</t>
        </is>
      </c>
      <c r="B124" s="1" t="n">
        <v>44116</v>
      </c>
      <c r="C124" s="1" t="n">
        <v>45883</v>
      </c>
      <c r="D124" t="inlineStr">
        <is>
          <t>VÄSTERBOTTENS LÄN</t>
        </is>
      </c>
      <c r="E124" t="inlineStr">
        <is>
          <t>ÅSELE</t>
        </is>
      </c>
      <c r="G124" t="n">
        <v>0.4</v>
      </c>
      <c r="H124" t="n">
        <v>0</v>
      </c>
      <c r="I124" t="n">
        <v>0</v>
      </c>
      <c r="J124" t="n">
        <v>0</v>
      </c>
      <c r="K124" t="n">
        <v>0</v>
      </c>
      <c r="L124" t="n">
        <v>0</v>
      </c>
      <c r="M124" t="n">
        <v>0</v>
      </c>
      <c r="N124" t="n">
        <v>0</v>
      </c>
      <c r="O124" t="n">
        <v>0</v>
      </c>
      <c r="P124" t="n">
        <v>0</v>
      </c>
      <c r="Q124" t="n">
        <v>0</v>
      </c>
      <c r="R124" s="2" t="inlineStr"/>
    </row>
    <row r="125" ht="15" customHeight="1">
      <c r="A125" t="inlineStr">
        <is>
          <t>A 23996-2022</t>
        </is>
      </c>
      <c r="B125" s="1" t="n">
        <v>44722</v>
      </c>
      <c r="C125" s="1" t="n">
        <v>45883</v>
      </c>
      <c r="D125" t="inlineStr">
        <is>
          <t>VÄSTERBOTTENS LÄN</t>
        </is>
      </c>
      <c r="E125" t="inlineStr">
        <is>
          <t>ÅSELE</t>
        </is>
      </c>
      <c r="F125" t="inlineStr">
        <is>
          <t>SCA</t>
        </is>
      </c>
      <c r="G125" t="n">
        <v>5.5</v>
      </c>
      <c r="H125" t="n">
        <v>0</v>
      </c>
      <c r="I125" t="n">
        <v>0</v>
      </c>
      <c r="J125" t="n">
        <v>0</v>
      </c>
      <c r="K125" t="n">
        <v>0</v>
      </c>
      <c r="L125" t="n">
        <v>0</v>
      </c>
      <c r="M125" t="n">
        <v>0</v>
      </c>
      <c r="N125" t="n">
        <v>0</v>
      </c>
      <c r="O125" t="n">
        <v>0</v>
      </c>
      <c r="P125" t="n">
        <v>0</v>
      </c>
      <c r="Q125" t="n">
        <v>0</v>
      </c>
      <c r="R125" s="2" t="inlineStr"/>
    </row>
    <row r="126" ht="15" customHeight="1">
      <c r="A126" t="inlineStr">
        <is>
          <t>A 19701-2022</t>
        </is>
      </c>
      <c r="B126" s="1" t="n">
        <v>44694</v>
      </c>
      <c r="C126" s="1" t="n">
        <v>45883</v>
      </c>
      <c r="D126" t="inlineStr">
        <is>
          <t>VÄSTERBOTTENS LÄN</t>
        </is>
      </c>
      <c r="E126" t="inlineStr">
        <is>
          <t>ÅSELE</t>
        </is>
      </c>
      <c r="F126" t="inlineStr">
        <is>
          <t>Holmen skog AB</t>
        </is>
      </c>
      <c r="G126" t="n">
        <v>0.5</v>
      </c>
      <c r="H126" t="n">
        <v>0</v>
      </c>
      <c r="I126" t="n">
        <v>0</v>
      </c>
      <c r="J126" t="n">
        <v>0</v>
      </c>
      <c r="K126" t="n">
        <v>0</v>
      </c>
      <c r="L126" t="n">
        <v>0</v>
      </c>
      <c r="M126" t="n">
        <v>0</v>
      </c>
      <c r="N126" t="n">
        <v>0</v>
      </c>
      <c r="O126" t="n">
        <v>0</v>
      </c>
      <c r="P126" t="n">
        <v>0</v>
      </c>
      <c r="Q126" t="n">
        <v>0</v>
      </c>
      <c r="R126" s="2" t="inlineStr"/>
    </row>
    <row r="127" ht="15" customHeight="1">
      <c r="A127" t="inlineStr">
        <is>
          <t>A 19705-2022</t>
        </is>
      </c>
      <c r="B127" s="1" t="n">
        <v>44694.53769675926</v>
      </c>
      <c r="C127" s="1" t="n">
        <v>45883</v>
      </c>
      <c r="D127" t="inlineStr">
        <is>
          <t>VÄSTERBOTTENS LÄN</t>
        </is>
      </c>
      <c r="E127" t="inlineStr">
        <is>
          <t>ÅSELE</t>
        </is>
      </c>
      <c r="F127" t="inlineStr">
        <is>
          <t>Naturvårdsverket</t>
        </is>
      </c>
      <c r="G127" t="n">
        <v>2.2</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45883</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48283-2022</t>
        </is>
      </c>
      <c r="B129" s="1" t="n">
        <v>44858</v>
      </c>
      <c r="C129" s="1" t="n">
        <v>45883</v>
      </c>
      <c r="D129" t="inlineStr">
        <is>
          <t>VÄSTERBOTTENS LÄN</t>
        </is>
      </c>
      <c r="E129" t="inlineStr">
        <is>
          <t>ÅSELE</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52171-2020</t>
        </is>
      </c>
      <c r="B130" s="1" t="n">
        <v>44117</v>
      </c>
      <c r="C130" s="1" t="n">
        <v>45883</v>
      </c>
      <c r="D130" t="inlineStr">
        <is>
          <t>VÄSTERBOTTENS LÄN</t>
        </is>
      </c>
      <c r="E130" t="inlineStr">
        <is>
          <t>ÅSELE</t>
        </is>
      </c>
      <c r="G130" t="n">
        <v>1.3</v>
      </c>
      <c r="H130" t="n">
        <v>0</v>
      </c>
      <c r="I130" t="n">
        <v>0</v>
      </c>
      <c r="J130" t="n">
        <v>0</v>
      </c>
      <c r="K130" t="n">
        <v>0</v>
      </c>
      <c r="L130" t="n">
        <v>0</v>
      </c>
      <c r="M130" t="n">
        <v>0</v>
      </c>
      <c r="N130" t="n">
        <v>0</v>
      </c>
      <c r="O130" t="n">
        <v>0</v>
      </c>
      <c r="P130" t="n">
        <v>0</v>
      </c>
      <c r="Q130" t="n">
        <v>0</v>
      </c>
      <c r="R130" s="2" t="inlineStr"/>
    </row>
    <row r="131" ht="15" customHeight="1">
      <c r="A131" t="inlineStr">
        <is>
          <t>A 46862-2020</t>
        </is>
      </c>
      <c r="B131" s="1" t="n">
        <v>44089</v>
      </c>
      <c r="C131" s="1" t="n">
        <v>45883</v>
      </c>
      <c r="D131" t="inlineStr">
        <is>
          <t>VÄSTERBOTTENS LÄN</t>
        </is>
      </c>
      <c r="E131" t="inlineStr">
        <is>
          <t>ÅSELE</t>
        </is>
      </c>
      <c r="G131" t="n">
        <v>16.3</v>
      </c>
      <c r="H131" t="n">
        <v>0</v>
      </c>
      <c r="I131" t="n">
        <v>0</v>
      </c>
      <c r="J131" t="n">
        <v>0</v>
      </c>
      <c r="K131" t="n">
        <v>0</v>
      </c>
      <c r="L131" t="n">
        <v>0</v>
      </c>
      <c r="M131" t="n">
        <v>0</v>
      </c>
      <c r="N131" t="n">
        <v>0</v>
      </c>
      <c r="O131" t="n">
        <v>0</v>
      </c>
      <c r="P131" t="n">
        <v>0</v>
      </c>
      <c r="Q131" t="n">
        <v>0</v>
      </c>
      <c r="R131" s="2" t="inlineStr"/>
    </row>
    <row r="132" ht="15" customHeight="1">
      <c r="A132" t="inlineStr">
        <is>
          <t>A 49841-2020</t>
        </is>
      </c>
      <c r="B132" s="1" t="n">
        <v>44106</v>
      </c>
      <c r="C132" s="1" t="n">
        <v>45883</v>
      </c>
      <c r="D132" t="inlineStr">
        <is>
          <t>VÄSTERBOTTENS LÄN</t>
        </is>
      </c>
      <c r="E132" t="inlineStr">
        <is>
          <t>ÅSELE</t>
        </is>
      </c>
      <c r="F132" t="inlineStr">
        <is>
          <t>SCA</t>
        </is>
      </c>
      <c r="G132" t="n">
        <v>0.8</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45883</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56827-2020</t>
        </is>
      </c>
      <c r="B134" s="1" t="n">
        <v>44134</v>
      </c>
      <c r="C134" s="1" t="n">
        <v>45883</v>
      </c>
      <c r="D134" t="inlineStr">
        <is>
          <t>VÄSTERBOTTENS LÄN</t>
        </is>
      </c>
      <c r="E134" t="inlineStr">
        <is>
          <t>ÅSELE</t>
        </is>
      </c>
      <c r="G134" t="n">
        <v>1.4</v>
      </c>
      <c r="H134" t="n">
        <v>0</v>
      </c>
      <c r="I134" t="n">
        <v>0</v>
      </c>
      <c r="J134" t="n">
        <v>0</v>
      </c>
      <c r="K134" t="n">
        <v>0</v>
      </c>
      <c r="L134" t="n">
        <v>0</v>
      </c>
      <c r="M134" t="n">
        <v>0</v>
      </c>
      <c r="N134" t="n">
        <v>0</v>
      </c>
      <c r="O134" t="n">
        <v>0</v>
      </c>
      <c r="P134" t="n">
        <v>0</v>
      </c>
      <c r="Q134" t="n">
        <v>0</v>
      </c>
      <c r="R134" s="2" t="inlineStr"/>
    </row>
    <row r="135" ht="15" customHeight="1">
      <c r="A135" t="inlineStr">
        <is>
          <t>A 28381-2022</t>
        </is>
      </c>
      <c r="B135" s="1" t="n">
        <v>44747</v>
      </c>
      <c r="C135" s="1" t="n">
        <v>45883</v>
      </c>
      <c r="D135" t="inlineStr">
        <is>
          <t>VÄSTERBOTTENS LÄN</t>
        </is>
      </c>
      <c r="E135" t="inlineStr">
        <is>
          <t>ÅSELE</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49527-2022</t>
        </is>
      </c>
      <c r="B136" s="1" t="n">
        <v>44861.95710648148</v>
      </c>
      <c r="C136" s="1" t="n">
        <v>45883</v>
      </c>
      <c r="D136" t="inlineStr">
        <is>
          <t>VÄSTERBOTTENS LÄN</t>
        </is>
      </c>
      <c r="E136" t="inlineStr">
        <is>
          <t>ÅSELE</t>
        </is>
      </c>
      <c r="F136" t="inlineStr">
        <is>
          <t>SCA</t>
        </is>
      </c>
      <c r="G136" t="n">
        <v>3</v>
      </c>
      <c r="H136" t="n">
        <v>0</v>
      </c>
      <c r="I136" t="n">
        <v>0</v>
      </c>
      <c r="J136" t="n">
        <v>0</v>
      </c>
      <c r="K136" t="n">
        <v>0</v>
      </c>
      <c r="L136" t="n">
        <v>0</v>
      </c>
      <c r="M136" t="n">
        <v>0</v>
      </c>
      <c r="N136" t="n">
        <v>0</v>
      </c>
      <c r="O136" t="n">
        <v>0</v>
      </c>
      <c r="P136" t="n">
        <v>0</v>
      </c>
      <c r="Q136" t="n">
        <v>0</v>
      </c>
      <c r="R136" s="2" t="inlineStr"/>
    </row>
    <row r="137" ht="15" customHeight="1">
      <c r="A137" t="inlineStr">
        <is>
          <t>A 36194-2022</t>
        </is>
      </c>
      <c r="B137" s="1" t="n">
        <v>44803</v>
      </c>
      <c r="C137" s="1" t="n">
        <v>45883</v>
      </c>
      <c r="D137" t="inlineStr">
        <is>
          <t>VÄSTERBOTTENS LÄN</t>
        </is>
      </c>
      <c r="E137" t="inlineStr">
        <is>
          <t>ÅSELE</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32178-2021</t>
        </is>
      </c>
      <c r="B138" s="1" t="n">
        <v>44371</v>
      </c>
      <c r="C138" s="1" t="n">
        <v>45883</v>
      </c>
      <c r="D138" t="inlineStr">
        <is>
          <t>VÄSTERBOTTENS LÄN</t>
        </is>
      </c>
      <c r="E138" t="inlineStr">
        <is>
          <t>ÅSELE</t>
        </is>
      </c>
      <c r="F138" t="inlineStr">
        <is>
          <t>Holmen skog AB</t>
        </is>
      </c>
      <c r="G138" t="n">
        <v>2.6</v>
      </c>
      <c r="H138" t="n">
        <v>0</v>
      </c>
      <c r="I138" t="n">
        <v>0</v>
      </c>
      <c r="J138" t="n">
        <v>0</v>
      </c>
      <c r="K138" t="n">
        <v>0</v>
      </c>
      <c r="L138" t="n">
        <v>0</v>
      </c>
      <c r="M138" t="n">
        <v>0</v>
      </c>
      <c r="N138" t="n">
        <v>0</v>
      </c>
      <c r="O138" t="n">
        <v>0</v>
      </c>
      <c r="P138" t="n">
        <v>0</v>
      </c>
      <c r="Q138" t="n">
        <v>0</v>
      </c>
      <c r="R138" s="2" t="inlineStr"/>
    </row>
    <row r="139" ht="15" customHeight="1">
      <c r="A139" t="inlineStr">
        <is>
          <t>A 21117-2022</t>
        </is>
      </c>
      <c r="B139" s="1" t="n">
        <v>44704.59678240741</v>
      </c>
      <c r="C139" s="1" t="n">
        <v>45883</v>
      </c>
      <c r="D139" t="inlineStr">
        <is>
          <t>VÄSTERBOTTENS LÄN</t>
        </is>
      </c>
      <c r="E139" t="inlineStr">
        <is>
          <t>ÅSELE</t>
        </is>
      </c>
      <c r="F139" t="inlineStr">
        <is>
          <t>Holmen skog AB</t>
        </is>
      </c>
      <c r="G139" t="n">
        <v>9.4</v>
      </c>
      <c r="H139" t="n">
        <v>0</v>
      </c>
      <c r="I139" t="n">
        <v>0</v>
      </c>
      <c r="J139" t="n">
        <v>0</v>
      </c>
      <c r="K139" t="n">
        <v>0</v>
      </c>
      <c r="L139" t="n">
        <v>0</v>
      </c>
      <c r="M139" t="n">
        <v>0</v>
      </c>
      <c r="N139" t="n">
        <v>0</v>
      </c>
      <c r="O139" t="n">
        <v>0</v>
      </c>
      <c r="P139" t="n">
        <v>0</v>
      </c>
      <c r="Q139" t="n">
        <v>0</v>
      </c>
      <c r="R139" s="2" t="inlineStr"/>
    </row>
    <row r="140" ht="15" customHeight="1">
      <c r="A140" t="inlineStr">
        <is>
          <t>A 21131-2022</t>
        </is>
      </c>
      <c r="B140" s="1" t="n">
        <v>44704.6177662037</v>
      </c>
      <c r="C140" s="1" t="n">
        <v>45883</v>
      </c>
      <c r="D140" t="inlineStr">
        <is>
          <t>VÄSTERBOTTENS LÄN</t>
        </is>
      </c>
      <c r="E140" t="inlineStr">
        <is>
          <t>ÅSELE</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28724-2023</t>
        </is>
      </c>
      <c r="B141" s="1" t="n">
        <v>45103</v>
      </c>
      <c r="C141" s="1" t="n">
        <v>45883</v>
      </c>
      <c r="D141" t="inlineStr">
        <is>
          <t>VÄSTERBOTTENS LÄN</t>
        </is>
      </c>
      <c r="E141" t="inlineStr">
        <is>
          <t>ÅSELE</t>
        </is>
      </c>
      <c r="F141" t="inlineStr">
        <is>
          <t>Sveaskog</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54958-2024</t>
        </is>
      </c>
      <c r="B142" s="1" t="n">
        <v>45619.7193287037</v>
      </c>
      <c r="C142" s="1" t="n">
        <v>45883</v>
      </c>
      <c r="D142" t="inlineStr">
        <is>
          <t>VÄSTERBOTTENS LÄN</t>
        </is>
      </c>
      <c r="E142" t="inlineStr">
        <is>
          <t>ÅSELE</t>
        </is>
      </c>
      <c r="F142" t="inlineStr">
        <is>
          <t>SCA</t>
        </is>
      </c>
      <c r="G142" t="n">
        <v>1.9</v>
      </c>
      <c r="H142" t="n">
        <v>0</v>
      </c>
      <c r="I142" t="n">
        <v>0</v>
      </c>
      <c r="J142" t="n">
        <v>0</v>
      </c>
      <c r="K142" t="n">
        <v>0</v>
      </c>
      <c r="L142" t="n">
        <v>0</v>
      </c>
      <c r="M142" t="n">
        <v>0</v>
      </c>
      <c r="N142" t="n">
        <v>0</v>
      </c>
      <c r="O142" t="n">
        <v>0</v>
      </c>
      <c r="P142" t="n">
        <v>0</v>
      </c>
      <c r="Q142" t="n">
        <v>0</v>
      </c>
      <c r="R142" s="2" t="inlineStr"/>
    </row>
    <row r="143" ht="15" customHeight="1">
      <c r="A143" t="inlineStr">
        <is>
          <t>A 41409-2023</t>
        </is>
      </c>
      <c r="B143" s="1" t="n">
        <v>45174.93927083333</v>
      </c>
      <c r="C143" s="1" t="n">
        <v>45883</v>
      </c>
      <c r="D143" t="inlineStr">
        <is>
          <t>VÄSTERBOTTENS LÄN</t>
        </is>
      </c>
      <c r="E143" t="inlineStr">
        <is>
          <t>ÅSELE</t>
        </is>
      </c>
      <c r="F143" t="inlineStr">
        <is>
          <t>SCA</t>
        </is>
      </c>
      <c r="G143" t="n">
        <v>7.3</v>
      </c>
      <c r="H143" t="n">
        <v>0</v>
      </c>
      <c r="I143" t="n">
        <v>0</v>
      </c>
      <c r="J143" t="n">
        <v>0</v>
      </c>
      <c r="K143" t="n">
        <v>0</v>
      </c>
      <c r="L143" t="n">
        <v>0</v>
      </c>
      <c r="M143" t="n">
        <v>0</v>
      </c>
      <c r="N143" t="n">
        <v>0</v>
      </c>
      <c r="O143" t="n">
        <v>0</v>
      </c>
      <c r="P143" t="n">
        <v>0</v>
      </c>
      <c r="Q143" t="n">
        <v>0</v>
      </c>
      <c r="R143" s="2" t="inlineStr"/>
    </row>
    <row r="144" ht="15" customHeight="1">
      <c r="A144" t="inlineStr">
        <is>
          <t>A 3469-2022</t>
        </is>
      </c>
      <c r="B144" s="1" t="n">
        <v>44585</v>
      </c>
      <c r="C144" s="1" t="n">
        <v>45883</v>
      </c>
      <c r="D144" t="inlineStr">
        <is>
          <t>VÄSTERBOTTENS LÄN</t>
        </is>
      </c>
      <c r="E144" t="inlineStr">
        <is>
          <t>ÅSELE</t>
        </is>
      </c>
      <c r="F144" t="inlineStr">
        <is>
          <t>Holmen skog AB</t>
        </is>
      </c>
      <c r="G144" t="n">
        <v>1.4</v>
      </c>
      <c r="H144" t="n">
        <v>0</v>
      </c>
      <c r="I144" t="n">
        <v>0</v>
      </c>
      <c r="J144" t="n">
        <v>0</v>
      </c>
      <c r="K144" t="n">
        <v>0</v>
      </c>
      <c r="L144" t="n">
        <v>0</v>
      </c>
      <c r="M144" t="n">
        <v>0</v>
      </c>
      <c r="N144" t="n">
        <v>0</v>
      </c>
      <c r="O144" t="n">
        <v>0</v>
      </c>
      <c r="P144" t="n">
        <v>0</v>
      </c>
      <c r="Q144" t="n">
        <v>0</v>
      </c>
      <c r="R144" s="2" t="inlineStr"/>
    </row>
    <row r="145" ht="15" customHeight="1">
      <c r="A145" t="inlineStr">
        <is>
          <t>A 20384-2025</t>
        </is>
      </c>
      <c r="B145" s="1" t="n">
        <v>45775.44128472222</v>
      </c>
      <c r="C145" s="1" t="n">
        <v>45883</v>
      </c>
      <c r="D145" t="inlineStr">
        <is>
          <t>VÄSTERBOTTENS LÄN</t>
        </is>
      </c>
      <c r="E145" t="inlineStr">
        <is>
          <t>ÅSELE</t>
        </is>
      </c>
      <c r="G145" t="n">
        <v>12.6</v>
      </c>
      <c r="H145" t="n">
        <v>0</v>
      </c>
      <c r="I145" t="n">
        <v>0</v>
      </c>
      <c r="J145" t="n">
        <v>0</v>
      </c>
      <c r="K145" t="n">
        <v>0</v>
      </c>
      <c r="L145" t="n">
        <v>0</v>
      </c>
      <c r="M145" t="n">
        <v>0</v>
      </c>
      <c r="N145" t="n">
        <v>0</v>
      </c>
      <c r="O145" t="n">
        <v>0</v>
      </c>
      <c r="P145" t="n">
        <v>0</v>
      </c>
      <c r="Q145" t="n">
        <v>0</v>
      </c>
      <c r="R145" s="2" t="inlineStr"/>
    </row>
    <row r="146" ht="15" customHeight="1">
      <c r="A146" t="inlineStr">
        <is>
          <t>A 5012-2024</t>
        </is>
      </c>
      <c r="B146" s="1" t="n">
        <v>45329</v>
      </c>
      <c r="C146" s="1" t="n">
        <v>45883</v>
      </c>
      <c r="D146" t="inlineStr">
        <is>
          <t>VÄSTERBOTTENS LÄN</t>
        </is>
      </c>
      <c r="E146" t="inlineStr">
        <is>
          <t>ÅSELE</t>
        </is>
      </c>
      <c r="F146" t="inlineStr">
        <is>
          <t>Övriga Aktiebolag</t>
        </is>
      </c>
      <c r="G146" t="n">
        <v>2.4</v>
      </c>
      <c r="H146" t="n">
        <v>0</v>
      </c>
      <c r="I146" t="n">
        <v>0</v>
      </c>
      <c r="J146" t="n">
        <v>0</v>
      </c>
      <c r="K146" t="n">
        <v>0</v>
      </c>
      <c r="L146" t="n">
        <v>0</v>
      </c>
      <c r="M146" t="n">
        <v>0</v>
      </c>
      <c r="N146" t="n">
        <v>0</v>
      </c>
      <c r="O146" t="n">
        <v>0</v>
      </c>
      <c r="P146" t="n">
        <v>0</v>
      </c>
      <c r="Q146" t="n">
        <v>0</v>
      </c>
      <c r="R146" s="2" t="inlineStr"/>
    </row>
    <row r="147" ht="15" customHeight="1">
      <c r="A147" t="inlineStr">
        <is>
          <t>A 28609-2021</t>
        </is>
      </c>
      <c r="B147" s="1" t="n">
        <v>44356.93478009259</v>
      </c>
      <c r="C147" s="1" t="n">
        <v>45883</v>
      </c>
      <c r="D147" t="inlineStr">
        <is>
          <t>VÄSTERBOTTENS LÄN</t>
        </is>
      </c>
      <c r="E147" t="inlineStr">
        <is>
          <t>ÅSELE</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51762-2020</t>
        </is>
      </c>
      <c r="B148" s="1" t="n">
        <v>44115.63228009259</v>
      </c>
      <c r="C148" s="1" t="n">
        <v>45883</v>
      </c>
      <c r="D148" t="inlineStr">
        <is>
          <t>VÄSTERBOTTENS LÄN</t>
        </is>
      </c>
      <c r="E148" t="inlineStr">
        <is>
          <t>ÅSELE</t>
        </is>
      </c>
      <c r="G148" t="n">
        <v>1</v>
      </c>
      <c r="H148" t="n">
        <v>0</v>
      </c>
      <c r="I148" t="n">
        <v>0</v>
      </c>
      <c r="J148" t="n">
        <v>0</v>
      </c>
      <c r="K148" t="n">
        <v>0</v>
      </c>
      <c r="L148" t="n">
        <v>0</v>
      </c>
      <c r="M148" t="n">
        <v>0</v>
      </c>
      <c r="N148" t="n">
        <v>0</v>
      </c>
      <c r="O148" t="n">
        <v>0</v>
      </c>
      <c r="P148" t="n">
        <v>0</v>
      </c>
      <c r="Q148" t="n">
        <v>0</v>
      </c>
      <c r="R148" s="2" t="inlineStr"/>
    </row>
    <row r="149" ht="15" customHeight="1">
      <c r="A149" t="inlineStr">
        <is>
          <t>A 4901-2024</t>
        </is>
      </c>
      <c r="B149" s="1" t="n">
        <v>45329</v>
      </c>
      <c r="C149" s="1" t="n">
        <v>45883</v>
      </c>
      <c r="D149" t="inlineStr">
        <is>
          <t>VÄSTERBOTTENS LÄN</t>
        </is>
      </c>
      <c r="E149" t="inlineStr">
        <is>
          <t>ÅSELE</t>
        </is>
      </c>
      <c r="F149" t="inlineStr">
        <is>
          <t>Övriga Aktiebolag</t>
        </is>
      </c>
      <c r="G149" t="n">
        <v>3.9</v>
      </c>
      <c r="H149" t="n">
        <v>0</v>
      </c>
      <c r="I149" t="n">
        <v>0</v>
      </c>
      <c r="J149" t="n">
        <v>0</v>
      </c>
      <c r="K149" t="n">
        <v>0</v>
      </c>
      <c r="L149" t="n">
        <v>0</v>
      </c>
      <c r="M149" t="n">
        <v>0</v>
      </c>
      <c r="N149" t="n">
        <v>0</v>
      </c>
      <c r="O149" t="n">
        <v>0</v>
      </c>
      <c r="P149" t="n">
        <v>0</v>
      </c>
      <c r="Q149" t="n">
        <v>0</v>
      </c>
      <c r="R149" s="2" t="inlineStr"/>
    </row>
    <row r="150" ht="15" customHeight="1">
      <c r="A150" t="inlineStr">
        <is>
          <t>A 22550-2022</t>
        </is>
      </c>
      <c r="B150" s="1" t="n">
        <v>44713</v>
      </c>
      <c r="C150" s="1" t="n">
        <v>45883</v>
      </c>
      <c r="D150" t="inlineStr">
        <is>
          <t>VÄSTERBOTTENS LÄN</t>
        </is>
      </c>
      <c r="E150" t="inlineStr">
        <is>
          <t>ÅSELE</t>
        </is>
      </c>
      <c r="F150" t="inlineStr">
        <is>
          <t>SCA</t>
        </is>
      </c>
      <c r="G150" t="n">
        <v>7.9</v>
      </c>
      <c r="H150" t="n">
        <v>0</v>
      </c>
      <c r="I150" t="n">
        <v>0</v>
      </c>
      <c r="J150" t="n">
        <v>0</v>
      </c>
      <c r="K150" t="n">
        <v>0</v>
      </c>
      <c r="L150" t="n">
        <v>0</v>
      </c>
      <c r="M150" t="n">
        <v>0</v>
      </c>
      <c r="N150" t="n">
        <v>0</v>
      </c>
      <c r="O150" t="n">
        <v>0</v>
      </c>
      <c r="P150" t="n">
        <v>0</v>
      </c>
      <c r="Q150" t="n">
        <v>0</v>
      </c>
      <c r="R150" s="2" t="inlineStr"/>
    </row>
    <row r="151" ht="15" customHeight="1">
      <c r="A151" t="inlineStr">
        <is>
          <t>A 15777-2025</t>
        </is>
      </c>
      <c r="B151" s="1" t="n">
        <v>45748</v>
      </c>
      <c r="C151" s="1" t="n">
        <v>45883</v>
      </c>
      <c r="D151" t="inlineStr">
        <is>
          <t>VÄSTERBOTTENS LÄN</t>
        </is>
      </c>
      <c r="E151" t="inlineStr">
        <is>
          <t>ÅSELE</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29599-2024</t>
        </is>
      </c>
      <c r="B152" s="1" t="n">
        <v>45484.59297453704</v>
      </c>
      <c r="C152" s="1" t="n">
        <v>45883</v>
      </c>
      <c r="D152" t="inlineStr">
        <is>
          <t>VÄSTERBOTTENS LÄN</t>
        </is>
      </c>
      <c r="E152" t="inlineStr">
        <is>
          <t>ÅSELE</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2894-2025</t>
        </is>
      </c>
      <c r="B153" s="1" t="n">
        <v>45677</v>
      </c>
      <c r="C153" s="1" t="n">
        <v>45883</v>
      </c>
      <c r="D153" t="inlineStr">
        <is>
          <t>VÄSTERBOTTENS LÄN</t>
        </is>
      </c>
      <c r="E153" t="inlineStr">
        <is>
          <t>ÅSELE</t>
        </is>
      </c>
      <c r="G153" t="n">
        <v>1.5</v>
      </c>
      <c r="H153" t="n">
        <v>0</v>
      </c>
      <c r="I153" t="n">
        <v>0</v>
      </c>
      <c r="J153" t="n">
        <v>0</v>
      </c>
      <c r="K153" t="n">
        <v>0</v>
      </c>
      <c r="L153" t="n">
        <v>0</v>
      </c>
      <c r="M153" t="n">
        <v>0</v>
      </c>
      <c r="N153" t="n">
        <v>0</v>
      </c>
      <c r="O153" t="n">
        <v>0</v>
      </c>
      <c r="P153" t="n">
        <v>0</v>
      </c>
      <c r="Q153" t="n">
        <v>0</v>
      </c>
      <c r="R153" s="2" t="inlineStr"/>
    </row>
    <row r="154" ht="15" customHeight="1">
      <c r="A154" t="inlineStr">
        <is>
          <t>A 63244-2020</t>
        </is>
      </c>
      <c r="B154" s="1" t="n">
        <v>44163</v>
      </c>
      <c r="C154" s="1" t="n">
        <v>45883</v>
      </c>
      <c r="D154" t="inlineStr">
        <is>
          <t>VÄSTERBOTTENS LÄN</t>
        </is>
      </c>
      <c r="E154" t="inlineStr">
        <is>
          <t>ÅSELE</t>
        </is>
      </c>
      <c r="G154" t="n">
        <v>4.4</v>
      </c>
      <c r="H154" t="n">
        <v>0</v>
      </c>
      <c r="I154" t="n">
        <v>0</v>
      </c>
      <c r="J154" t="n">
        <v>0</v>
      </c>
      <c r="K154" t="n">
        <v>0</v>
      </c>
      <c r="L154" t="n">
        <v>0</v>
      </c>
      <c r="M154" t="n">
        <v>0</v>
      </c>
      <c r="N154" t="n">
        <v>0</v>
      </c>
      <c r="O154" t="n">
        <v>0</v>
      </c>
      <c r="P154" t="n">
        <v>0</v>
      </c>
      <c r="Q154" t="n">
        <v>0</v>
      </c>
      <c r="R154" s="2" t="inlineStr"/>
    </row>
    <row r="155" ht="15" customHeight="1">
      <c r="A155" t="inlineStr">
        <is>
          <t>A 17255-2022</t>
        </is>
      </c>
      <c r="B155" s="1" t="n">
        <v>44678</v>
      </c>
      <c r="C155" s="1" t="n">
        <v>45883</v>
      </c>
      <c r="D155" t="inlineStr">
        <is>
          <t>VÄSTERBOTTENS LÄN</t>
        </is>
      </c>
      <c r="E155" t="inlineStr">
        <is>
          <t>ÅSELE</t>
        </is>
      </c>
      <c r="F155" t="inlineStr">
        <is>
          <t>Allmännings- och besparingsskogar</t>
        </is>
      </c>
      <c r="G155" t="n">
        <v>2.6</v>
      </c>
      <c r="H155" t="n">
        <v>0</v>
      </c>
      <c r="I155" t="n">
        <v>0</v>
      </c>
      <c r="J155" t="n">
        <v>0</v>
      </c>
      <c r="K155" t="n">
        <v>0</v>
      </c>
      <c r="L155" t="n">
        <v>0</v>
      </c>
      <c r="M155" t="n">
        <v>0</v>
      </c>
      <c r="N155" t="n">
        <v>0</v>
      </c>
      <c r="O155" t="n">
        <v>0</v>
      </c>
      <c r="P155" t="n">
        <v>0</v>
      </c>
      <c r="Q155" t="n">
        <v>0</v>
      </c>
      <c r="R155" s="2" t="inlineStr"/>
    </row>
    <row r="156" ht="15" customHeight="1">
      <c r="A156" t="inlineStr">
        <is>
          <t>A 55922-2021</t>
        </is>
      </c>
      <c r="B156" s="1" t="n">
        <v>44476</v>
      </c>
      <c r="C156" s="1" t="n">
        <v>45883</v>
      </c>
      <c r="D156" t="inlineStr">
        <is>
          <t>VÄSTERBOTTENS LÄN</t>
        </is>
      </c>
      <c r="E156" t="inlineStr">
        <is>
          <t>ÅSELE</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52280-2023</t>
        </is>
      </c>
      <c r="B157" s="1" t="n">
        <v>45224.57511574074</v>
      </c>
      <c r="C157" s="1" t="n">
        <v>45883</v>
      </c>
      <c r="D157" t="inlineStr">
        <is>
          <t>VÄSTERBOTTENS LÄN</t>
        </is>
      </c>
      <c r="E157" t="inlineStr">
        <is>
          <t>ÅSELE</t>
        </is>
      </c>
      <c r="F157" t="inlineStr">
        <is>
          <t>Holmen skog AB</t>
        </is>
      </c>
      <c r="G157" t="n">
        <v>15.4</v>
      </c>
      <c r="H157" t="n">
        <v>0</v>
      </c>
      <c r="I157" t="n">
        <v>0</v>
      </c>
      <c r="J157" t="n">
        <v>0</v>
      </c>
      <c r="K157" t="n">
        <v>0</v>
      </c>
      <c r="L157" t="n">
        <v>0</v>
      </c>
      <c r="M157" t="n">
        <v>0</v>
      </c>
      <c r="N157" t="n">
        <v>0</v>
      </c>
      <c r="O157" t="n">
        <v>0</v>
      </c>
      <c r="P157" t="n">
        <v>0</v>
      </c>
      <c r="Q157" t="n">
        <v>0</v>
      </c>
      <c r="R157" s="2" t="inlineStr"/>
    </row>
    <row r="158" ht="15" customHeight="1">
      <c r="A158" t="inlineStr">
        <is>
          <t>A 20036-2025</t>
        </is>
      </c>
      <c r="B158" s="1" t="n">
        <v>45772.36670138889</v>
      </c>
      <c r="C158" s="1" t="n">
        <v>45883</v>
      </c>
      <c r="D158" t="inlineStr">
        <is>
          <t>VÄSTERBOTTENS LÄN</t>
        </is>
      </c>
      <c r="E158" t="inlineStr">
        <is>
          <t>ÅSELE</t>
        </is>
      </c>
      <c r="F158" t="inlineStr">
        <is>
          <t>Holmen skog AB</t>
        </is>
      </c>
      <c r="G158" t="n">
        <v>2.6</v>
      </c>
      <c r="H158" t="n">
        <v>0</v>
      </c>
      <c r="I158" t="n">
        <v>0</v>
      </c>
      <c r="J158" t="n">
        <v>0</v>
      </c>
      <c r="K158" t="n">
        <v>0</v>
      </c>
      <c r="L158" t="n">
        <v>0</v>
      </c>
      <c r="M158" t="n">
        <v>0</v>
      </c>
      <c r="N158" t="n">
        <v>0</v>
      </c>
      <c r="O158" t="n">
        <v>0</v>
      </c>
      <c r="P158" t="n">
        <v>0</v>
      </c>
      <c r="Q158" t="n">
        <v>0</v>
      </c>
      <c r="R158" s="2" t="inlineStr"/>
    </row>
    <row r="159" ht="15" customHeight="1">
      <c r="A159" t="inlineStr">
        <is>
          <t>A 45689-2022</t>
        </is>
      </c>
      <c r="B159" s="1" t="n">
        <v>44845.95304398148</v>
      </c>
      <c r="C159" s="1" t="n">
        <v>45883</v>
      </c>
      <c r="D159" t="inlineStr">
        <is>
          <t>VÄSTERBOTTENS LÄN</t>
        </is>
      </c>
      <c r="E159" t="inlineStr">
        <is>
          <t>ÅSELE</t>
        </is>
      </c>
      <c r="F159" t="inlineStr">
        <is>
          <t>SCA</t>
        </is>
      </c>
      <c r="G159" t="n">
        <v>9.5</v>
      </c>
      <c r="H159" t="n">
        <v>0</v>
      </c>
      <c r="I159" t="n">
        <v>0</v>
      </c>
      <c r="J159" t="n">
        <v>0</v>
      </c>
      <c r="K159" t="n">
        <v>0</v>
      </c>
      <c r="L159" t="n">
        <v>0</v>
      </c>
      <c r="M159" t="n">
        <v>0</v>
      </c>
      <c r="N159" t="n">
        <v>0</v>
      </c>
      <c r="O159" t="n">
        <v>0</v>
      </c>
      <c r="P159" t="n">
        <v>0</v>
      </c>
      <c r="Q159" t="n">
        <v>0</v>
      </c>
      <c r="R159" s="2" t="inlineStr"/>
    </row>
    <row r="160" ht="15" customHeight="1">
      <c r="A160" t="inlineStr">
        <is>
          <t>A 48488-2023</t>
        </is>
      </c>
      <c r="B160" s="1" t="n">
        <v>45206</v>
      </c>
      <c r="C160" s="1" t="n">
        <v>45883</v>
      </c>
      <c r="D160" t="inlineStr">
        <is>
          <t>VÄSTERBOTTENS LÄN</t>
        </is>
      </c>
      <c r="E160" t="inlineStr">
        <is>
          <t>ÅSELE</t>
        </is>
      </c>
      <c r="F160" t="inlineStr">
        <is>
          <t>SCA</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22093-2023</t>
        </is>
      </c>
      <c r="B161" s="1" t="n">
        <v>45068</v>
      </c>
      <c r="C161" s="1" t="n">
        <v>45883</v>
      </c>
      <c r="D161" t="inlineStr">
        <is>
          <t>VÄSTERBOTTENS LÄN</t>
        </is>
      </c>
      <c r="E161" t="inlineStr">
        <is>
          <t>ÅSELE</t>
        </is>
      </c>
      <c r="G161" t="n">
        <v>1.9</v>
      </c>
      <c r="H161" t="n">
        <v>0</v>
      </c>
      <c r="I161" t="n">
        <v>0</v>
      </c>
      <c r="J161" t="n">
        <v>0</v>
      </c>
      <c r="K161" t="n">
        <v>0</v>
      </c>
      <c r="L161" t="n">
        <v>0</v>
      </c>
      <c r="M161" t="n">
        <v>0</v>
      </c>
      <c r="N161" t="n">
        <v>0</v>
      </c>
      <c r="O161" t="n">
        <v>0</v>
      </c>
      <c r="P161" t="n">
        <v>0</v>
      </c>
      <c r="Q161" t="n">
        <v>0</v>
      </c>
      <c r="R161" s="2" t="inlineStr"/>
    </row>
    <row r="162" ht="15" customHeight="1">
      <c r="A162" t="inlineStr">
        <is>
          <t>A 48670-2023</t>
        </is>
      </c>
      <c r="B162" s="1" t="n">
        <v>45208.62702546296</v>
      </c>
      <c r="C162" s="1" t="n">
        <v>45883</v>
      </c>
      <c r="D162" t="inlineStr">
        <is>
          <t>VÄSTERBOTTENS LÄN</t>
        </is>
      </c>
      <c r="E162" t="inlineStr">
        <is>
          <t>ÅSELE</t>
        </is>
      </c>
      <c r="F162" t="inlineStr">
        <is>
          <t>Naturvårdsverket</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29776-2022</t>
        </is>
      </c>
      <c r="B163" s="1" t="n">
        <v>44755</v>
      </c>
      <c r="C163" s="1" t="n">
        <v>45883</v>
      </c>
      <c r="D163" t="inlineStr">
        <is>
          <t>VÄSTERBOTTENS LÄN</t>
        </is>
      </c>
      <c r="E163" t="inlineStr">
        <is>
          <t>ÅSELE</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46173-2023</t>
        </is>
      </c>
      <c r="B164" s="1" t="n">
        <v>45196.6055324074</v>
      </c>
      <c r="C164" s="1" t="n">
        <v>45883</v>
      </c>
      <c r="D164" t="inlineStr">
        <is>
          <t>VÄSTERBOTTENS LÄN</t>
        </is>
      </c>
      <c r="E164" t="inlineStr">
        <is>
          <t>ÅSELE</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46224-2023</t>
        </is>
      </c>
      <c r="B165" s="1" t="n">
        <v>45196</v>
      </c>
      <c r="C165" s="1" t="n">
        <v>45883</v>
      </c>
      <c r="D165" t="inlineStr">
        <is>
          <t>VÄSTERBOTTENS LÄN</t>
        </is>
      </c>
      <c r="E165" t="inlineStr">
        <is>
          <t>ÅSELE</t>
        </is>
      </c>
      <c r="F165" t="inlineStr">
        <is>
          <t>Naturvårdsverket</t>
        </is>
      </c>
      <c r="G165" t="n">
        <v>3</v>
      </c>
      <c r="H165" t="n">
        <v>0</v>
      </c>
      <c r="I165" t="n">
        <v>0</v>
      </c>
      <c r="J165" t="n">
        <v>0</v>
      </c>
      <c r="K165" t="n">
        <v>0</v>
      </c>
      <c r="L165" t="n">
        <v>0</v>
      </c>
      <c r="M165" t="n">
        <v>0</v>
      </c>
      <c r="N165" t="n">
        <v>0</v>
      </c>
      <c r="O165" t="n">
        <v>0</v>
      </c>
      <c r="P165" t="n">
        <v>0</v>
      </c>
      <c r="Q165" t="n">
        <v>0</v>
      </c>
      <c r="R165" s="2" t="inlineStr"/>
    </row>
    <row r="166" ht="15" customHeight="1">
      <c r="A166" t="inlineStr">
        <is>
          <t>A 12359-2024</t>
        </is>
      </c>
      <c r="B166" s="1" t="n">
        <v>45378.93795138889</v>
      </c>
      <c r="C166" s="1" t="n">
        <v>45883</v>
      </c>
      <c r="D166" t="inlineStr">
        <is>
          <t>VÄSTERBOTTENS LÄN</t>
        </is>
      </c>
      <c r="E166" t="inlineStr">
        <is>
          <t>ÅSELE</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20304-2025</t>
        </is>
      </c>
      <c r="B167" s="1" t="n">
        <v>45774</v>
      </c>
      <c r="C167" s="1" t="n">
        <v>45883</v>
      </c>
      <c r="D167" t="inlineStr">
        <is>
          <t>VÄSTERBOTTENS LÄN</t>
        </is>
      </c>
      <c r="E167" t="inlineStr">
        <is>
          <t>ÅSELE</t>
        </is>
      </c>
      <c r="G167" t="n">
        <v>2.2</v>
      </c>
      <c r="H167" t="n">
        <v>0</v>
      </c>
      <c r="I167" t="n">
        <v>0</v>
      </c>
      <c r="J167" t="n">
        <v>0</v>
      </c>
      <c r="K167" t="n">
        <v>0</v>
      </c>
      <c r="L167" t="n">
        <v>0</v>
      </c>
      <c r="M167" t="n">
        <v>0</v>
      </c>
      <c r="N167" t="n">
        <v>0</v>
      </c>
      <c r="O167" t="n">
        <v>0</v>
      </c>
      <c r="P167" t="n">
        <v>0</v>
      </c>
      <c r="Q167" t="n">
        <v>0</v>
      </c>
      <c r="R167" s="2" t="inlineStr"/>
    </row>
    <row r="168" ht="15" customHeight="1">
      <c r="A168" t="inlineStr">
        <is>
          <t>A 50539-2022</t>
        </is>
      </c>
      <c r="B168" s="1" t="n">
        <v>44866</v>
      </c>
      <c r="C168" s="1" t="n">
        <v>45883</v>
      </c>
      <c r="D168" t="inlineStr">
        <is>
          <t>VÄSTERBOTTENS LÄN</t>
        </is>
      </c>
      <c r="E168" t="inlineStr">
        <is>
          <t>ÅSELE</t>
        </is>
      </c>
      <c r="F168" t="inlineStr">
        <is>
          <t>Holmen skog AB</t>
        </is>
      </c>
      <c r="G168" t="n">
        <v>4.9</v>
      </c>
      <c r="H168" t="n">
        <v>0</v>
      </c>
      <c r="I168" t="n">
        <v>0</v>
      </c>
      <c r="J168" t="n">
        <v>0</v>
      </c>
      <c r="K168" t="n">
        <v>0</v>
      </c>
      <c r="L168" t="n">
        <v>0</v>
      </c>
      <c r="M168" t="n">
        <v>0</v>
      </c>
      <c r="N168" t="n">
        <v>0</v>
      </c>
      <c r="O168" t="n">
        <v>0</v>
      </c>
      <c r="P168" t="n">
        <v>0</v>
      </c>
      <c r="Q168" t="n">
        <v>0</v>
      </c>
      <c r="R168" s="2" t="inlineStr"/>
    </row>
    <row r="169" ht="15" customHeight="1">
      <c r="A169" t="inlineStr">
        <is>
          <t>A 33219-2021</t>
        </is>
      </c>
      <c r="B169" s="1" t="n">
        <v>44376.93453703704</v>
      </c>
      <c r="C169" s="1" t="n">
        <v>45883</v>
      </c>
      <c r="D169" t="inlineStr">
        <is>
          <t>VÄSTERBOTTENS LÄN</t>
        </is>
      </c>
      <c r="E169" t="inlineStr">
        <is>
          <t>ÅSELE</t>
        </is>
      </c>
      <c r="F169" t="inlineStr">
        <is>
          <t>SCA</t>
        </is>
      </c>
      <c r="G169" t="n">
        <v>3.9</v>
      </c>
      <c r="H169" t="n">
        <v>0</v>
      </c>
      <c r="I169" t="n">
        <v>0</v>
      </c>
      <c r="J169" t="n">
        <v>0</v>
      </c>
      <c r="K169" t="n">
        <v>0</v>
      </c>
      <c r="L169" t="n">
        <v>0</v>
      </c>
      <c r="M169" t="n">
        <v>0</v>
      </c>
      <c r="N169" t="n">
        <v>0</v>
      </c>
      <c r="O169" t="n">
        <v>0</v>
      </c>
      <c r="P169" t="n">
        <v>0</v>
      </c>
      <c r="Q169" t="n">
        <v>0</v>
      </c>
      <c r="R169" s="2" t="inlineStr"/>
    </row>
    <row r="170" ht="15" customHeight="1">
      <c r="A170" t="inlineStr">
        <is>
          <t>A 30129-2022</t>
        </is>
      </c>
      <c r="B170" s="1" t="n">
        <v>44757.43614583334</v>
      </c>
      <c r="C170" s="1" t="n">
        <v>45883</v>
      </c>
      <c r="D170" t="inlineStr">
        <is>
          <t>VÄSTERBOTTENS LÄN</t>
        </is>
      </c>
      <c r="E170" t="inlineStr">
        <is>
          <t>ÅSELE</t>
        </is>
      </c>
      <c r="F170" t="inlineStr">
        <is>
          <t>Sveaskog</t>
        </is>
      </c>
      <c r="G170" t="n">
        <v>9.9</v>
      </c>
      <c r="H170" t="n">
        <v>0</v>
      </c>
      <c r="I170" t="n">
        <v>0</v>
      </c>
      <c r="J170" t="n">
        <v>0</v>
      </c>
      <c r="K170" t="n">
        <v>0</v>
      </c>
      <c r="L170" t="n">
        <v>0</v>
      </c>
      <c r="M170" t="n">
        <v>0</v>
      </c>
      <c r="N170" t="n">
        <v>0</v>
      </c>
      <c r="O170" t="n">
        <v>0</v>
      </c>
      <c r="P170" t="n">
        <v>0</v>
      </c>
      <c r="Q170" t="n">
        <v>0</v>
      </c>
      <c r="R170" s="2" t="inlineStr"/>
    </row>
    <row r="171" ht="15" customHeight="1">
      <c r="A171" t="inlineStr">
        <is>
          <t>A 48440-2023</t>
        </is>
      </c>
      <c r="B171" s="1" t="n">
        <v>45205</v>
      </c>
      <c r="C171" s="1" t="n">
        <v>45883</v>
      </c>
      <c r="D171" t="inlineStr">
        <is>
          <t>VÄSTERBOTTENS LÄN</t>
        </is>
      </c>
      <c r="E171" t="inlineStr">
        <is>
          <t>ÅSELE</t>
        </is>
      </c>
      <c r="F171" t="inlineStr">
        <is>
          <t>SCA</t>
        </is>
      </c>
      <c r="G171" t="n">
        <v>8.199999999999999</v>
      </c>
      <c r="H171" t="n">
        <v>0</v>
      </c>
      <c r="I171" t="n">
        <v>0</v>
      </c>
      <c r="J171" t="n">
        <v>0</v>
      </c>
      <c r="K171" t="n">
        <v>0</v>
      </c>
      <c r="L171" t="n">
        <v>0</v>
      </c>
      <c r="M171" t="n">
        <v>0</v>
      </c>
      <c r="N171" t="n">
        <v>0</v>
      </c>
      <c r="O171" t="n">
        <v>0</v>
      </c>
      <c r="P171" t="n">
        <v>0</v>
      </c>
      <c r="Q171" t="n">
        <v>0</v>
      </c>
      <c r="R171" s="2" t="inlineStr"/>
    </row>
    <row r="172" ht="15" customHeight="1">
      <c r="A172" t="inlineStr">
        <is>
          <t>A 34787-2022</t>
        </is>
      </c>
      <c r="B172" s="1" t="n">
        <v>44795</v>
      </c>
      <c r="C172" s="1" t="n">
        <v>45883</v>
      </c>
      <c r="D172" t="inlineStr">
        <is>
          <t>VÄSTERBOTTENS LÄN</t>
        </is>
      </c>
      <c r="E172" t="inlineStr">
        <is>
          <t>ÅSELE</t>
        </is>
      </c>
      <c r="F172" t="inlineStr">
        <is>
          <t>SCA</t>
        </is>
      </c>
      <c r="G172" t="n">
        <v>0.7</v>
      </c>
      <c r="H172" t="n">
        <v>0</v>
      </c>
      <c r="I172" t="n">
        <v>0</v>
      </c>
      <c r="J172" t="n">
        <v>0</v>
      </c>
      <c r="K172" t="n">
        <v>0</v>
      </c>
      <c r="L172" t="n">
        <v>0</v>
      </c>
      <c r="M172" t="n">
        <v>0</v>
      </c>
      <c r="N172" t="n">
        <v>0</v>
      </c>
      <c r="O172" t="n">
        <v>0</v>
      </c>
      <c r="P172" t="n">
        <v>0</v>
      </c>
      <c r="Q172" t="n">
        <v>0</v>
      </c>
      <c r="R172" s="2" t="inlineStr"/>
    </row>
    <row r="173" ht="15" customHeight="1">
      <c r="A173" t="inlineStr">
        <is>
          <t>A 26677-2023</t>
        </is>
      </c>
      <c r="B173" s="1" t="n">
        <v>45093.31925925926</v>
      </c>
      <c r="C173" s="1" t="n">
        <v>45883</v>
      </c>
      <c r="D173" t="inlineStr">
        <is>
          <t>VÄSTERBOTTENS LÄN</t>
        </is>
      </c>
      <c r="E173" t="inlineStr">
        <is>
          <t>ÅSELE</t>
        </is>
      </c>
      <c r="F173" t="inlineStr">
        <is>
          <t>Sveaskog</t>
        </is>
      </c>
      <c r="G173" t="n">
        <v>3.3</v>
      </c>
      <c r="H173" t="n">
        <v>0</v>
      </c>
      <c r="I173" t="n">
        <v>0</v>
      </c>
      <c r="J173" t="n">
        <v>0</v>
      </c>
      <c r="K173" t="n">
        <v>0</v>
      </c>
      <c r="L173" t="n">
        <v>0</v>
      </c>
      <c r="M173" t="n">
        <v>0</v>
      </c>
      <c r="N173" t="n">
        <v>0</v>
      </c>
      <c r="O173" t="n">
        <v>0</v>
      </c>
      <c r="P173" t="n">
        <v>0</v>
      </c>
      <c r="Q173" t="n">
        <v>0</v>
      </c>
      <c r="R173" s="2" t="inlineStr"/>
    </row>
    <row r="174" ht="15" customHeight="1">
      <c r="A174" t="inlineStr">
        <is>
          <t>A 17447-2025</t>
        </is>
      </c>
      <c r="B174" s="1" t="n">
        <v>45757</v>
      </c>
      <c r="C174" s="1" t="n">
        <v>45883</v>
      </c>
      <c r="D174" t="inlineStr">
        <is>
          <t>VÄSTERBOTTENS LÄN</t>
        </is>
      </c>
      <c r="E174" t="inlineStr">
        <is>
          <t>ÅSELE</t>
        </is>
      </c>
      <c r="G174" t="n">
        <v>1.8</v>
      </c>
      <c r="H174" t="n">
        <v>0</v>
      </c>
      <c r="I174" t="n">
        <v>0</v>
      </c>
      <c r="J174" t="n">
        <v>0</v>
      </c>
      <c r="K174" t="n">
        <v>0</v>
      </c>
      <c r="L174" t="n">
        <v>0</v>
      </c>
      <c r="M174" t="n">
        <v>0</v>
      </c>
      <c r="N174" t="n">
        <v>0</v>
      </c>
      <c r="O174" t="n">
        <v>0</v>
      </c>
      <c r="P174" t="n">
        <v>0</v>
      </c>
      <c r="Q174" t="n">
        <v>0</v>
      </c>
      <c r="R174" s="2" t="inlineStr"/>
    </row>
    <row r="175" ht="15" customHeight="1">
      <c r="A175" t="inlineStr">
        <is>
          <t>A 49840-2020</t>
        </is>
      </c>
      <c r="B175" s="1" t="n">
        <v>44106</v>
      </c>
      <c r="C175" s="1" t="n">
        <v>45883</v>
      </c>
      <c r="D175" t="inlineStr">
        <is>
          <t>VÄSTERBOTTENS LÄN</t>
        </is>
      </c>
      <c r="E175" t="inlineStr">
        <is>
          <t>ÅSELE</t>
        </is>
      </c>
      <c r="F175" t="inlineStr">
        <is>
          <t>SCA</t>
        </is>
      </c>
      <c r="G175" t="n">
        <v>3.4</v>
      </c>
      <c r="H175" t="n">
        <v>0</v>
      </c>
      <c r="I175" t="n">
        <v>0</v>
      </c>
      <c r="J175" t="n">
        <v>0</v>
      </c>
      <c r="K175" t="n">
        <v>0</v>
      </c>
      <c r="L175" t="n">
        <v>0</v>
      </c>
      <c r="M175" t="n">
        <v>0</v>
      </c>
      <c r="N175" t="n">
        <v>0</v>
      </c>
      <c r="O175" t="n">
        <v>0</v>
      </c>
      <c r="P175" t="n">
        <v>0</v>
      </c>
      <c r="Q175" t="n">
        <v>0</v>
      </c>
      <c r="R175" s="2" t="inlineStr"/>
    </row>
    <row r="176" ht="15" customHeight="1">
      <c r="A176" t="inlineStr">
        <is>
          <t>A 10770-2024</t>
        </is>
      </c>
      <c r="B176" s="1" t="n">
        <v>45369</v>
      </c>
      <c r="C176" s="1" t="n">
        <v>45883</v>
      </c>
      <c r="D176" t="inlineStr">
        <is>
          <t>VÄSTERBOTTENS LÄN</t>
        </is>
      </c>
      <c r="E176" t="inlineStr">
        <is>
          <t>ÅSELE</t>
        </is>
      </c>
      <c r="F176" t="inlineStr">
        <is>
          <t>Holmen skog AB</t>
        </is>
      </c>
      <c r="G176" t="n">
        <v>4.2</v>
      </c>
      <c r="H176" t="n">
        <v>0</v>
      </c>
      <c r="I176" t="n">
        <v>0</v>
      </c>
      <c r="J176" t="n">
        <v>0</v>
      </c>
      <c r="K176" t="n">
        <v>0</v>
      </c>
      <c r="L176" t="n">
        <v>0</v>
      </c>
      <c r="M176" t="n">
        <v>0</v>
      </c>
      <c r="N176" t="n">
        <v>0</v>
      </c>
      <c r="O176" t="n">
        <v>0</v>
      </c>
      <c r="P176" t="n">
        <v>0</v>
      </c>
      <c r="Q176" t="n">
        <v>0</v>
      </c>
      <c r="R176" s="2" t="inlineStr"/>
    </row>
    <row r="177" ht="15" customHeight="1">
      <c r="A177" t="inlineStr">
        <is>
          <t>A 5955-2024</t>
        </is>
      </c>
      <c r="B177" s="1" t="n">
        <v>45336.44858796296</v>
      </c>
      <c r="C177" s="1" t="n">
        <v>45883</v>
      </c>
      <c r="D177" t="inlineStr">
        <is>
          <t>VÄSTERBOTTENS LÄN</t>
        </is>
      </c>
      <c r="E177" t="inlineStr">
        <is>
          <t>ÅSELE</t>
        </is>
      </c>
      <c r="F177" t="inlineStr">
        <is>
          <t>Naturvårdsverket</t>
        </is>
      </c>
      <c r="G177" t="n">
        <v>22.6</v>
      </c>
      <c r="H177" t="n">
        <v>0</v>
      </c>
      <c r="I177" t="n">
        <v>0</v>
      </c>
      <c r="J177" t="n">
        <v>0</v>
      </c>
      <c r="K177" t="n">
        <v>0</v>
      </c>
      <c r="L177" t="n">
        <v>0</v>
      </c>
      <c r="M177" t="n">
        <v>0</v>
      </c>
      <c r="N177" t="n">
        <v>0</v>
      </c>
      <c r="O177" t="n">
        <v>0</v>
      </c>
      <c r="P177" t="n">
        <v>0</v>
      </c>
      <c r="Q177" t="n">
        <v>0</v>
      </c>
      <c r="R177" s="2" t="inlineStr"/>
    </row>
    <row r="178" ht="15" customHeight="1">
      <c r="A178" t="inlineStr">
        <is>
          <t>A 17805-2025</t>
        </is>
      </c>
      <c r="B178" s="1" t="n">
        <v>45758.5525462963</v>
      </c>
      <c r="C178" s="1" t="n">
        <v>45883</v>
      </c>
      <c r="D178" t="inlineStr">
        <is>
          <t>VÄSTERBOTTENS LÄN</t>
        </is>
      </c>
      <c r="E178" t="inlineStr">
        <is>
          <t>ÅSELE</t>
        </is>
      </c>
      <c r="F178" t="inlineStr">
        <is>
          <t>SCA</t>
        </is>
      </c>
      <c r="G178" t="n">
        <v>3</v>
      </c>
      <c r="H178" t="n">
        <v>0</v>
      </c>
      <c r="I178" t="n">
        <v>0</v>
      </c>
      <c r="J178" t="n">
        <v>0</v>
      </c>
      <c r="K178" t="n">
        <v>0</v>
      </c>
      <c r="L178" t="n">
        <v>0</v>
      </c>
      <c r="M178" t="n">
        <v>0</v>
      </c>
      <c r="N178" t="n">
        <v>0</v>
      </c>
      <c r="O178" t="n">
        <v>0</v>
      </c>
      <c r="P178" t="n">
        <v>0</v>
      </c>
      <c r="Q178" t="n">
        <v>0</v>
      </c>
      <c r="R178" s="2" t="inlineStr"/>
    </row>
    <row r="179" ht="15" customHeight="1">
      <c r="A179" t="inlineStr">
        <is>
          <t>A 19572-2025</t>
        </is>
      </c>
      <c r="B179" s="1" t="n">
        <v>45770.55261574074</v>
      </c>
      <c r="C179" s="1" t="n">
        <v>45883</v>
      </c>
      <c r="D179" t="inlineStr">
        <is>
          <t>VÄSTERBOTTENS LÄN</t>
        </is>
      </c>
      <c r="E179" t="inlineStr">
        <is>
          <t>ÅSELE</t>
        </is>
      </c>
      <c r="F179" t="inlineStr">
        <is>
          <t>SCA</t>
        </is>
      </c>
      <c r="G179" t="n">
        <v>5.5</v>
      </c>
      <c r="H179" t="n">
        <v>0</v>
      </c>
      <c r="I179" t="n">
        <v>0</v>
      </c>
      <c r="J179" t="n">
        <v>0</v>
      </c>
      <c r="K179" t="n">
        <v>0</v>
      </c>
      <c r="L179" t="n">
        <v>0</v>
      </c>
      <c r="M179" t="n">
        <v>0</v>
      </c>
      <c r="N179" t="n">
        <v>0</v>
      </c>
      <c r="O179" t="n">
        <v>0</v>
      </c>
      <c r="P179" t="n">
        <v>0</v>
      </c>
      <c r="Q179" t="n">
        <v>0</v>
      </c>
      <c r="R179" s="2" t="inlineStr"/>
    </row>
    <row r="180" ht="15" customHeight="1">
      <c r="A180" t="inlineStr">
        <is>
          <t>A 18936-2025</t>
        </is>
      </c>
      <c r="B180" s="1" t="n">
        <v>45764.48995370371</v>
      </c>
      <c r="C180" s="1" t="n">
        <v>45883</v>
      </c>
      <c r="D180" t="inlineStr">
        <is>
          <t>VÄSTERBOTTENS LÄN</t>
        </is>
      </c>
      <c r="E180" t="inlineStr">
        <is>
          <t>ÅSELE</t>
        </is>
      </c>
      <c r="F180" t="inlineStr">
        <is>
          <t>SCA</t>
        </is>
      </c>
      <c r="G180" t="n">
        <v>6.1</v>
      </c>
      <c r="H180" t="n">
        <v>0</v>
      </c>
      <c r="I180" t="n">
        <v>0</v>
      </c>
      <c r="J180" t="n">
        <v>0</v>
      </c>
      <c r="K180" t="n">
        <v>0</v>
      </c>
      <c r="L180" t="n">
        <v>0</v>
      </c>
      <c r="M180" t="n">
        <v>0</v>
      </c>
      <c r="N180" t="n">
        <v>0</v>
      </c>
      <c r="O180" t="n">
        <v>0</v>
      </c>
      <c r="P180" t="n">
        <v>0</v>
      </c>
      <c r="Q180" t="n">
        <v>0</v>
      </c>
      <c r="R180" s="2" t="inlineStr"/>
    </row>
    <row r="181" ht="15" customHeight="1">
      <c r="A181" t="inlineStr">
        <is>
          <t>A 6326-2025</t>
        </is>
      </c>
      <c r="B181" s="1" t="n">
        <v>45698.85268518519</v>
      </c>
      <c r="C181" s="1" t="n">
        <v>45883</v>
      </c>
      <c r="D181" t="inlineStr">
        <is>
          <t>VÄSTERBOTTENS LÄN</t>
        </is>
      </c>
      <c r="E181" t="inlineStr">
        <is>
          <t>ÅSELE</t>
        </is>
      </c>
      <c r="G181" t="n">
        <v>4.4</v>
      </c>
      <c r="H181" t="n">
        <v>0</v>
      </c>
      <c r="I181" t="n">
        <v>0</v>
      </c>
      <c r="J181" t="n">
        <v>0</v>
      </c>
      <c r="K181" t="n">
        <v>0</v>
      </c>
      <c r="L181" t="n">
        <v>0</v>
      </c>
      <c r="M181" t="n">
        <v>0</v>
      </c>
      <c r="N181" t="n">
        <v>0</v>
      </c>
      <c r="O181" t="n">
        <v>0</v>
      </c>
      <c r="P181" t="n">
        <v>0</v>
      </c>
      <c r="Q181" t="n">
        <v>0</v>
      </c>
      <c r="R181" s="2" t="inlineStr"/>
    </row>
    <row r="182" ht="15" customHeight="1">
      <c r="A182" t="inlineStr">
        <is>
          <t>A 30587-2024</t>
        </is>
      </c>
      <c r="B182" s="1" t="n">
        <v>45492.96230324074</v>
      </c>
      <c r="C182" s="1" t="n">
        <v>45883</v>
      </c>
      <c r="D182" t="inlineStr">
        <is>
          <t>VÄSTERBOTTENS LÄN</t>
        </is>
      </c>
      <c r="E182" t="inlineStr">
        <is>
          <t>ÅSELE</t>
        </is>
      </c>
      <c r="F182" t="inlineStr">
        <is>
          <t>SCA</t>
        </is>
      </c>
      <c r="G182" t="n">
        <v>4.4</v>
      </c>
      <c r="H182" t="n">
        <v>0</v>
      </c>
      <c r="I182" t="n">
        <v>0</v>
      </c>
      <c r="J182" t="n">
        <v>0</v>
      </c>
      <c r="K182" t="n">
        <v>0</v>
      </c>
      <c r="L182" t="n">
        <v>0</v>
      </c>
      <c r="M182" t="n">
        <v>0</v>
      </c>
      <c r="N182" t="n">
        <v>0</v>
      </c>
      <c r="O182" t="n">
        <v>0</v>
      </c>
      <c r="P182" t="n">
        <v>0</v>
      </c>
      <c r="Q182" t="n">
        <v>0</v>
      </c>
      <c r="R182" s="2" t="inlineStr"/>
    </row>
    <row r="183" ht="15" customHeight="1">
      <c r="A183" t="inlineStr">
        <is>
          <t>A 21107-2023</t>
        </is>
      </c>
      <c r="B183" s="1" t="n">
        <v>45061</v>
      </c>
      <c r="C183" s="1" t="n">
        <v>45883</v>
      </c>
      <c r="D183" t="inlineStr">
        <is>
          <t>VÄSTERBOTTENS LÄN</t>
        </is>
      </c>
      <c r="E183" t="inlineStr">
        <is>
          <t>ÅSELE</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13011-2025</t>
        </is>
      </c>
      <c r="B184" s="1" t="n">
        <v>45734.53167824074</v>
      </c>
      <c r="C184" s="1" t="n">
        <v>45883</v>
      </c>
      <c r="D184" t="inlineStr">
        <is>
          <t>VÄSTERBOTTENS LÄN</t>
        </is>
      </c>
      <c r="E184" t="inlineStr">
        <is>
          <t>ÅSELE</t>
        </is>
      </c>
      <c r="F184" t="inlineStr">
        <is>
          <t>SCA</t>
        </is>
      </c>
      <c r="G184" t="n">
        <v>2.1</v>
      </c>
      <c r="H184" t="n">
        <v>0</v>
      </c>
      <c r="I184" t="n">
        <v>0</v>
      </c>
      <c r="J184" t="n">
        <v>0</v>
      </c>
      <c r="K184" t="n">
        <v>0</v>
      </c>
      <c r="L184" t="n">
        <v>0</v>
      </c>
      <c r="M184" t="n">
        <v>0</v>
      </c>
      <c r="N184" t="n">
        <v>0</v>
      </c>
      <c r="O184" t="n">
        <v>0</v>
      </c>
      <c r="P184" t="n">
        <v>0</v>
      </c>
      <c r="Q184" t="n">
        <v>0</v>
      </c>
      <c r="R184" s="2" t="inlineStr"/>
    </row>
    <row r="185" ht="15" customHeight="1">
      <c r="A185" t="inlineStr">
        <is>
          <t>A 19330-2024</t>
        </is>
      </c>
      <c r="B185" s="1" t="n">
        <v>45428</v>
      </c>
      <c r="C185" s="1" t="n">
        <v>45883</v>
      </c>
      <c r="D185" t="inlineStr">
        <is>
          <t>VÄSTERBOTTENS LÄN</t>
        </is>
      </c>
      <c r="E185" t="inlineStr">
        <is>
          <t>ÅSELE</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10760-2023</t>
        </is>
      </c>
      <c r="B186" s="1" t="n">
        <v>44988.92247685185</v>
      </c>
      <c r="C186" s="1" t="n">
        <v>45883</v>
      </c>
      <c r="D186" t="inlineStr">
        <is>
          <t>VÄSTERBOTTENS LÄN</t>
        </is>
      </c>
      <c r="E186" t="inlineStr">
        <is>
          <t>ÅSELE</t>
        </is>
      </c>
      <c r="G186" t="n">
        <v>0.3</v>
      </c>
      <c r="H186" t="n">
        <v>0</v>
      </c>
      <c r="I186" t="n">
        <v>0</v>
      </c>
      <c r="J186" t="n">
        <v>0</v>
      </c>
      <c r="K186" t="n">
        <v>0</v>
      </c>
      <c r="L186" t="n">
        <v>0</v>
      </c>
      <c r="M186" t="n">
        <v>0</v>
      </c>
      <c r="N186" t="n">
        <v>0</v>
      </c>
      <c r="O186" t="n">
        <v>0</v>
      </c>
      <c r="P186" t="n">
        <v>0</v>
      </c>
      <c r="Q186" t="n">
        <v>0</v>
      </c>
      <c r="R186" s="2" t="inlineStr"/>
    </row>
    <row r="187" ht="15" customHeight="1">
      <c r="A187" t="inlineStr">
        <is>
          <t>A 10761-2023</t>
        </is>
      </c>
      <c r="B187" s="1" t="n">
        <v>44988.92252314815</v>
      </c>
      <c r="C187" s="1" t="n">
        <v>45883</v>
      </c>
      <c r="D187" t="inlineStr">
        <is>
          <t>VÄSTERBOTTENS LÄN</t>
        </is>
      </c>
      <c r="E187" t="inlineStr">
        <is>
          <t>ÅSELE</t>
        </is>
      </c>
      <c r="G187" t="n">
        <v>0.3</v>
      </c>
      <c r="H187" t="n">
        <v>0</v>
      </c>
      <c r="I187" t="n">
        <v>0</v>
      </c>
      <c r="J187" t="n">
        <v>0</v>
      </c>
      <c r="K187" t="n">
        <v>0</v>
      </c>
      <c r="L187" t="n">
        <v>0</v>
      </c>
      <c r="M187" t="n">
        <v>0</v>
      </c>
      <c r="N187" t="n">
        <v>0</v>
      </c>
      <c r="O187" t="n">
        <v>0</v>
      </c>
      <c r="P187" t="n">
        <v>0</v>
      </c>
      <c r="Q187" t="n">
        <v>0</v>
      </c>
      <c r="R187" s="2" t="inlineStr"/>
    </row>
    <row r="188" ht="15" customHeight="1">
      <c r="A188" t="inlineStr">
        <is>
          <t>A 42642-2024</t>
        </is>
      </c>
      <c r="B188" s="1" t="n">
        <v>45566</v>
      </c>
      <c r="C188" s="1" t="n">
        <v>45883</v>
      </c>
      <c r="D188" t="inlineStr">
        <is>
          <t>VÄSTERBOTTENS LÄN</t>
        </is>
      </c>
      <c r="E188" t="inlineStr">
        <is>
          <t>ÅSELE</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19462-2025</t>
        </is>
      </c>
      <c r="B189" s="1" t="n">
        <v>45770.36570601852</v>
      </c>
      <c r="C189" s="1" t="n">
        <v>45883</v>
      </c>
      <c r="D189" t="inlineStr">
        <is>
          <t>VÄSTERBOTTENS LÄN</t>
        </is>
      </c>
      <c r="E189" t="inlineStr">
        <is>
          <t>ÅSELE</t>
        </is>
      </c>
      <c r="F189" t="inlineStr">
        <is>
          <t>SCA</t>
        </is>
      </c>
      <c r="G189" t="n">
        <v>2.1</v>
      </c>
      <c r="H189" t="n">
        <v>0</v>
      </c>
      <c r="I189" t="n">
        <v>0</v>
      </c>
      <c r="J189" t="n">
        <v>0</v>
      </c>
      <c r="K189" t="n">
        <v>0</v>
      </c>
      <c r="L189" t="n">
        <v>0</v>
      </c>
      <c r="M189" t="n">
        <v>0</v>
      </c>
      <c r="N189" t="n">
        <v>0</v>
      </c>
      <c r="O189" t="n">
        <v>0</v>
      </c>
      <c r="P189" t="n">
        <v>0</v>
      </c>
      <c r="Q189" t="n">
        <v>0</v>
      </c>
      <c r="R189" s="2" t="inlineStr"/>
    </row>
    <row r="190" ht="15" customHeight="1">
      <c r="A190" t="inlineStr">
        <is>
          <t>A 17683-2025</t>
        </is>
      </c>
      <c r="B190" s="1" t="n">
        <v>45758.3859375</v>
      </c>
      <c r="C190" s="1" t="n">
        <v>45883</v>
      </c>
      <c r="D190" t="inlineStr">
        <is>
          <t>VÄSTERBOTTENS LÄN</t>
        </is>
      </c>
      <c r="E190" t="inlineStr">
        <is>
          <t>ÅSELE</t>
        </is>
      </c>
      <c r="F190" t="inlineStr">
        <is>
          <t>SCA</t>
        </is>
      </c>
      <c r="G190" t="n">
        <v>8.1</v>
      </c>
      <c r="H190" t="n">
        <v>0</v>
      </c>
      <c r="I190" t="n">
        <v>0</v>
      </c>
      <c r="J190" t="n">
        <v>0</v>
      </c>
      <c r="K190" t="n">
        <v>0</v>
      </c>
      <c r="L190" t="n">
        <v>0</v>
      </c>
      <c r="M190" t="n">
        <v>0</v>
      </c>
      <c r="N190" t="n">
        <v>0</v>
      </c>
      <c r="O190" t="n">
        <v>0</v>
      </c>
      <c r="P190" t="n">
        <v>0</v>
      </c>
      <c r="Q190" t="n">
        <v>0</v>
      </c>
      <c r="R190" s="2" t="inlineStr"/>
    </row>
    <row r="191" ht="15" customHeight="1">
      <c r="A191" t="inlineStr">
        <is>
          <t>A 39989-2023</t>
        </is>
      </c>
      <c r="B191" s="1" t="n">
        <v>45167</v>
      </c>
      <c r="C191" s="1" t="n">
        <v>45883</v>
      </c>
      <c r="D191" t="inlineStr">
        <is>
          <t>VÄSTERBOTTENS LÄN</t>
        </is>
      </c>
      <c r="E191" t="inlineStr">
        <is>
          <t>ÅSELE</t>
        </is>
      </c>
      <c r="G191" t="n">
        <v>5.2</v>
      </c>
      <c r="H191" t="n">
        <v>0</v>
      </c>
      <c r="I191" t="n">
        <v>0</v>
      </c>
      <c r="J191" t="n">
        <v>0</v>
      </c>
      <c r="K191" t="n">
        <v>0</v>
      </c>
      <c r="L191" t="n">
        <v>0</v>
      </c>
      <c r="M191" t="n">
        <v>0</v>
      </c>
      <c r="N191" t="n">
        <v>0</v>
      </c>
      <c r="O191" t="n">
        <v>0</v>
      </c>
      <c r="P191" t="n">
        <v>0</v>
      </c>
      <c r="Q191" t="n">
        <v>0</v>
      </c>
      <c r="R191" s="2" t="inlineStr"/>
    </row>
    <row r="192" ht="15" customHeight="1">
      <c r="A192" t="inlineStr">
        <is>
          <t>A 25549-2024</t>
        </is>
      </c>
      <c r="B192" s="1" t="n">
        <v>45463</v>
      </c>
      <c r="C192" s="1" t="n">
        <v>45883</v>
      </c>
      <c r="D192" t="inlineStr">
        <is>
          <t>VÄSTERBOTTENS LÄN</t>
        </is>
      </c>
      <c r="E192" t="inlineStr">
        <is>
          <t>ÅSELE</t>
        </is>
      </c>
      <c r="F192" t="inlineStr">
        <is>
          <t>Sveaskog</t>
        </is>
      </c>
      <c r="G192" t="n">
        <v>3.8</v>
      </c>
      <c r="H192" t="n">
        <v>0</v>
      </c>
      <c r="I192" t="n">
        <v>0</v>
      </c>
      <c r="J192" t="n">
        <v>0</v>
      </c>
      <c r="K192" t="n">
        <v>0</v>
      </c>
      <c r="L192" t="n">
        <v>0</v>
      </c>
      <c r="M192" t="n">
        <v>0</v>
      </c>
      <c r="N192" t="n">
        <v>0</v>
      </c>
      <c r="O192" t="n">
        <v>0</v>
      </c>
      <c r="P192" t="n">
        <v>0</v>
      </c>
      <c r="Q192" t="n">
        <v>0</v>
      </c>
      <c r="R192" s="2" t="inlineStr"/>
    </row>
    <row r="193" ht="15" customHeight="1">
      <c r="A193" t="inlineStr">
        <is>
          <t>A 25574-2024</t>
        </is>
      </c>
      <c r="B193" s="1" t="n">
        <v>45463.58829861111</v>
      </c>
      <c r="C193" s="1" t="n">
        <v>45883</v>
      </c>
      <c r="D193" t="inlineStr">
        <is>
          <t>VÄSTERBOTTENS LÄN</t>
        </is>
      </c>
      <c r="E193" t="inlineStr">
        <is>
          <t>ÅSELE</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52103-2023</t>
        </is>
      </c>
      <c r="B194" s="1" t="n">
        <v>45223</v>
      </c>
      <c r="C194" s="1" t="n">
        <v>45883</v>
      </c>
      <c r="D194" t="inlineStr">
        <is>
          <t>VÄSTERBOTTENS LÄN</t>
        </is>
      </c>
      <c r="E194" t="inlineStr">
        <is>
          <t>ÅSELE</t>
        </is>
      </c>
      <c r="F194" t="inlineStr">
        <is>
          <t>Holmen skog AB</t>
        </is>
      </c>
      <c r="G194" t="n">
        <v>4.1</v>
      </c>
      <c r="H194" t="n">
        <v>0</v>
      </c>
      <c r="I194" t="n">
        <v>0</v>
      </c>
      <c r="J194" t="n">
        <v>0</v>
      </c>
      <c r="K194" t="n">
        <v>0</v>
      </c>
      <c r="L194" t="n">
        <v>0</v>
      </c>
      <c r="M194" t="n">
        <v>0</v>
      </c>
      <c r="N194" t="n">
        <v>0</v>
      </c>
      <c r="O194" t="n">
        <v>0</v>
      </c>
      <c r="P194" t="n">
        <v>0</v>
      </c>
      <c r="Q194" t="n">
        <v>0</v>
      </c>
      <c r="R194" s="2" t="inlineStr"/>
    </row>
    <row r="195" ht="15" customHeight="1">
      <c r="A195" t="inlineStr">
        <is>
          <t>A 31183-2023</t>
        </is>
      </c>
      <c r="B195" s="1" t="n">
        <v>45113.94913194444</v>
      </c>
      <c r="C195" s="1" t="n">
        <v>45883</v>
      </c>
      <c r="D195" t="inlineStr">
        <is>
          <t>VÄSTERBOTTENS LÄN</t>
        </is>
      </c>
      <c r="E195" t="inlineStr">
        <is>
          <t>ÅSELE</t>
        </is>
      </c>
      <c r="F195" t="inlineStr">
        <is>
          <t>SCA</t>
        </is>
      </c>
      <c r="G195" t="n">
        <v>1.3</v>
      </c>
      <c r="H195" t="n">
        <v>0</v>
      </c>
      <c r="I195" t="n">
        <v>0</v>
      </c>
      <c r="J195" t="n">
        <v>0</v>
      </c>
      <c r="K195" t="n">
        <v>0</v>
      </c>
      <c r="L195" t="n">
        <v>0</v>
      </c>
      <c r="M195" t="n">
        <v>0</v>
      </c>
      <c r="N195" t="n">
        <v>0</v>
      </c>
      <c r="O195" t="n">
        <v>0</v>
      </c>
      <c r="P195" t="n">
        <v>0</v>
      </c>
      <c r="Q195" t="n">
        <v>0</v>
      </c>
      <c r="R195" s="2" t="inlineStr"/>
    </row>
    <row r="196" ht="15" customHeight="1">
      <c r="A196" t="inlineStr">
        <is>
          <t>A 33990-2024</t>
        </is>
      </c>
      <c r="B196" s="1" t="n">
        <v>45523.53366898148</v>
      </c>
      <c r="C196" s="1" t="n">
        <v>45883</v>
      </c>
      <c r="D196" t="inlineStr">
        <is>
          <t>VÄSTERBOTTENS LÄN</t>
        </is>
      </c>
      <c r="E196" t="inlineStr">
        <is>
          <t>ÅSELE</t>
        </is>
      </c>
      <c r="F196" t="inlineStr">
        <is>
          <t>Sveaskog</t>
        </is>
      </c>
      <c r="G196" t="n">
        <v>6.2</v>
      </c>
      <c r="H196" t="n">
        <v>0</v>
      </c>
      <c r="I196" t="n">
        <v>0</v>
      </c>
      <c r="J196" t="n">
        <v>0</v>
      </c>
      <c r="K196" t="n">
        <v>0</v>
      </c>
      <c r="L196" t="n">
        <v>0</v>
      </c>
      <c r="M196" t="n">
        <v>0</v>
      </c>
      <c r="N196" t="n">
        <v>0</v>
      </c>
      <c r="O196" t="n">
        <v>0</v>
      </c>
      <c r="P196" t="n">
        <v>0</v>
      </c>
      <c r="Q196" t="n">
        <v>0</v>
      </c>
      <c r="R196" s="2" t="inlineStr"/>
    </row>
    <row r="197" ht="15" customHeight="1">
      <c r="A197" t="inlineStr">
        <is>
          <t>A 28980-2024</t>
        </is>
      </c>
      <c r="B197" s="1" t="n">
        <v>45481.47248842593</v>
      </c>
      <c r="C197" s="1" t="n">
        <v>45883</v>
      </c>
      <c r="D197" t="inlineStr">
        <is>
          <t>VÄSTERBOTTENS LÄN</t>
        </is>
      </c>
      <c r="E197" t="inlineStr">
        <is>
          <t>ÅSELE</t>
        </is>
      </c>
      <c r="F197" t="inlineStr">
        <is>
          <t>Sveaskog</t>
        </is>
      </c>
      <c r="G197" t="n">
        <v>9</v>
      </c>
      <c r="H197" t="n">
        <v>0</v>
      </c>
      <c r="I197" t="n">
        <v>0</v>
      </c>
      <c r="J197" t="n">
        <v>0</v>
      </c>
      <c r="K197" t="n">
        <v>0</v>
      </c>
      <c r="L197" t="n">
        <v>0</v>
      </c>
      <c r="M197" t="n">
        <v>0</v>
      </c>
      <c r="N197" t="n">
        <v>0</v>
      </c>
      <c r="O197" t="n">
        <v>0</v>
      </c>
      <c r="P197" t="n">
        <v>0</v>
      </c>
      <c r="Q197" t="n">
        <v>0</v>
      </c>
      <c r="R197" s="2" t="inlineStr"/>
    </row>
    <row r="198" ht="15" customHeight="1">
      <c r="A198" t="inlineStr">
        <is>
          <t>A 13402-2025</t>
        </is>
      </c>
      <c r="B198" s="1" t="n">
        <v>45735</v>
      </c>
      <c r="C198" s="1" t="n">
        <v>45883</v>
      </c>
      <c r="D198" t="inlineStr">
        <is>
          <t>VÄSTERBOTTENS LÄN</t>
        </is>
      </c>
      <c r="E198" t="inlineStr">
        <is>
          <t>ÅSELE</t>
        </is>
      </c>
      <c r="G198" t="n">
        <v>1.7</v>
      </c>
      <c r="H198" t="n">
        <v>0</v>
      </c>
      <c r="I198" t="n">
        <v>0</v>
      </c>
      <c r="J198" t="n">
        <v>0</v>
      </c>
      <c r="K198" t="n">
        <v>0</v>
      </c>
      <c r="L198" t="n">
        <v>0</v>
      </c>
      <c r="M198" t="n">
        <v>0</v>
      </c>
      <c r="N198" t="n">
        <v>0</v>
      </c>
      <c r="O198" t="n">
        <v>0</v>
      </c>
      <c r="P198" t="n">
        <v>0</v>
      </c>
      <c r="Q198" t="n">
        <v>0</v>
      </c>
      <c r="R198" s="2" t="inlineStr"/>
    </row>
    <row r="199" ht="15" customHeight="1">
      <c r="A199" t="inlineStr">
        <is>
          <t>A 23604-2023</t>
        </is>
      </c>
      <c r="B199" s="1" t="n">
        <v>45077.45833333334</v>
      </c>
      <c r="C199" s="1" t="n">
        <v>45883</v>
      </c>
      <c r="D199" t="inlineStr">
        <is>
          <t>VÄSTERBOTTENS LÄN</t>
        </is>
      </c>
      <c r="E199" t="inlineStr">
        <is>
          <t>ÅSELE</t>
        </is>
      </c>
      <c r="F199" t="inlineStr">
        <is>
          <t>Holmen skog AB</t>
        </is>
      </c>
      <c r="G199" t="n">
        <v>5.8</v>
      </c>
      <c r="H199" t="n">
        <v>0</v>
      </c>
      <c r="I199" t="n">
        <v>0</v>
      </c>
      <c r="J199" t="n">
        <v>0</v>
      </c>
      <c r="K199" t="n">
        <v>0</v>
      </c>
      <c r="L199" t="n">
        <v>0</v>
      </c>
      <c r="M199" t="n">
        <v>0</v>
      </c>
      <c r="N199" t="n">
        <v>0</v>
      </c>
      <c r="O199" t="n">
        <v>0</v>
      </c>
      <c r="P199" t="n">
        <v>0</v>
      </c>
      <c r="Q199" t="n">
        <v>0</v>
      </c>
      <c r="R199" s="2" t="inlineStr"/>
    </row>
    <row r="200" ht="15" customHeight="1">
      <c r="A200" t="inlineStr">
        <is>
          <t>A 9259-2025</t>
        </is>
      </c>
      <c r="B200" s="1" t="n">
        <v>45714</v>
      </c>
      <c r="C200" s="1" t="n">
        <v>45883</v>
      </c>
      <c r="D200" t="inlineStr">
        <is>
          <t>VÄSTERBOTTENS LÄN</t>
        </is>
      </c>
      <c r="E200" t="inlineStr">
        <is>
          <t>ÅSELE</t>
        </is>
      </c>
      <c r="G200" t="n">
        <v>1.3</v>
      </c>
      <c r="H200" t="n">
        <v>0</v>
      </c>
      <c r="I200" t="n">
        <v>0</v>
      </c>
      <c r="J200" t="n">
        <v>0</v>
      </c>
      <c r="K200" t="n">
        <v>0</v>
      </c>
      <c r="L200" t="n">
        <v>0</v>
      </c>
      <c r="M200" t="n">
        <v>0</v>
      </c>
      <c r="N200" t="n">
        <v>0</v>
      </c>
      <c r="O200" t="n">
        <v>0</v>
      </c>
      <c r="P200" t="n">
        <v>0</v>
      </c>
      <c r="Q200" t="n">
        <v>0</v>
      </c>
      <c r="R200" s="2" t="inlineStr"/>
    </row>
    <row r="201" ht="15" customHeight="1">
      <c r="A201" t="inlineStr">
        <is>
          <t>A 18031-2025</t>
        </is>
      </c>
      <c r="B201" s="1" t="n">
        <v>45761</v>
      </c>
      <c r="C201" s="1" t="n">
        <v>45883</v>
      </c>
      <c r="D201" t="inlineStr">
        <is>
          <t>VÄSTERBOTTENS LÄN</t>
        </is>
      </c>
      <c r="E201" t="inlineStr">
        <is>
          <t>ÅSELE</t>
        </is>
      </c>
      <c r="G201" t="n">
        <v>7.6</v>
      </c>
      <c r="H201" t="n">
        <v>0</v>
      </c>
      <c r="I201" t="n">
        <v>0</v>
      </c>
      <c r="J201" t="n">
        <v>0</v>
      </c>
      <c r="K201" t="n">
        <v>0</v>
      </c>
      <c r="L201" t="n">
        <v>0</v>
      </c>
      <c r="M201" t="n">
        <v>0</v>
      </c>
      <c r="N201" t="n">
        <v>0</v>
      </c>
      <c r="O201" t="n">
        <v>0</v>
      </c>
      <c r="P201" t="n">
        <v>0</v>
      </c>
      <c r="Q201" t="n">
        <v>0</v>
      </c>
      <c r="R201" s="2" t="inlineStr"/>
    </row>
    <row r="202" ht="15" customHeight="1">
      <c r="A202" t="inlineStr">
        <is>
          <t>A 58472-2024</t>
        </is>
      </c>
      <c r="B202" s="1" t="n">
        <v>45635</v>
      </c>
      <c r="C202" s="1" t="n">
        <v>45883</v>
      </c>
      <c r="D202" t="inlineStr">
        <is>
          <t>VÄSTERBOTTENS LÄN</t>
        </is>
      </c>
      <c r="E202" t="inlineStr">
        <is>
          <t>ÅSELE</t>
        </is>
      </c>
      <c r="G202" t="n">
        <v>6.3</v>
      </c>
      <c r="H202" t="n">
        <v>0</v>
      </c>
      <c r="I202" t="n">
        <v>0</v>
      </c>
      <c r="J202" t="n">
        <v>0</v>
      </c>
      <c r="K202" t="n">
        <v>0</v>
      </c>
      <c r="L202" t="n">
        <v>0</v>
      </c>
      <c r="M202" t="n">
        <v>0</v>
      </c>
      <c r="N202" t="n">
        <v>0</v>
      </c>
      <c r="O202" t="n">
        <v>0</v>
      </c>
      <c r="P202" t="n">
        <v>0</v>
      </c>
      <c r="Q202" t="n">
        <v>0</v>
      </c>
      <c r="R202" s="2" t="inlineStr"/>
    </row>
    <row r="203" ht="15" customHeight="1">
      <c r="A203" t="inlineStr">
        <is>
          <t>A 4342-2023</t>
        </is>
      </c>
      <c r="B203" s="1" t="n">
        <v>44953.97421296296</v>
      </c>
      <c r="C203" s="1" t="n">
        <v>45883</v>
      </c>
      <c r="D203" t="inlineStr">
        <is>
          <t>VÄSTERBOTTENS LÄN</t>
        </is>
      </c>
      <c r="E203" t="inlineStr">
        <is>
          <t>ÅSELE</t>
        </is>
      </c>
      <c r="F203" t="inlineStr">
        <is>
          <t>SCA</t>
        </is>
      </c>
      <c r="G203" t="n">
        <v>2.2</v>
      </c>
      <c r="H203" t="n">
        <v>0</v>
      </c>
      <c r="I203" t="n">
        <v>0</v>
      </c>
      <c r="J203" t="n">
        <v>0</v>
      </c>
      <c r="K203" t="n">
        <v>0</v>
      </c>
      <c r="L203" t="n">
        <v>0</v>
      </c>
      <c r="M203" t="n">
        <v>0</v>
      </c>
      <c r="N203" t="n">
        <v>0</v>
      </c>
      <c r="O203" t="n">
        <v>0</v>
      </c>
      <c r="P203" t="n">
        <v>0</v>
      </c>
      <c r="Q203" t="n">
        <v>0</v>
      </c>
      <c r="R203" s="2" t="inlineStr"/>
    </row>
    <row r="204" ht="15" customHeight="1">
      <c r="A204" t="inlineStr">
        <is>
          <t>A 37241-2024</t>
        </is>
      </c>
      <c r="B204" s="1" t="n">
        <v>45540.34417824074</v>
      </c>
      <c r="C204" s="1" t="n">
        <v>45883</v>
      </c>
      <c r="D204" t="inlineStr">
        <is>
          <t>VÄSTERBOTTENS LÄN</t>
        </is>
      </c>
      <c r="E204" t="inlineStr">
        <is>
          <t>ÅSELE</t>
        </is>
      </c>
      <c r="F204" t="inlineStr">
        <is>
          <t>SCA</t>
        </is>
      </c>
      <c r="G204" t="n">
        <v>3</v>
      </c>
      <c r="H204" t="n">
        <v>0</v>
      </c>
      <c r="I204" t="n">
        <v>0</v>
      </c>
      <c r="J204" t="n">
        <v>0</v>
      </c>
      <c r="K204" t="n">
        <v>0</v>
      </c>
      <c r="L204" t="n">
        <v>0</v>
      </c>
      <c r="M204" t="n">
        <v>0</v>
      </c>
      <c r="N204" t="n">
        <v>0</v>
      </c>
      <c r="O204" t="n">
        <v>0</v>
      </c>
      <c r="P204" t="n">
        <v>0</v>
      </c>
      <c r="Q204" t="n">
        <v>0</v>
      </c>
      <c r="R204" s="2" t="inlineStr"/>
    </row>
    <row r="205" ht="15" customHeight="1">
      <c r="A205" t="inlineStr">
        <is>
          <t>A 36164-2024</t>
        </is>
      </c>
      <c r="B205" s="1" t="n">
        <v>45534.3956712963</v>
      </c>
      <c r="C205" s="1" t="n">
        <v>45883</v>
      </c>
      <c r="D205" t="inlineStr">
        <is>
          <t>VÄSTERBOTTENS LÄN</t>
        </is>
      </c>
      <c r="E205" t="inlineStr">
        <is>
          <t>ÅSELE</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31190-2023</t>
        </is>
      </c>
      <c r="B206" s="1" t="n">
        <v>45113.94958333333</v>
      </c>
      <c r="C206" s="1" t="n">
        <v>45883</v>
      </c>
      <c r="D206" t="inlineStr">
        <is>
          <t>VÄSTERBOTTENS LÄN</t>
        </is>
      </c>
      <c r="E206" t="inlineStr">
        <is>
          <t>ÅSELE</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26006-2024</t>
        </is>
      </c>
      <c r="B207" s="1" t="n">
        <v>45467.95773148148</v>
      </c>
      <c r="C207" s="1" t="n">
        <v>45883</v>
      </c>
      <c r="D207" t="inlineStr">
        <is>
          <t>VÄSTERBOTTENS LÄN</t>
        </is>
      </c>
      <c r="E207" t="inlineStr">
        <is>
          <t>ÅSELE</t>
        </is>
      </c>
      <c r="F207" t="inlineStr">
        <is>
          <t>SCA</t>
        </is>
      </c>
      <c r="G207" t="n">
        <v>5</v>
      </c>
      <c r="H207" t="n">
        <v>0</v>
      </c>
      <c r="I207" t="n">
        <v>0</v>
      </c>
      <c r="J207" t="n">
        <v>0</v>
      </c>
      <c r="K207" t="n">
        <v>0</v>
      </c>
      <c r="L207" t="n">
        <v>0</v>
      </c>
      <c r="M207" t="n">
        <v>0</v>
      </c>
      <c r="N207" t="n">
        <v>0</v>
      </c>
      <c r="O207" t="n">
        <v>0</v>
      </c>
      <c r="P207" t="n">
        <v>0</v>
      </c>
      <c r="Q207" t="n">
        <v>0</v>
      </c>
      <c r="R207" s="2" t="inlineStr"/>
    </row>
    <row r="208" ht="15" customHeight="1">
      <c r="A208" t="inlineStr">
        <is>
          <t>A 14167-2024</t>
        </is>
      </c>
      <c r="B208" s="1" t="n">
        <v>45392</v>
      </c>
      <c r="C208" s="1" t="n">
        <v>45883</v>
      </c>
      <c r="D208" t="inlineStr">
        <is>
          <t>VÄSTERBOTTENS LÄN</t>
        </is>
      </c>
      <c r="E208" t="inlineStr">
        <is>
          <t>ÅSELE</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34139-2024</t>
        </is>
      </c>
      <c r="B209" s="1" t="n">
        <v>45524.36006944445</v>
      </c>
      <c r="C209" s="1" t="n">
        <v>45883</v>
      </c>
      <c r="D209" t="inlineStr">
        <is>
          <t>VÄSTERBOTTENS LÄN</t>
        </is>
      </c>
      <c r="E209" t="inlineStr">
        <is>
          <t>ÅSELE</t>
        </is>
      </c>
      <c r="F209" t="inlineStr">
        <is>
          <t>Sveaskog</t>
        </is>
      </c>
      <c r="G209" t="n">
        <v>5.9</v>
      </c>
      <c r="H209" t="n">
        <v>0</v>
      </c>
      <c r="I209" t="n">
        <v>0</v>
      </c>
      <c r="J209" t="n">
        <v>0</v>
      </c>
      <c r="K209" t="n">
        <v>0</v>
      </c>
      <c r="L209" t="n">
        <v>0</v>
      </c>
      <c r="M209" t="n">
        <v>0</v>
      </c>
      <c r="N209" t="n">
        <v>0</v>
      </c>
      <c r="O209" t="n">
        <v>0</v>
      </c>
      <c r="P209" t="n">
        <v>0</v>
      </c>
      <c r="Q209" t="n">
        <v>0</v>
      </c>
      <c r="R209" s="2" t="inlineStr"/>
    </row>
    <row r="210" ht="15" customHeight="1">
      <c r="A210" t="inlineStr">
        <is>
          <t>A 34144-2024</t>
        </is>
      </c>
      <c r="B210" s="1" t="n">
        <v>45524</v>
      </c>
      <c r="C210" s="1" t="n">
        <v>45883</v>
      </c>
      <c r="D210" t="inlineStr">
        <is>
          <t>VÄSTERBOTTENS LÄN</t>
        </is>
      </c>
      <c r="E210" t="inlineStr">
        <is>
          <t>ÅSELE</t>
        </is>
      </c>
      <c r="F210" t="inlineStr">
        <is>
          <t>Sveaskog</t>
        </is>
      </c>
      <c r="G210" t="n">
        <v>10.9</v>
      </c>
      <c r="H210" t="n">
        <v>0</v>
      </c>
      <c r="I210" t="n">
        <v>0</v>
      </c>
      <c r="J210" t="n">
        <v>0</v>
      </c>
      <c r="K210" t="n">
        <v>0</v>
      </c>
      <c r="L210" t="n">
        <v>0</v>
      </c>
      <c r="M210" t="n">
        <v>0</v>
      </c>
      <c r="N210" t="n">
        <v>0</v>
      </c>
      <c r="O210" t="n">
        <v>0</v>
      </c>
      <c r="P210" t="n">
        <v>0</v>
      </c>
      <c r="Q210" t="n">
        <v>0</v>
      </c>
      <c r="R210" s="2" t="inlineStr"/>
    </row>
    <row r="211" ht="15" customHeight="1">
      <c r="A211" t="inlineStr">
        <is>
          <t>A 36331-2024</t>
        </is>
      </c>
      <c r="B211" s="1" t="n">
        <v>45534.63957175926</v>
      </c>
      <c r="C211" s="1" t="n">
        <v>45883</v>
      </c>
      <c r="D211" t="inlineStr">
        <is>
          <t>VÄSTERBOTTENS LÄN</t>
        </is>
      </c>
      <c r="E211" t="inlineStr">
        <is>
          <t>ÅSELE</t>
        </is>
      </c>
      <c r="F211" t="inlineStr">
        <is>
          <t>Holmen skog AB</t>
        </is>
      </c>
      <c r="G211" t="n">
        <v>1.9</v>
      </c>
      <c r="H211" t="n">
        <v>0</v>
      </c>
      <c r="I211" t="n">
        <v>0</v>
      </c>
      <c r="J211" t="n">
        <v>0</v>
      </c>
      <c r="K211" t="n">
        <v>0</v>
      </c>
      <c r="L211" t="n">
        <v>0</v>
      </c>
      <c r="M211" t="n">
        <v>0</v>
      </c>
      <c r="N211" t="n">
        <v>0</v>
      </c>
      <c r="O211" t="n">
        <v>0</v>
      </c>
      <c r="P211" t="n">
        <v>0</v>
      </c>
      <c r="Q211" t="n">
        <v>0</v>
      </c>
      <c r="R211" s="2" t="inlineStr"/>
    </row>
    <row r="212" ht="15" customHeight="1">
      <c r="A212" t="inlineStr">
        <is>
          <t>A 8851-2024</t>
        </is>
      </c>
      <c r="B212" s="1" t="n">
        <v>45356</v>
      </c>
      <c r="C212" s="1" t="n">
        <v>45883</v>
      </c>
      <c r="D212" t="inlineStr">
        <is>
          <t>VÄSTERBOTTENS LÄN</t>
        </is>
      </c>
      <c r="E212" t="inlineStr">
        <is>
          <t>ÅSELE</t>
        </is>
      </c>
      <c r="F212" t="inlineStr">
        <is>
          <t>Kommuner</t>
        </is>
      </c>
      <c r="G212" t="n">
        <v>0.9</v>
      </c>
      <c r="H212" t="n">
        <v>0</v>
      </c>
      <c r="I212" t="n">
        <v>0</v>
      </c>
      <c r="J212" t="n">
        <v>0</v>
      </c>
      <c r="K212" t="n">
        <v>0</v>
      </c>
      <c r="L212" t="n">
        <v>0</v>
      </c>
      <c r="M212" t="n">
        <v>0</v>
      </c>
      <c r="N212" t="n">
        <v>0</v>
      </c>
      <c r="O212" t="n">
        <v>0</v>
      </c>
      <c r="P212" t="n">
        <v>0</v>
      </c>
      <c r="Q212" t="n">
        <v>0</v>
      </c>
      <c r="R212" s="2" t="inlineStr"/>
    </row>
    <row r="213" ht="15" customHeight="1">
      <c r="A213" t="inlineStr">
        <is>
          <t>A 65478-2021</t>
        </is>
      </c>
      <c r="B213" s="1" t="n">
        <v>44516.34648148148</v>
      </c>
      <c r="C213" s="1" t="n">
        <v>45883</v>
      </c>
      <c r="D213" t="inlineStr">
        <is>
          <t>VÄSTERBOTTENS LÄN</t>
        </is>
      </c>
      <c r="E213" t="inlineStr">
        <is>
          <t>ÅSELE</t>
        </is>
      </c>
      <c r="F213" t="inlineStr">
        <is>
          <t>Holmen skog AB</t>
        </is>
      </c>
      <c r="G213" t="n">
        <v>1.7</v>
      </c>
      <c r="H213" t="n">
        <v>0</v>
      </c>
      <c r="I213" t="n">
        <v>0</v>
      </c>
      <c r="J213" t="n">
        <v>0</v>
      </c>
      <c r="K213" t="n">
        <v>0</v>
      </c>
      <c r="L213" t="n">
        <v>0</v>
      </c>
      <c r="M213" t="n">
        <v>0</v>
      </c>
      <c r="N213" t="n">
        <v>0</v>
      </c>
      <c r="O213" t="n">
        <v>0</v>
      </c>
      <c r="P213" t="n">
        <v>0</v>
      </c>
      <c r="Q213" t="n">
        <v>0</v>
      </c>
      <c r="R213" s="2" t="inlineStr"/>
    </row>
    <row r="214" ht="15" customHeight="1">
      <c r="A214" t="inlineStr">
        <is>
          <t>A 59690-2024</t>
        </is>
      </c>
      <c r="B214" s="1" t="n">
        <v>45639.40667824074</v>
      </c>
      <c r="C214" s="1" t="n">
        <v>45883</v>
      </c>
      <c r="D214" t="inlineStr">
        <is>
          <t>VÄSTERBOTTENS LÄN</t>
        </is>
      </c>
      <c r="E214" t="inlineStr">
        <is>
          <t>ÅSELE</t>
        </is>
      </c>
      <c r="F214" t="inlineStr">
        <is>
          <t>SCA</t>
        </is>
      </c>
      <c r="G214" t="n">
        <v>4.8</v>
      </c>
      <c r="H214" t="n">
        <v>0</v>
      </c>
      <c r="I214" t="n">
        <v>0</v>
      </c>
      <c r="J214" t="n">
        <v>0</v>
      </c>
      <c r="K214" t="n">
        <v>0</v>
      </c>
      <c r="L214" t="n">
        <v>0</v>
      </c>
      <c r="M214" t="n">
        <v>0</v>
      </c>
      <c r="N214" t="n">
        <v>0</v>
      </c>
      <c r="O214" t="n">
        <v>0</v>
      </c>
      <c r="P214" t="n">
        <v>0</v>
      </c>
      <c r="Q214" t="n">
        <v>0</v>
      </c>
      <c r="R214" s="2" t="inlineStr"/>
    </row>
    <row r="215" ht="15" customHeight="1">
      <c r="A215" t="inlineStr">
        <is>
          <t>A 22078-2023</t>
        </is>
      </c>
      <c r="B215" s="1" t="n">
        <v>45068</v>
      </c>
      <c r="C215" s="1" t="n">
        <v>45883</v>
      </c>
      <c r="D215" t="inlineStr">
        <is>
          <t>VÄSTERBOTTENS LÄN</t>
        </is>
      </c>
      <c r="E215" t="inlineStr">
        <is>
          <t>ÅSELE</t>
        </is>
      </c>
      <c r="G215" t="n">
        <v>2.7</v>
      </c>
      <c r="H215" t="n">
        <v>0</v>
      </c>
      <c r="I215" t="n">
        <v>0</v>
      </c>
      <c r="J215" t="n">
        <v>0</v>
      </c>
      <c r="K215" t="n">
        <v>0</v>
      </c>
      <c r="L215" t="n">
        <v>0</v>
      </c>
      <c r="M215" t="n">
        <v>0</v>
      </c>
      <c r="N215" t="n">
        <v>0</v>
      </c>
      <c r="O215" t="n">
        <v>0</v>
      </c>
      <c r="P215" t="n">
        <v>0</v>
      </c>
      <c r="Q215" t="n">
        <v>0</v>
      </c>
      <c r="R215" s="2" t="inlineStr"/>
    </row>
    <row r="216" ht="15" customHeight="1">
      <c r="A216" t="inlineStr">
        <is>
          <t>A 28610-2021</t>
        </is>
      </c>
      <c r="B216" s="1" t="n">
        <v>44356.93482638889</v>
      </c>
      <c r="C216" s="1" t="n">
        <v>45883</v>
      </c>
      <c r="D216" t="inlineStr">
        <is>
          <t>VÄSTERBOTTENS LÄN</t>
        </is>
      </c>
      <c r="E216" t="inlineStr">
        <is>
          <t>ÅSELE</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25713-2024</t>
        </is>
      </c>
      <c r="B217" s="1" t="n">
        <v>45463</v>
      </c>
      <c r="C217" s="1" t="n">
        <v>45883</v>
      </c>
      <c r="D217" t="inlineStr">
        <is>
          <t>VÄSTERBOTTENS LÄN</t>
        </is>
      </c>
      <c r="E217" t="inlineStr">
        <is>
          <t>ÅSELE</t>
        </is>
      </c>
      <c r="F217" t="inlineStr">
        <is>
          <t>SCA</t>
        </is>
      </c>
      <c r="G217" t="n">
        <v>7.7</v>
      </c>
      <c r="H217" t="n">
        <v>0</v>
      </c>
      <c r="I217" t="n">
        <v>0</v>
      </c>
      <c r="J217" t="n">
        <v>0</v>
      </c>
      <c r="K217" t="n">
        <v>0</v>
      </c>
      <c r="L217" t="n">
        <v>0</v>
      </c>
      <c r="M217" t="n">
        <v>0</v>
      </c>
      <c r="N217" t="n">
        <v>0</v>
      </c>
      <c r="O217" t="n">
        <v>0</v>
      </c>
      <c r="P217" t="n">
        <v>0</v>
      </c>
      <c r="Q217" t="n">
        <v>0</v>
      </c>
      <c r="R217" s="2" t="inlineStr"/>
    </row>
    <row r="218" ht="15" customHeight="1">
      <c r="A218" t="inlineStr">
        <is>
          <t>A 60868-2022</t>
        </is>
      </c>
      <c r="B218" s="1" t="n">
        <v>44908</v>
      </c>
      <c r="C218" s="1" t="n">
        <v>45883</v>
      </c>
      <c r="D218" t="inlineStr">
        <is>
          <t>VÄSTERBOTTENS LÄN</t>
        </is>
      </c>
      <c r="E218" t="inlineStr">
        <is>
          <t>ÅSELE</t>
        </is>
      </c>
      <c r="G218" t="n">
        <v>2</v>
      </c>
      <c r="H218" t="n">
        <v>0</v>
      </c>
      <c r="I218" t="n">
        <v>0</v>
      </c>
      <c r="J218" t="n">
        <v>0</v>
      </c>
      <c r="K218" t="n">
        <v>0</v>
      </c>
      <c r="L218" t="n">
        <v>0</v>
      </c>
      <c r="M218" t="n">
        <v>0</v>
      </c>
      <c r="N218" t="n">
        <v>0</v>
      </c>
      <c r="O218" t="n">
        <v>0</v>
      </c>
      <c r="P218" t="n">
        <v>0</v>
      </c>
      <c r="Q218" t="n">
        <v>0</v>
      </c>
      <c r="R218" s="2" t="inlineStr"/>
    </row>
    <row r="219" ht="15" customHeight="1">
      <c r="A219" t="inlineStr">
        <is>
          <t>A 36037-2024</t>
        </is>
      </c>
      <c r="B219" s="1" t="n">
        <v>45533.5966087963</v>
      </c>
      <c r="C219" s="1" t="n">
        <v>45883</v>
      </c>
      <c r="D219" t="inlineStr">
        <is>
          <t>VÄSTERBOTTENS LÄN</t>
        </is>
      </c>
      <c r="E219" t="inlineStr">
        <is>
          <t>ÅSELE</t>
        </is>
      </c>
      <c r="F219" t="inlineStr">
        <is>
          <t>Holmen skog AB</t>
        </is>
      </c>
      <c r="G219" t="n">
        <v>2</v>
      </c>
      <c r="H219" t="n">
        <v>0</v>
      </c>
      <c r="I219" t="n">
        <v>0</v>
      </c>
      <c r="J219" t="n">
        <v>0</v>
      </c>
      <c r="K219" t="n">
        <v>0</v>
      </c>
      <c r="L219" t="n">
        <v>0</v>
      </c>
      <c r="M219" t="n">
        <v>0</v>
      </c>
      <c r="N219" t="n">
        <v>0</v>
      </c>
      <c r="O219" t="n">
        <v>0</v>
      </c>
      <c r="P219" t="n">
        <v>0</v>
      </c>
      <c r="Q219" t="n">
        <v>0</v>
      </c>
      <c r="R219" s="2" t="inlineStr"/>
    </row>
    <row r="220" ht="15" customHeight="1">
      <c r="A220" t="inlineStr">
        <is>
          <t>A 8094-2023</t>
        </is>
      </c>
      <c r="B220" s="1" t="n">
        <v>44970</v>
      </c>
      <c r="C220" s="1" t="n">
        <v>45883</v>
      </c>
      <c r="D220" t="inlineStr">
        <is>
          <t>VÄSTERBOTTENS LÄN</t>
        </is>
      </c>
      <c r="E220" t="inlineStr">
        <is>
          <t>ÅSELE</t>
        </is>
      </c>
      <c r="G220" t="n">
        <v>3.4</v>
      </c>
      <c r="H220" t="n">
        <v>0</v>
      </c>
      <c r="I220" t="n">
        <v>0</v>
      </c>
      <c r="J220" t="n">
        <v>0</v>
      </c>
      <c r="K220" t="n">
        <v>0</v>
      </c>
      <c r="L220" t="n">
        <v>0</v>
      </c>
      <c r="M220" t="n">
        <v>0</v>
      </c>
      <c r="N220" t="n">
        <v>0</v>
      </c>
      <c r="O220" t="n">
        <v>0</v>
      </c>
      <c r="P220" t="n">
        <v>0</v>
      </c>
      <c r="Q220" t="n">
        <v>0</v>
      </c>
      <c r="R220" s="2" t="inlineStr"/>
    </row>
    <row r="221" ht="15" customHeight="1">
      <c r="A221" t="inlineStr">
        <is>
          <t>A 8634-2023</t>
        </is>
      </c>
      <c r="B221" s="1" t="n">
        <v>44977.93446759259</v>
      </c>
      <c r="C221" s="1" t="n">
        <v>45883</v>
      </c>
      <c r="D221" t="inlineStr">
        <is>
          <t>VÄSTERBOTTENS LÄN</t>
        </is>
      </c>
      <c r="E221" t="inlineStr">
        <is>
          <t>ÅSELE</t>
        </is>
      </c>
      <c r="G221" t="n">
        <v>1</v>
      </c>
      <c r="H221" t="n">
        <v>0</v>
      </c>
      <c r="I221" t="n">
        <v>0</v>
      </c>
      <c r="J221" t="n">
        <v>0</v>
      </c>
      <c r="K221" t="n">
        <v>0</v>
      </c>
      <c r="L221" t="n">
        <v>0</v>
      </c>
      <c r="M221" t="n">
        <v>0</v>
      </c>
      <c r="N221" t="n">
        <v>0</v>
      </c>
      <c r="O221" t="n">
        <v>0</v>
      </c>
      <c r="P221" t="n">
        <v>0</v>
      </c>
      <c r="Q221" t="n">
        <v>0</v>
      </c>
      <c r="R221" s="2" t="inlineStr"/>
    </row>
    <row r="222" ht="15" customHeight="1">
      <c r="A222" t="inlineStr">
        <is>
          <t>A 27436-2023</t>
        </is>
      </c>
      <c r="B222" s="1" t="n">
        <v>45092</v>
      </c>
      <c r="C222" s="1" t="n">
        <v>45883</v>
      </c>
      <c r="D222" t="inlineStr">
        <is>
          <t>VÄSTERBOTTENS LÄN</t>
        </is>
      </c>
      <c r="E222" t="inlineStr">
        <is>
          <t>ÅSELE</t>
        </is>
      </c>
      <c r="F222" t="inlineStr">
        <is>
          <t>Övriga Aktiebolag</t>
        </is>
      </c>
      <c r="G222" t="n">
        <v>1.2</v>
      </c>
      <c r="H222" t="n">
        <v>0</v>
      </c>
      <c r="I222" t="n">
        <v>0</v>
      </c>
      <c r="J222" t="n">
        <v>0</v>
      </c>
      <c r="K222" t="n">
        <v>0</v>
      </c>
      <c r="L222" t="n">
        <v>0</v>
      </c>
      <c r="M222" t="n">
        <v>0</v>
      </c>
      <c r="N222" t="n">
        <v>0</v>
      </c>
      <c r="O222" t="n">
        <v>0</v>
      </c>
      <c r="P222" t="n">
        <v>0</v>
      </c>
      <c r="Q222" t="n">
        <v>0</v>
      </c>
      <c r="R222" s="2" t="inlineStr"/>
    </row>
    <row r="223" ht="15" customHeight="1">
      <c r="A223" t="inlineStr">
        <is>
          <t>A 42180-2021</t>
        </is>
      </c>
      <c r="B223" s="1" t="n">
        <v>44426.68600694444</v>
      </c>
      <c r="C223" s="1" t="n">
        <v>45883</v>
      </c>
      <c r="D223" t="inlineStr">
        <is>
          <t>VÄSTERBOTTENS LÄN</t>
        </is>
      </c>
      <c r="E223" t="inlineStr">
        <is>
          <t>ÅSELE</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39450-2024</t>
        </is>
      </c>
      <c r="B224" s="1" t="n">
        <v>45551.61681712963</v>
      </c>
      <c r="C224" s="1" t="n">
        <v>45883</v>
      </c>
      <c r="D224" t="inlineStr">
        <is>
          <t>VÄSTERBOTTENS LÄN</t>
        </is>
      </c>
      <c r="E224" t="inlineStr">
        <is>
          <t>ÅSELE</t>
        </is>
      </c>
      <c r="G224" t="n">
        <v>1.8</v>
      </c>
      <c r="H224" t="n">
        <v>0</v>
      </c>
      <c r="I224" t="n">
        <v>0</v>
      </c>
      <c r="J224" t="n">
        <v>0</v>
      </c>
      <c r="K224" t="n">
        <v>0</v>
      </c>
      <c r="L224" t="n">
        <v>0</v>
      </c>
      <c r="M224" t="n">
        <v>0</v>
      </c>
      <c r="N224" t="n">
        <v>0</v>
      </c>
      <c r="O224" t="n">
        <v>0</v>
      </c>
      <c r="P224" t="n">
        <v>0</v>
      </c>
      <c r="Q224" t="n">
        <v>0</v>
      </c>
      <c r="R224" s="2" t="inlineStr"/>
    </row>
    <row r="225" ht="15" customHeight="1">
      <c r="A225" t="inlineStr">
        <is>
          <t>A 24444-2024</t>
        </is>
      </c>
      <c r="B225" s="1" t="n">
        <v>45457.96425925926</v>
      </c>
      <c r="C225" s="1" t="n">
        <v>45883</v>
      </c>
      <c r="D225" t="inlineStr">
        <is>
          <t>VÄSTERBOTTENS LÄN</t>
        </is>
      </c>
      <c r="E225" t="inlineStr">
        <is>
          <t>ÅSELE</t>
        </is>
      </c>
      <c r="F225" t="inlineStr">
        <is>
          <t>SCA</t>
        </is>
      </c>
      <c r="G225" t="n">
        <v>5.7</v>
      </c>
      <c r="H225" t="n">
        <v>0</v>
      </c>
      <c r="I225" t="n">
        <v>0</v>
      </c>
      <c r="J225" t="n">
        <v>0</v>
      </c>
      <c r="K225" t="n">
        <v>0</v>
      </c>
      <c r="L225" t="n">
        <v>0</v>
      </c>
      <c r="M225" t="n">
        <v>0</v>
      </c>
      <c r="N225" t="n">
        <v>0</v>
      </c>
      <c r="O225" t="n">
        <v>0</v>
      </c>
      <c r="P225" t="n">
        <v>0</v>
      </c>
      <c r="Q225" t="n">
        <v>0</v>
      </c>
      <c r="R225" s="2" t="inlineStr"/>
    </row>
    <row r="226" ht="15" customHeight="1">
      <c r="A226" t="inlineStr">
        <is>
          <t>A 22112-2024</t>
        </is>
      </c>
      <c r="B226" s="1" t="n">
        <v>45443</v>
      </c>
      <c r="C226" s="1" t="n">
        <v>45883</v>
      </c>
      <c r="D226" t="inlineStr">
        <is>
          <t>VÄSTERBOTTENS LÄN</t>
        </is>
      </c>
      <c r="E226" t="inlineStr">
        <is>
          <t>ÅSELE</t>
        </is>
      </c>
      <c r="F226" t="inlineStr">
        <is>
          <t>SCA</t>
        </is>
      </c>
      <c r="G226" t="n">
        <v>25.9</v>
      </c>
      <c r="H226" t="n">
        <v>0</v>
      </c>
      <c r="I226" t="n">
        <v>0</v>
      </c>
      <c r="J226" t="n">
        <v>0</v>
      </c>
      <c r="K226" t="n">
        <v>0</v>
      </c>
      <c r="L226" t="n">
        <v>0</v>
      </c>
      <c r="M226" t="n">
        <v>0</v>
      </c>
      <c r="N226" t="n">
        <v>0</v>
      </c>
      <c r="O226" t="n">
        <v>0</v>
      </c>
      <c r="P226" t="n">
        <v>0</v>
      </c>
      <c r="Q226" t="n">
        <v>0</v>
      </c>
      <c r="R226" s="2" t="inlineStr"/>
    </row>
    <row r="227" ht="15" customHeight="1">
      <c r="A227" t="inlineStr">
        <is>
          <t>A 28565-2024</t>
        </is>
      </c>
      <c r="B227" s="1" t="n">
        <v>45478.38674768519</v>
      </c>
      <c r="C227" s="1" t="n">
        <v>45883</v>
      </c>
      <c r="D227" t="inlineStr">
        <is>
          <t>VÄSTERBOTTENS LÄN</t>
        </is>
      </c>
      <c r="E227" t="inlineStr">
        <is>
          <t>ÅSELE</t>
        </is>
      </c>
      <c r="F227" t="inlineStr">
        <is>
          <t>Holmen skog AB</t>
        </is>
      </c>
      <c r="G227" t="n">
        <v>12.1</v>
      </c>
      <c r="H227" t="n">
        <v>0</v>
      </c>
      <c r="I227" t="n">
        <v>0</v>
      </c>
      <c r="J227" t="n">
        <v>0</v>
      </c>
      <c r="K227" t="n">
        <v>0</v>
      </c>
      <c r="L227" t="n">
        <v>0</v>
      </c>
      <c r="M227" t="n">
        <v>0</v>
      </c>
      <c r="N227" t="n">
        <v>0</v>
      </c>
      <c r="O227" t="n">
        <v>0</v>
      </c>
      <c r="P227" t="n">
        <v>0</v>
      </c>
      <c r="Q227" t="n">
        <v>0</v>
      </c>
      <c r="R227" s="2" t="inlineStr"/>
    </row>
    <row r="228" ht="15" customHeight="1">
      <c r="A228" t="inlineStr">
        <is>
          <t>A 19385-2025</t>
        </is>
      </c>
      <c r="B228" s="1" t="n">
        <v>45769.65708333333</v>
      </c>
      <c r="C228" s="1" t="n">
        <v>45883</v>
      </c>
      <c r="D228" t="inlineStr">
        <is>
          <t>VÄSTERBOTTENS LÄN</t>
        </is>
      </c>
      <c r="E228" t="inlineStr">
        <is>
          <t>ÅSELE</t>
        </is>
      </c>
      <c r="F228" t="inlineStr">
        <is>
          <t>SCA</t>
        </is>
      </c>
      <c r="G228" t="n">
        <v>2.9</v>
      </c>
      <c r="H228" t="n">
        <v>0</v>
      </c>
      <c r="I228" t="n">
        <v>0</v>
      </c>
      <c r="J228" t="n">
        <v>0</v>
      </c>
      <c r="K228" t="n">
        <v>0</v>
      </c>
      <c r="L228" t="n">
        <v>0</v>
      </c>
      <c r="M228" t="n">
        <v>0</v>
      </c>
      <c r="N228" t="n">
        <v>0</v>
      </c>
      <c r="O228" t="n">
        <v>0</v>
      </c>
      <c r="P228" t="n">
        <v>0</v>
      </c>
      <c r="Q228" t="n">
        <v>0</v>
      </c>
      <c r="R228" s="2" t="inlineStr"/>
    </row>
    <row r="229" ht="15" customHeight="1">
      <c r="A229" t="inlineStr">
        <is>
          <t>A 61985-2023</t>
        </is>
      </c>
      <c r="B229" s="1" t="n">
        <v>45266.6125</v>
      </c>
      <c r="C229" s="1" t="n">
        <v>45883</v>
      </c>
      <c r="D229" t="inlineStr">
        <is>
          <t>VÄSTERBOTTENS LÄN</t>
        </is>
      </c>
      <c r="E229" t="inlineStr">
        <is>
          <t>ÅSELE</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19928-2025</t>
        </is>
      </c>
      <c r="B230" s="1" t="n">
        <v>45771</v>
      </c>
      <c r="C230" s="1" t="n">
        <v>45883</v>
      </c>
      <c r="D230" t="inlineStr">
        <is>
          <t>VÄSTERBOTTENS LÄN</t>
        </is>
      </c>
      <c r="E230" t="inlineStr">
        <is>
          <t>ÅSELE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31474-2024</t>
        </is>
      </c>
      <c r="B231" s="1" t="n">
        <v>45505.95200231481</v>
      </c>
      <c r="C231" s="1" t="n">
        <v>45883</v>
      </c>
      <c r="D231" t="inlineStr">
        <is>
          <t>VÄSTERBOTTENS LÄN</t>
        </is>
      </c>
      <c r="E231" t="inlineStr">
        <is>
          <t>ÅSELE</t>
        </is>
      </c>
      <c r="F231" t="inlineStr">
        <is>
          <t>SCA</t>
        </is>
      </c>
      <c r="G231" t="n">
        <v>6.3</v>
      </c>
      <c r="H231" t="n">
        <v>0</v>
      </c>
      <c r="I231" t="n">
        <v>0</v>
      </c>
      <c r="J231" t="n">
        <v>0</v>
      </c>
      <c r="K231" t="n">
        <v>0</v>
      </c>
      <c r="L231" t="n">
        <v>0</v>
      </c>
      <c r="M231" t="n">
        <v>0</v>
      </c>
      <c r="N231" t="n">
        <v>0</v>
      </c>
      <c r="O231" t="n">
        <v>0</v>
      </c>
      <c r="P231" t="n">
        <v>0</v>
      </c>
      <c r="Q231" t="n">
        <v>0</v>
      </c>
      <c r="R231" s="2" t="inlineStr"/>
    </row>
    <row r="232" ht="15" customHeight="1">
      <c r="A232" t="inlineStr">
        <is>
          <t>A 5006-2024</t>
        </is>
      </c>
      <c r="B232" s="1" t="n">
        <v>45329</v>
      </c>
      <c r="C232" s="1" t="n">
        <v>45883</v>
      </c>
      <c r="D232" t="inlineStr">
        <is>
          <t>VÄSTERBOTTENS LÄN</t>
        </is>
      </c>
      <c r="E232" t="inlineStr">
        <is>
          <t>ÅSELE</t>
        </is>
      </c>
      <c r="F232" t="inlineStr">
        <is>
          <t>Övriga Aktiebolag</t>
        </is>
      </c>
      <c r="G232" t="n">
        <v>0.8</v>
      </c>
      <c r="H232" t="n">
        <v>0</v>
      </c>
      <c r="I232" t="n">
        <v>0</v>
      </c>
      <c r="J232" t="n">
        <v>0</v>
      </c>
      <c r="K232" t="n">
        <v>0</v>
      </c>
      <c r="L232" t="n">
        <v>0</v>
      </c>
      <c r="M232" t="n">
        <v>0</v>
      </c>
      <c r="N232" t="n">
        <v>0</v>
      </c>
      <c r="O232" t="n">
        <v>0</v>
      </c>
      <c r="P232" t="n">
        <v>0</v>
      </c>
      <c r="Q232" t="n">
        <v>0</v>
      </c>
      <c r="R232" s="2" t="inlineStr"/>
    </row>
    <row r="233" ht="15" customHeight="1">
      <c r="A233" t="inlineStr">
        <is>
          <t>A 5013-2024</t>
        </is>
      </c>
      <c r="B233" s="1" t="n">
        <v>45329</v>
      </c>
      <c r="C233" s="1" t="n">
        <v>45883</v>
      </c>
      <c r="D233" t="inlineStr">
        <is>
          <t>VÄSTERBOTTENS LÄN</t>
        </is>
      </c>
      <c r="E233" t="inlineStr">
        <is>
          <t>ÅSELE</t>
        </is>
      </c>
      <c r="F233" t="inlineStr">
        <is>
          <t>Övriga Aktiebolag</t>
        </is>
      </c>
      <c r="G233" t="n">
        <v>5</v>
      </c>
      <c r="H233" t="n">
        <v>0</v>
      </c>
      <c r="I233" t="n">
        <v>0</v>
      </c>
      <c r="J233" t="n">
        <v>0</v>
      </c>
      <c r="K233" t="n">
        <v>0</v>
      </c>
      <c r="L233" t="n">
        <v>0</v>
      </c>
      <c r="M233" t="n">
        <v>0</v>
      </c>
      <c r="N233" t="n">
        <v>0</v>
      </c>
      <c r="O233" t="n">
        <v>0</v>
      </c>
      <c r="P233" t="n">
        <v>0</v>
      </c>
      <c r="Q233" t="n">
        <v>0</v>
      </c>
      <c r="R233" s="2" t="inlineStr"/>
    </row>
    <row r="234" ht="15" customHeight="1">
      <c r="A234" t="inlineStr">
        <is>
          <t>A 34578-2024</t>
        </is>
      </c>
      <c r="B234" s="1" t="n">
        <v>45526.36461805556</v>
      </c>
      <c r="C234" s="1" t="n">
        <v>45883</v>
      </c>
      <c r="D234" t="inlineStr">
        <is>
          <t>VÄSTERBOTTENS LÄN</t>
        </is>
      </c>
      <c r="E234" t="inlineStr">
        <is>
          <t>ÅSELE</t>
        </is>
      </c>
      <c r="F234" t="inlineStr">
        <is>
          <t>SCA</t>
        </is>
      </c>
      <c r="G234" t="n">
        <v>0.3</v>
      </c>
      <c r="H234" t="n">
        <v>0</v>
      </c>
      <c r="I234" t="n">
        <v>0</v>
      </c>
      <c r="J234" t="n">
        <v>0</v>
      </c>
      <c r="K234" t="n">
        <v>0</v>
      </c>
      <c r="L234" t="n">
        <v>0</v>
      </c>
      <c r="M234" t="n">
        <v>0</v>
      </c>
      <c r="N234" t="n">
        <v>0</v>
      </c>
      <c r="O234" t="n">
        <v>0</v>
      </c>
      <c r="P234" t="n">
        <v>0</v>
      </c>
      <c r="Q234" t="n">
        <v>0</v>
      </c>
      <c r="R234" s="2" t="inlineStr"/>
    </row>
    <row r="235" ht="15" customHeight="1">
      <c r="A235" t="inlineStr">
        <is>
          <t>A 36070-2023</t>
        </is>
      </c>
      <c r="B235" s="1" t="n">
        <v>45149</v>
      </c>
      <c r="C235" s="1" t="n">
        <v>45883</v>
      </c>
      <c r="D235" t="inlineStr">
        <is>
          <t>VÄSTERBOTTENS LÄN</t>
        </is>
      </c>
      <c r="E235" t="inlineStr">
        <is>
          <t>ÅSELE</t>
        </is>
      </c>
      <c r="F235" t="inlineStr">
        <is>
          <t>Holmen skog AB</t>
        </is>
      </c>
      <c r="G235" t="n">
        <v>1</v>
      </c>
      <c r="H235" t="n">
        <v>0</v>
      </c>
      <c r="I235" t="n">
        <v>0</v>
      </c>
      <c r="J235" t="n">
        <v>0</v>
      </c>
      <c r="K235" t="n">
        <v>0</v>
      </c>
      <c r="L235" t="n">
        <v>0</v>
      </c>
      <c r="M235" t="n">
        <v>0</v>
      </c>
      <c r="N235" t="n">
        <v>0</v>
      </c>
      <c r="O235" t="n">
        <v>0</v>
      </c>
      <c r="P235" t="n">
        <v>0</v>
      </c>
      <c r="Q235" t="n">
        <v>0</v>
      </c>
      <c r="R235" s="2" t="inlineStr"/>
    </row>
    <row r="236" ht="15" customHeight="1">
      <c r="A236" t="inlineStr">
        <is>
          <t>A 41160-2024</t>
        </is>
      </c>
      <c r="B236" s="1" t="n">
        <v>45559.47989583333</v>
      </c>
      <c r="C236" s="1" t="n">
        <v>45883</v>
      </c>
      <c r="D236" t="inlineStr">
        <is>
          <t>VÄSTERBOTTENS LÄN</t>
        </is>
      </c>
      <c r="E236" t="inlineStr">
        <is>
          <t>ÅSELE</t>
        </is>
      </c>
      <c r="F236" t="inlineStr">
        <is>
          <t>Sveaskog</t>
        </is>
      </c>
      <c r="G236" t="n">
        <v>18.8</v>
      </c>
      <c r="H236" t="n">
        <v>0</v>
      </c>
      <c r="I236" t="n">
        <v>0</v>
      </c>
      <c r="J236" t="n">
        <v>0</v>
      </c>
      <c r="K236" t="n">
        <v>0</v>
      </c>
      <c r="L236" t="n">
        <v>0</v>
      </c>
      <c r="M236" t="n">
        <v>0</v>
      </c>
      <c r="N236" t="n">
        <v>0</v>
      </c>
      <c r="O236" t="n">
        <v>0</v>
      </c>
      <c r="P236" t="n">
        <v>0</v>
      </c>
      <c r="Q236" t="n">
        <v>0</v>
      </c>
      <c r="R236" s="2" t="inlineStr"/>
    </row>
    <row r="237" ht="15" customHeight="1">
      <c r="A237" t="inlineStr">
        <is>
          <t>A 36852-2023</t>
        </is>
      </c>
      <c r="B237" s="1" t="n">
        <v>45154.54208333333</v>
      </c>
      <c r="C237" s="1" t="n">
        <v>45883</v>
      </c>
      <c r="D237" t="inlineStr">
        <is>
          <t>VÄSTERBOTTENS LÄN</t>
        </is>
      </c>
      <c r="E237" t="inlineStr">
        <is>
          <t>ÅSELE</t>
        </is>
      </c>
      <c r="F237" t="inlineStr">
        <is>
          <t>Holmen skog AB</t>
        </is>
      </c>
      <c r="G237" t="n">
        <v>11.8</v>
      </c>
      <c r="H237" t="n">
        <v>0</v>
      </c>
      <c r="I237" t="n">
        <v>0</v>
      </c>
      <c r="J237" t="n">
        <v>0</v>
      </c>
      <c r="K237" t="n">
        <v>0</v>
      </c>
      <c r="L237" t="n">
        <v>0</v>
      </c>
      <c r="M237" t="n">
        <v>0</v>
      </c>
      <c r="N237" t="n">
        <v>0</v>
      </c>
      <c r="O237" t="n">
        <v>0</v>
      </c>
      <c r="P237" t="n">
        <v>0</v>
      </c>
      <c r="Q237" t="n">
        <v>0</v>
      </c>
      <c r="R237" s="2" t="inlineStr"/>
    </row>
    <row r="238" ht="15" customHeight="1">
      <c r="A238" t="inlineStr">
        <is>
          <t>A 2485-2023</t>
        </is>
      </c>
      <c r="B238" s="1" t="n">
        <v>44943.50074074074</v>
      </c>
      <c r="C238" s="1" t="n">
        <v>45883</v>
      </c>
      <c r="D238" t="inlineStr">
        <is>
          <t>VÄSTERBOTTENS LÄN</t>
        </is>
      </c>
      <c r="E238" t="inlineStr">
        <is>
          <t>ÅSELE</t>
        </is>
      </c>
      <c r="G238" t="n">
        <v>1.2</v>
      </c>
      <c r="H238" t="n">
        <v>0</v>
      </c>
      <c r="I238" t="n">
        <v>0</v>
      </c>
      <c r="J238" t="n">
        <v>0</v>
      </c>
      <c r="K238" t="n">
        <v>0</v>
      </c>
      <c r="L238" t="n">
        <v>0</v>
      </c>
      <c r="M238" t="n">
        <v>0</v>
      </c>
      <c r="N238" t="n">
        <v>0</v>
      </c>
      <c r="O238" t="n">
        <v>0</v>
      </c>
      <c r="P238" t="n">
        <v>0</v>
      </c>
      <c r="Q238" t="n">
        <v>0</v>
      </c>
      <c r="R238" s="2" t="inlineStr"/>
    </row>
    <row r="239" ht="15" customHeight="1">
      <c r="A239" t="inlineStr">
        <is>
          <t>A 34054-2023</t>
        </is>
      </c>
      <c r="B239" s="1" t="n">
        <v>45135.45417824074</v>
      </c>
      <c r="C239" s="1" t="n">
        <v>45883</v>
      </c>
      <c r="D239" t="inlineStr">
        <is>
          <t>VÄSTERBOTTENS LÄN</t>
        </is>
      </c>
      <c r="E239" t="inlineStr">
        <is>
          <t>ÅSELE</t>
        </is>
      </c>
      <c r="F239" t="inlineStr">
        <is>
          <t>Holmen skog AB</t>
        </is>
      </c>
      <c r="G239" t="n">
        <v>3</v>
      </c>
      <c r="H239" t="n">
        <v>0</v>
      </c>
      <c r="I239" t="n">
        <v>0</v>
      </c>
      <c r="J239" t="n">
        <v>0</v>
      </c>
      <c r="K239" t="n">
        <v>0</v>
      </c>
      <c r="L239" t="n">
        <v>0</v>
      </c>
      <c r="M239" t="n">
        <v>0</v>
      </c>
      <c r="N239" t="n">
        <v>0</v>
      </c>
      <c r="O239" t="n">
        <v>0</v>
      </c>
      <c r="P239" t="n">
        <v>0</v>
      </c>
      <c r="Q239" t="n">
        <v>0</v>
      </c>
      <c r="R239" s="2" t="inlineStr"/>
    </row>
    <row r="240" ht="15" customHeight="1">
      <c r="A240" t="inlineStr">
        <is>
          <t>A 2091-2024</t>
        </is>
      </c>
      <c r="B240" s="1" t="n">
        <v>45309</v>
      </c>
      <c r="C240" s="1" t="n">
        <v>45883</v>
      </c>
      <c r="D240" t="inlineStr">
        <is>
          <t>VÄSTERBOTTENS LÄN</t>
        </is>
      </c>
      <c r="E240" t="inlineStr">
        <is>
          <t>ÅSELE</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63062-2023</t>
        </is>
      </c>
      <c r="B241" s="1" t="n">
        <v>45272</v>
      </c>
      <c r="C241" s="1" t="n">
        <v>45883</v>
      </c>
      <c r="D241" t="inlineStr">
        <is>
          <t>VÄSTERBOTTENS LÄN</t>
        </is>
      </c>
      <c r="E241" t="inlineStr">
        <is>
          <t>ÅSELE</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6682-2024</t>
        </is>
      </c>
      <c r="B242" s="1" t="n">
        <v>45341.92533564815</v>
      </c>
      <c r="C242" s="1" t="n">
        <v>45883</v>
      </c>
      <c r="D242" t="inlineStr">
        <is>
          <t>VÄSTERBOTTENS LÄN</t>
        </is>
      </c>
      <c r="E242" t="inlineStr">
        <is>
          <t>ÅSELE</t>
        </is>
      </c>
      <c r="G242" t="n">
        <v>0.4</v>
      </c>
      <c r="H242" t="n">
        <v>0</v>
      </c>
      <c r="I242" t="n">
        <v>0</v>
      </c>
      <c r="J242" t="n">
        <v>0</v>
      </c>
      <c r="K242" t="n">
        <v>0</v>
      </c>
      <c r="L242" t="n">
        <v>0</v>
      </c>
      <c r="M242" t="n">
        <v>0</v>
      </c>
      <c r="N242" t="n">
        <v>0</v>
      </c>
      <c r="O242" t="n">
        <v>0</v>
      </c>
      <c r="P242" t="n">
        <v>0</v>
      </c>
      <c r="Q242" t="n">
        <v>0</v>
      </c>
      <c r="R242" s="2" t="inlineStr"/>
    </row>
    <row r="243" ht="15" customHeight="1">
      <c r="A243" t="inlineStr">
        <is>
          <t>A 17284-2025</t>
        </is>
      </c>
      <c r="B243" s="1" t="n">
        <v>45756.57346064815</v>
      </c>
      <c r="C243" s="1" t="n">
        <v>45883</v>
      </c>
      <c r="D243" t="inlineStr">
        <is>
          <t>VÄSTERBOTTENS LÄN</t>
        </is>
      </c>
      <c r="E243" t="inlineStr">
        <is>
          <t>ÅSELE</t>
        </is>
      </c>
      <c r="F243" t="inlineStr">
        <is>
          <t>SCA</t>
        </is>
      </c>
      <c r="G243" t="n">
        <v>7.5</v>
      </c>
      <c r="H243" t="n">
        <v>0</v>
      </c>
      <c r="I243" t="n">
        <v>0</v>
      </c>
      <c r="J243" t="n">
        <v>0</v>
      </c>
      <c r="K243" t="n">
        <v>0</v>
      </c>
      <c r="L243" t="n">
        <v>0</v>
      </c>
      <c r="M243" t="n">
        <v>0</v>
      </c>
      <c r="N243" t="n">
        <v>0</v>
      </c>
      <c r="O243" t="n">
        <v>0</v>
      </c>
      <c r="P243" t="n">
        <v>0</v>
      </c>
      <c r="Q243" t="n">
        <v>0</v>
      </c>
      <c r="R243" s="2" t="inlineStr"/>
    </row>
    <row r="244" ht="15" customHeight="1">
      <c r="A244" t="inlineStr">
        <is>
          <t>A 4619-2022</t>
        </is>
      </c>
      <c r="B244" s="1" t="n">
        <v>44592</v>
      </c>
      <c r="C244" s="1" t="n">
        <v>45883</v>
      </c>
      <c r="D244" t="inlineStr">
        <is>
          <t>VÄSTERBOTTENS LÄN</t>
        </is>
      </c>
      <c r="E244" t="inlineStr">
        <is>
          <t>ÅSELE</t>
        </is>
      </c>
      <c r="G244" t="n">
        <v>17.6</v>
      </c>
      <c r="H244" t="n">
        <v>0</v>
      </c>
      <c r="I244" t="n">
        <v>0</v>
      </c>
      <c r="J244" t="n">
        <v>0</v>
      </c>
      <c r="K244" t="n">
        <v>0</v>
      </c>
      <c r="L244" t="n">
        <v>0</v>
      </c>
      <c r="M244" t="n">
        <v>0</v>
      </c>
      <c r="N244" t="n">
        <v>0</v>
      </c>
      <c r="O244" t="n">
        <v>0</v>
      </c>
      <c r="P244" t="n">
        <v>0</v>
      </c>
      <c r="Q244" t="n">
        <v>0</v>
      </c>
      <c r="R244" s="2" t="inlineStr"/>
    </row>
    <row r="245" ht="15" customHeight="1">
      <c r="A245" t="inlineStr">
        <is>
          <t>A 4626-2022</t>
        </is>
      </c>
      <c r="B245" s="1" t="n">
        <v>44592</v>
      </c>
      <c r="C245" s="1" t="n">
        <v>45883</v>
      </c>
      <c r="D245" t="inlineStr">
        <is>
          <t>VÄSTERBOTTENS LÄN</t>
        </is>
      </c>
      <c r="E245" t="inlineStr">
        <is>
          <t>ÅSELE</t>
        </is>
      </c>
      <c r="G245" t="n">
        <v>6.2</v>
      </c>
      <c r="H245" t="n">
        <v>0</v>
      </c>
      <c r="I245" t="n">
        <v>0</v>
      </c>
      <c r="J245" t="n">
        <v>0</v>
      </c>
      <c r="K245" t="n">
        <v>0</v>
      </c>
      <c r="L245" t="n">
        <v>0</v>
      </c>
      <c r="M245" t="n">
        <v>0</v>
      </c>
      <c r="N245" t="n">
        <v>0</v>
      </c>
      <c r="O245" t="n">
        <v>0</v>
      </c>
      <c r="P245" t="n">
        <v>0</v>
      </c>
      <c r="Q245" t="n">
        <v>0</v>
      </c>
      <c r="R245" s="2" t="inlineStr"/>
    </row>
    <row r="246" ht="15" customHeight="1">
      <c r="A246" t="inlineStr">
        <is>
          <t>A 34189-2021</t>
        </is>
      </c>
      <c r="B246" s="1" t="n">
        <v>44379.50560185185</v>
      </c>
      <c r="C246" s="1" t="n">
        <v>45883</v>
      </c>
      <c r="D246" t="inlineStr">
        <is>
          <t>VÄSTERBOTTENS LÄN</t>
        </is>
      </c>
      <c r="E246" t="inlineStr">
        <is>
          <t>ÅSELE</t>
        </is>
      </c>
      <c r="F246" t="inlineStr">
        <is>
          <t>Holmen skog AB</t>
        </is>
      </c>
      <c r="G246" t="n">
        <v>2.1</v>
      </c>
      <c r="H246" t="n">
        <v>0</v>
      </c>
      <c r="I246" t="n">
        <v>0</v>
      </c>
      <c r="J246" t="n">
        <v>0</v>
      </c>
      <c r="K246" t="n">
        <v>0</v>
      </c>
      <c r="L246" t="n">
        <v>0</v>
      </c>
      <c r="M246" t="n">
        <v>0</v>
      </c>
      <c r="N246" t="n">
        <v>0</v>
      </c>
      <c r="O246" t="n">
        <v>0</v>
      </c>
      <c r="P246" t="n">
        <v>0</v>
      </c>
      <c r="Q246" t="n">
        <v>0</v>
      </c>
      <c r="R246" s="2" t="inlineStr"/>
    </row>
    <row r="247" ht="15" customHeight="1">
      <c r="A247" t="inlineStr">
        <is>
          <t>A 4462-2023</t>
        </is>
      </c>
      <c r="B247" s="1" t="n">
        <v>44952</v>
      </c>
      <c r="C247" s="1" t="n">
        <v>45883</v>
      </c>
      <c r="D247" t="inlineStr">
        <is>
          <t>VÄSTERBOTTENS LÄN</t>
        </is>
      </c>
      <c r="E247" t="inlineStr">
        <is>
          <t>ÅSELE</t>
        </is>
      </c>
      <c r="G247" t="n">
        <v>0.9</v>
      </c>
      <c r="H247" t="n">
        <v>0</v>
      </c>
      <c r="I247" t="n">
        <v>0</v>
      </c>
      <c r="J247" t="n">
        <v>0</v>
      </c>
      <c r="K247" t="n">
        <v>0</v>
      </c>
      <c r="L247" t="n">
        <v>0</v>
      </c>
      <c r="M247" t="n">
        <v>0</v>
      </c>
      <c r="N247" t="n">
        <v>0</v>
      </c>
      <c r="O247" t="n">
        <v>0</v>
      </c>
      <c r="P247" t="n">
        <v>0</v>
      </c>
      <c r="Q247" t="n">
        <v>0</v>
      </c>
      <c r="R247" s="2" t="inlineStr"/>
    </row>
    <row r="248" ht="15" customHeight="1">
      <c r="A248" t="inlineStr">
        <is>
          <t>A 12589-2024</t>
        </is>
      </c>
      <c r="B248" s="1" t="n">
        <v>45379.93677083333</v>
      </c>
      <c r="C248" s="1" t="n">
        <v>45883</v>
      </c>
      <c r="D248" t="inlineStr">
        <is>
          <t>VÄSTERBOTTENS LÄN</t>
        </is>
      </c>
      <c r="E248" t="inlineStr">
        <is>
          <t>ÅSELE</t>
        </is>
      </c>
      <c r="F248" t="inlineStr">
        <is>
          <t>SCA</t>
        </is>
      </c>
      <c r="G248" t="n">
        <v>6.2</v>
      </c>
      <c r="H248" t="n">
        <v>0</v>
      </c>
      <c r="I248" t="n">
        <v>0</v>
      </c>
      <c r="J248" t="n">
        <v>0</v>
      </c>
      <c r="K248" t="n">
        <v>0</v>
      </c>
      <c r="L248" t="n">
        <v>0</v>
      </c>
      <c r="M248" t="n">
        <v>0</v>
      </c>
      <c r="N248" t="n">
        <v>0</v>
      </c>
      <c r="O248" t="n">
        <v>0</v>
      </c>
      <c r="P248" t="n">
        <v>0</v>
      </c>
      <c r="Q248" t="n">
        <v>0</v>
      </c>
      <c r="R248" s="2" t="inlineStr"/>
    </row>
    <row r="249" ht="15" customHeight="1">
      <c r="A249" t="inlineStr">
        <is>
          <t>A 29597-2024</t>
        </is>
      </c>
      <c r="B249" s="1" t="n">
        <v>45484.58983796297</v>
      </c>
      <c r="C249" s="1" t="n">
        <v>45883</v>
      </c>
      <c r="D249" t="inlineStr">
        <is>
          <t>VÄSTERBOTTENS LÄN</t>
        </is>
      </c>
      <c r="E249" t="inlineStr">
        <is>
          <t>ÅSELE</t>
        </is>
      </c>
      <c r="F249" t="inlineStr">
        <is>
          <t>Sveaskog</t>
        </is>
      </c>
      <c r="G249" t="n">
        <v>3.4</v>
      </c>
      <c r="H249" t="n">
        <v>0</v>
      </c>
      <c r="I249" t="n">
        <v>0</v>
      </c>
      <c r="J249" t="n">
        <v>0</v>
      </c>
      <c r="K249" t="n">
        <v>0</v>
      </c>
      <c r="L249" t="n">
        <v>0</v>
      </c>
      <c r="M249" t="n">
        <v>0</v>
      </c>
      <c r="N249" t="n">
        <v>0</v>
      </c>
      <c r="O249" t="n">
        <v>0</v>
      </c>
      <c r="P249" t="n">
        <v>0</v>
      </c>
      <c r="Q249" t="n">
        <v>0</v>
      </c>
      <c r="R249" s="2" t="inlineStr"/>
    </row>
    <row r="250" ht="15" customHeight="1">
      <c r="A250" t="inlineStr">
        <is>
          <t>A 22113-2024</t>
        </is>
      </c>
      <c r="B250" s="1" t="n">
        <v>45443</v>
      </c>
      <c r="C250" s="1" t="n">
        <v>45883</v>
      </c>
      <c r="D250" t="inlineStr">
        <is>
          <t>VÄSTERBOTTENS LÄN</t>
        </is>
      </c>
      <c r="E250" t="inlineStr">
        <is>
          <t>ÅSELE</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35971-2023</t>
        </is>
      </c>
      <c r="B251" s="1" t="n">
        <v>45148</v>
      </c>
      <c r="C251" s="1" t="n">
        <v>45883</v>
      </c>
      <c r="D251" t="inlineStr">
        <is>
          <t>VÄSTERBOTTENS LÄN</t>
        </is>
      </c>
      <c r="E251" t="inlineStr">
        <is>
          <t>ÅSELE</t>
        </is>
      </c>
      <c r="G251" t="n">
        <v>0.6</v>
      </c>
      <c r="H251" t="n">
        <v>0</v>
      </c>
      <c r="I251" t="n">
        <v>0</v>
      </c>
      <c r="J251" t="n">
        <v>0</v>
      </c>
      <c r="K251" t="n">
        <v>0</v>
      </c>
      <c r="L251" t="n">
        <v>0</v>
      </c>
      <c r="M251" t="n">
        <v>0</v>
      </c>
      <c r="N251" t="n">
        <v>0</v>
      </c>
      <c r="O251" t="n">
        <v>0</v>
      </c>
      <c r="P251" t="n">
        <v>0</v>
      </c>
      <c r="Q251" t="n">
        <v>0</v>
      </c>
      <c r="R251" s="2" t="inlineStr"/>
    </row>
    <row r="252" ht="15" customHeight="1">
      <c r="A252" t="inlineStr">
        <is>
          <t>A 29962-2024</t>
        </is>
      </c>
      <c r="B252" s="1" t="n">
        <v>45488.46452546296</v>
      </c>
      <c r="C252" s="1" t="n">
        <v>45883</v>
      </c>
      <c r="D252" t="inlineStr">
        <is>
          <t>VÄSTERBOTTENS LÄN</t>
        </is>
      </c>
      <c r="E252" t="inlineStr">
        <is>
          <t>ÅSELE</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54992-2024</t>
        </is>
      </c>
      <c r="B253" s="1" t="n">
        <v>45620.91673611111</v>
      </c>
      <c r="C253" s="1" t="n">
        <v>45883</v>
      </c>
      <c r="D253" t="inlineStr">
        <is>
          <t>VÄSTERBOTTENS LÄN</t>
        </is>
      </c>
      <c r="E253" t="inlineStr">
        <is>
          <t>ÅSELE</t>
        </is>
      </c>
      <c r="G253" t="n">
        <v>5.7</v>
      </c>
      <c r="H253" t="n">
        <v>0</v>
      </c>
      <c r="I253" t="n">
        <v>0</v>
      </c>
      <c r="J253" t="n">
        <v>0</v>
      </c>
      <c r="K253" t="n">
        <v>0</v>
      </c>
      <c r="L253" t="n">
        <v>0</v>
      </c>
      <c r="M253" t="n">
        <v>0</v>
      </c>
      <c r="N253" t="n">
        <v>0</v>
      </c>
      <c r="O253" t="n">
        <v>0</v>
      </c>
      <c r="P253" t="n">
        <v>0</v>
      </c>
      <c r="Q253" t="n">
        <v>0</v>
      </c>
      <c r="R253" s="2" t="inlineStr"/>
    </row>
    <row r="254" ht="15" customHeight="1">
      <c r="A254" t="inlineStr">
        <is>
          <t>A 11321-2023</t>
        </is>
      </c>
      <c r="B254" s="1" t="n">
        <v>44993.01305555556</v>
      </c>
      <c r="C254" s="1" t="n">
        <v>45883</v>
      </c>
      <c r="D254" t="inlineStr">
        <is>
          <t>VÄSTERBOTTENS LÄN</t>
        </is>
      </c>
      <c r="E254" t="inlineStr">
        <is>
          <t>ÅSELE</t>
        </is>
      </c>
      <c r="F254" t="inlineStr">
        <is>
          <t>SCA</t>
        </is>
      </c>
      <c r="G254" t="n">
        <v>7.1</v>
      </c>
      <c r="H254" t="n">
        <v>0</v>
      </c>
      <c r="I254" t="n">
        <v>0</v>
      </c>
      <c r="J254" t="n">
        <v>0</v>
      </c>
      <c r="K254" t="n">
        <v>0</v>
      </c>
      <c r="L254" t="n">
        <v>0</v>
      </c>
      <c r="M254" t="n">
        <v>0</v>
      </c>
      <c r="N254" t="n">
        <v>0</v>
      </c>
      <c r="O254" t="n">
        <v>0</v>
      </c>
      <c r="P254" t="n">
        <v>0</v>
      </c>
      <c r="Q254" t="n">
        <v>0</v>
      </c>
      <c r="R254" s="2" t="inlineStr"/>
    </row>
    <row r="255" ht="15" customHeight="1">
      <c r="A255" t="inlineStr">
        <is>
          <t>A 1407-2023</t>
        </is>
      </c>
      <c r="B255" s="1" t="n">
        <v>44936</v>
      </c>
      <c r="C255" s="1" t="n">
        <v>45883</v>
      </c>
      <c r="D255" t="inlineStr">
        <is>
          <t>VÄSTERBOTTENS LÄN</t>
        </is>
      </c>
      <c r="E255" t="inlineStr">
        <is>
          <t>ÅSELE</t>
        </is>
      </c>
      <c r="G255" t="n">
        <v>11.5</v>
      </c>
      <c r="H255" t="n">
        <v>0</v>
      </c>
      <c r="I255" t="n">
        <v>0</v>
      </c>
      <c r="J255" t="n">
        <v>0</v>
      </c>
      <c r="K255" t="n">
        <v>0</v>
      </c>
      <c r="L255" t="n">
        <v>0</v>
      </c>
      <c r="M255" t="n">
        <v>0</v>
      </c>
      <c r="N255" t="n">
        <v>0</v>
      </c>
      <c r="O255" t="n">
        <v>0</v>
      </c>
      <c r="P255" t="n">
        <v>0</v>
      </c>
      <c r="Q255" t="n">
        <v>0</v>
      </c>
      <c r="R255" s="2" t="inlineStr"/>
    </row>
    <row r="256" ht="15" customHeight="1">
      <c r="A256" t="inlineStr">
        <is>
          <t>A 41399-2023</t>
        </is>
      </c>
      <c r="B256" s="1" t="n">
        <v>45174.93857638889</v>
      </c>
      <c r="C256" s="1" t="n">
        <v>45883</v>
      </c>
      <c r="D256" t="inlineStr">
        <is>
          <t>VÄSTERBOTTENS LÄN</t>
        </is>
      </c>
      <c r="E256" t="inlineStr">
        <is>
          <t>ÅSELE</t>
        </is>
      </c>
      <c r="F256" t="inlineStr">
        <is>
          <t>SCA</t>
        </is>
      </c>
      <c r="G256" t="n">
        <v>1.9</v>
      </c>
      <c r="H256" t="n">
        <v>0</v>
      </c>
      <c r="I256" t="n">
        <v>0</v>
      </c>
      <c r="J256" t="n">
        <v>0</v>
      </c>
      <c r="K256" t="n">
        <v>0</v>
      </c>
      <c r="L256" t="n">
        <v>0</v>
      </c>
      <c r="M256" t="n">
        <v>0</v>
      </c>
      <c r="N256" t="n">
        <v>0</v>
      </c>
      <c r="O256" t="n">
        <v>0</v>
      </c>
      <c r="P256" t="n">
        <v>0</v>
      </c>
      <c r="Q256" t="n">
        <v>0</v>
      </c>
      <c r="R256" s="2" t="inlineStr"/>
    </row>
    <row r="257" ht="15" customHeight="1">
      <c r="A257" t="inlineStr">
        <is>
          <t>A 18009-2025</t>
        </is>
      </c>
      <c r="B257" s="1" t="n">
        <v>45761</v>
      </c>
      <c r="C257" s="1" t="n">
        <v>45883</v>
      </c>
      <c r="D257" t="inlineStr">
        <is>
          <t>VÄSTERBOTTENS LÄN</t>
        </is>
      </c>
      <c r="E257" t="inlineStr">
        <is>
          <t>ÅSELE</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33524-2021</t>
        </is>
      </c>
      <c r="B258" s="1" t="n">
        <v>44377</v>
      </c>
      <c r="C258" s="1" t="n">
        <v>45883</v>
      </c>
      <c r="D258" t="inlineStr">
        <is>
          <t>VÄSTERBOTTENS LÄN</t>
        </is>
      </c>
      <c r="E258" t="inlineStr">
        <is>
          <t>ÅSELE</t>
        </is>
      </c>
      <c r="G258" t="n">
        <v>6.8</v>
      </c>
      <c r="H258" t="n">
        <v>0</v>
      </c>
      <c r="I258" t="n">
        <v>0</v>
      </c>
      <c r="J258" t="n">
        <v>0</v>
      </c>
      <c r="K258" t="n">
        <v>0</v>
      </c>
      <c r="L258" t="n">
        <v>0</v>
      </c>
      <c r="M258" t="n">
        <v>0</v>
      </c>
      <c r="N258" t="n">
        <v>0</v>
      </c>
      <c r="O258" t="n">
        <v>0</v>
      </c>
      <c r="P258" t="n">
        <v>0</v>
      </c>
      <c r="Q258" t="n">
        <v>0</v>
      </c>
      <c r="R258" s="2" t="inlineStr"/>
    </row>
    <row r="259" ht="15" customHeight="1">
      <c r="A259" t="inlineStr">
        <is>
          <t>A 30385-2024</t>
        </is>
      </c>
      <c r="B259" s="1" t="n">
        <v>45491.4734375</v>
      </c>
      <c r="C259" s="1" t="n">
        <v>45883</v>
      </c>
      <c r="D259" t="inlineStr">
        <is>
          <t>VÄSTERBOTTENS LÄN</t>
        </is>
      </c>
      <c r="E259" t="inlineStr">
        <is>
          <t>ÅSELE</t>
        </is>
      </c>
      <c r="F259" t="inlineStr">
        <is>
          <t>Holmen skog AB</t>
        </is>
      </c>
      <c r="G259" t="n">
        <v>2.1</v>
      </c>
      <c r="H259" t="n">
        <v>0</v>
      </c>
      <c r="I259" t="n">
        <v>0</v>
      </c>
      <c r="J259" t="n">
        <v>0</v>
      </c>
      <c r="K259" t="n">
        <v>0</v>
      </c>
      <c r="L259" t="n">
        <v>0</v>
      </c>
      <c r="M259" t="n">
        <v>0</v>
      </c>
      <c r="N259" t="n">
        <v>0</v>
      </c>
      <c r="O259" t="n">
        <v>0</v>
      </c>
      <c r="P259" t="n">
        <v>0</v>
      </c>
      <c r="Q259" t="n">
        <v>0</v>
      </c>
      <c r="R259" s="2" t="inlineStr"/>
    </row>
    <row r="260" ht="15" customHeight="1">
      <c r="A260" t="inlineStr">
        <is>
          <t>A 28968-2024</t>
        </is>
      </c>
      <c r="B260" s="1" t="n">
        <v>45481.4446875</v>
      </c>
      <c r="C260" s="1" t="n">
        <v>45883</v>
      </c>
      <c r="D260" t="inlineStr">
        <is>
          <t>VÄSTERBOTTENS LÄN</t>
        </is>
      </c>
      <c r="E260" t="inlineStr">
        <is>
          <t>ÅSELE</t>
        </is>
      </c>
      <c r="F260" t="inlineStr">
        <is>
          <t>Sveaskog</t>
        </is>
      </c>
      <c r="G260" t="n">
        <v>18.3</v>
      </c>
      <c r="H260" t="n">
        <v>0</v>
      </c>
      <c r="I260" t="n">
        <v>0</v>
      </c>
      <c r="J260" t="n">
        <v>0</v>
      </c>
      <c r="K260" t="n">
        <v>0</v>
      </c>
      <c r="L260" t="n">
        <v>0</v>
      </c>
      <c r="M260" t="n">
        <v>0</v>
      </c>
      <c r="N260" t="n">
        <v>0</v>
      </c>
      <c r="O260" t="n">
        <v>0</v>
      </c>
      <c r="P260" t="n">
        <v>0</v>
      </c>
      <c r="Q260" t="n">
        <v>0</v>
      </c>
      <c r="R260" s="2" t="inlineStr"/>
    </row>
    <row r="261" ht="15" customHeight="1">
      <c r="A261" t="inlineStr">
        <is>
          <t>A 28977-2024</t>
        </is>
      </c>
      <c r="B261" s="1" t="n">
        <v>45481.46547453704</v>
      </c>
      <c r="C261" s="1" t="n">
        <v>45883</v>
      </c>
      <c r="D261" t="inlineStr">
        <is>
          <t>VÄSTERBOTTENS LÄN</t>
        </is>
      </c>
      <c r="E261" t="inlineStr">
        <is>
          <t>ÅSELE</t>
        </is>
      </c>
      <c r="F261" t="inlineStr">
        <is>
          <t>Sveaskog</t>
        </is>
      </c>
      <c r="G261" t="n">
        <v>5.4</v>
      </c>
      <c r="H261" t="n">
        <v>0</v>
      </c>
      <c r="I261" t="n">
        <v>0</v>
      </c>
      <c r="J261" t="n">
        <v>0</v>
      </c>
      <c r="K261" t="n">
        <v>0</v>
      </c>
      <c r="L261" t="n">
        <v>0</v>
      </c>
      <c r="M261" t="n">
        <v>0</v>
      </c>
      <c r="N261" t="n">
        <v>0</v>
      </c>
      <c r="O261" t="n">
        <v>0</v>
      </c>
      <c r="P261" t="n">
        <v>0</v>
      </c>
      <c r="Q261" t="n">
        <v>0</v>
      </c>
      <c r="R261" s="2" t="inlineStr"/>
    </row>
    <row r="262" ht="15" customHeight="1">
      <c r="A262" t="inlineStr">
        <is>
          <t>A 52772-2024</t>
        </is>
      </c>
      <c r="B262" s="1" t="n">
        <v>45610</v>
      </c>
      <c r="C262" s="1" t="n">
        <v>45883</v>
      </c>
      <c r="D262" t="inlineStr">
        <is>
          <t>VÄSTERBOTTENS LÄN</t>
        </is>
      </c>
      <c r="E262" t="inlineStr">
        <is>
          <t>ÅSELE</t>
        </is>
      </c>
      <c r="F262" t="inlineStr">
        <is>
          <t>SCA</t>
        </is>
      </c>
      <c r="G262" t="n">
        <v>3.1</v>
      </c>
      <c r="H262" t="n">
        <v>0</v>
      </c>
      <c r="I262" t="n">
        <v>0</v>
      </c>
      <c r="J262" t="n">
        <v>0</v>
      </c>
      <c r="K262" t="n">
        <v>0</v>
      </c>
      <c r="L262" t="n">
        <v>0</v>
      </c>
      <c r="M262" t="n">
        <v>0</v>
      </c>
      <c r="N262" t="n">
        <v>0</v>
      </c>
      <c r="O262" t="n">
        <v>0</v>
      </c>
      <c r="P262" t="n">
        <v>0</v>
      </c>
      <c r="Q262" t="n">
        <v>0</v>
      </c>
      <c r="R262" s="2" t="inlineStr"/>
    </row>
    <row r="263" ht="15" customHeight="1">
      <c r="A263" t="inlineStr">
        <is>
          <t>A 31541-2024</t>
        </is>
      </c>
      <c r="B263" s="1" t="n">
        <v>45505</v>
      </c>
      <c r="C263" s="1" t="n">
        <v>45883</v>
      </c>
      <c r="D263" t="inlineStr">
        <is>
          <t>VÄSTERBOTTENS LÄN</t>
        </is>
      </c>
      <c r="E263" t="inlineStr">
        <is>
          <t>ÅSELE</t>
        </is>
      </c>
      <c r="F263" t="inlineStr">
        <is>
          <t>SCA</t>
        </is>
      </c>
      <c r="G263" t="n">
        <v>2.4</v>
      </c>
      <c r="H263" t="n">
        <v>0</v>
      </c>
      <c r="I263" t="n">
        <v>0</v>
      </c>
      <c r="J263" t="n">
        <v>0</v>
      </c>
      <c r="K263" t="n">
        <v>0</v>
      </c>
      <c r="L263" t="n">
        <v>0</v>
      </c>
      <c r="M263" t="n">
        <v>0</v>
      </c>
      <c r="N263" t="n">
        <v>0</v>
      </c>
      <c r="O263" t="n">
        <v>0</v>
      </c>
      <c r="P263" t="n">
        <v>0</v>
      </c>
      <c r="Q263" t="n">
        <v>0</v>
      </c>
      <c r="R263" s="2" t="inlineStr"/>
    </row>
    <row r="264" ht="15" customHeight="1">
      <c r="A264" t="inlineStr">
        <is>
          <t>A 22111-2024</t>
        </is>
      </c>
      <c r="B264" s="1" t="n">
        <v>45443</v>
      </c>
      <c r="C264" s="1" t="n">
        <v>45883</v>
      </c>
      <c r="D264" t="inlineStr">
        <is>
          <t>VÄSTERBOTTENS LÄN</t>
        </is>
      </c>
      <c r="E264" t="inlineStr">
        <is>
          <t>ÅSELE</t>
        </is>
      </c>
      <c r="F264" t="inlineStr">
        <is>
          <t>SCA</t>
        </is>
      </c>
      <c r="G264" t="n">
        <v>5.6</v>
      </c>
      <c r="H264" t="n">
        <v>0</v>
      </c>
      <c r="I264" t="n">
        <v>0</v>
      </c>
      <c r="J264" t="n">
        <v>0</v>
      </c>
      <c r="K264" t="n">
        <v>0</v>
      </c>
      <c r="L264" t="n">
        <v>0</v>
      </c>
      <c r="M264" t="n">
        <v>0</v>
      </c>
      <c r="N264" t="n">
        <v>0</v>
      </c>
      <c r="O264" t="n">
        <v>0</v>
      </c>
      <c r="P264" t="n">
        <v>0</v>
      </c>
      <c r="Q264" t="n">
        <v>0</v>
      </c>
      <c r="R264" s="2" t="inlineStr"/>
    </row>
    <row r="265" ht="15" customHeight="1">
      <c r="A265" t="inlineStr">
        <is>
          <t>A 41960-2024</t>
        </is>
      </c>
      <c r="B265" s="1" t="n">
        <v>45561</v>
      </c>
      <c r="C265" s="1" t="n">
        <v>45883</v>
      </c>
      <c r="D265" t="inlineStr">
        <is>
          <t>VÄSTERBOTTENS LÄN</t>
        </is>
      </c>
      <c r="E265" t="inlineStr">
        <is>
          <t>ÅSELE</t>
        </is>
      </c>
      <c r="F265" t="inlineStr">
        <is>
          <t>Holmen skog AB</t>
        </is>
      </c>
      <c r="G265" t="n">
        <v>1.6</v>
      </c>
      <c r="H265" t="n">
        <v>0</v>
      </c>
      <c r="I265" t="n">
        <v>0</v>
      </c>
      <c r="J265" t="n">
        <v>0</v>
      </c>
      <c r="K265" t="n">
        <v>0</v>
      </c>
      <c r="L265" t="n">
        <v>0</v>
      </c>
      <c r="M265" t="n">
        <v>0</v>
      </c>
      <c r="N265" t="n">
        <v>0</v>
      </c>
      <c r="O265" t="n">
        <v>0</v>
      </c>
      <c r="P265" t="n">
        <v>0</v>
      </c>
      <c r="Q265" t="n">
        <v>0</v>
      </c>
      <c r="R265" s="2" t="inlineStr"/>
    </row>
    <row r="266" ht="15" customHeight="1">
      <c r="A266" t="inlineStr">
        <is>
          <t>A 49428-2022</t>
        </is>
      </c>
      <c r="B266" s="1" t="n">
        <v>44859</v>
      </c>
      <c r="C266" s="1" t="n">
        <v>45883</v>
      </c>
      <c r="D266" t="inlineStr">
        <is>
          <t>VÄSTERBOTTENS LÄN</t>
        </is>
      </c>
      <c r="E266" t="inlineStr">
        <is>
          <t>ÅSELE</t>
        </is>
      </c>
      <c r="G266" t="n">
        <v>4.6</v>
      </c>
      <c r="H266" t="n">
        <v>0</v>
      </c>
      <c r="I266" t="n">
        <v>0</v>
      </c>
      <c r="J266" t="n">
        <v>0</v>
      </c>
      <c r="K266" t="n">
        <v>0</v>
      </c>
      <c r="L266" t="n">
        <v>0</v>
      </c>
      <c r="M266" t="n">
        <v>0</v>
      </c>
      <c r="N266" t="n">
        <v>0</v>
      </c>
      <c r="O266" t="n">
        <v>0</v>
      </c>
      <c r="P266" t="n">
        <v>0</v>
      </c>
      <c r="Q266" t="n">
        <v>0</v>
      </c>
      <c r="R266" s="2" t="inlineStr"/>
    </row>
    <row r="267" ht="15" customHeight="1">
      <c r="A267" t="inlineStr">
        <is>
          <t>A 3250-2025</t>
        </is>
      </c>
      <c r="B267" s="1" t="n">
        <v>45679</v>
      </c>
      <c r="C267" s="1" t="n">
        <v>45883</v>
      </c>
      <c r="D267" t="inlineStr">
        <is>
          <t>VÄSTERBOTTENS LÄN</t>
        </is>
      </c>
      <c r="E267" t="inlineStr">
        <is>
          <t>ÅSELE</t>
        </is>
      </c>
      <c r="G267" t="n">
        <v>2.3</v>
      </c>
      <c r="H267" t="n">
        <v>0</v>
      </c>
      <c r="I267" t="n">
        <v>0</v>
      </c>
      <c r="J267" t="n">
        <v>0</v>
      </c>
      <c r="K267" t="n">
        <v>0</v>
      </c>
      <c r="L267" t="n">
        <v>0</v>
      </c>
      <c r="M267" t="n">
        <v>0</v>
      </c>
      <c r="N267" t="n">
        <v>0</v>
      </c>
      <c r="O267" t="n">
        <v>0</v>
      </c>
      <c r="P267" t="n">
        <v>0</v>
      </c>
      <c r="Q267" t="n">
        <v>0</v>
      </c>
      <c r="R267" s="2" t="inlineStr"/>
    </row>
    <row r="268" ht="15" customHeight="1">
      <c r="A268" t="inlineStr">
        <is>
          <t>A 20276-2025</t>
        </is>
      </c>
      <c r="B268" s="1" t="n">
        <v>45774.32366898148</v>
      </c>
      <c r="C268" s="1" t="n">
        <v>45883</v>
      </c>
      <c r="D268" t="inlineStr">
        <is>
          <t>VÄSTERBOTTENS LÄN</t>
        </is>
      </c>
      <c r="E268" t="inlineStr">
        <is>
          <t>ÅSELE</t>
        </is>
      </c>
      <c r="G268" t="n">
        <v>16.3</v>
      </c>
      <c r="H268" t="n">
        <v>0</v>
      </c>
      <c r="I268" t="n">
        <v>0</v>
      </c>
      <c r="J268" t="n">
        <v>0</v>
      </c>
      <c r="K268" t="n">
        <v>0</v>
      </c>
      <c r="L268" t="n">
        <v>0</v>
      </c>
      <c r="M268" t="n">
        <v>0</v>
      </c>
      <c r="N268" t="n">
        <v>0</v>
      </c>
      <c r="O268" t="n">
        <v>0</v>
      </c>
      <c r="P268" t="n">
        <v>0</v>
      </c>
      <c r="Q268" t="n">
        <v>0</v>
      </c>
      <c r="R268" s="2" t="inlineStr"/>
    </row>
    <row r="269" ht="15" customHeight="1">
      <c r="A269" t="inlineStr">
        <is>
          <t>A 26980-2024</t>
        </is>
      </c>
      <c r="B269" s="1" t="n">
        <v>45471</v>
      </c>
      <c r="C269" s="1" t="n">
        <v>45883</v>
      </c>
      <c r="D269" t="inlineStr">
        <is>
          <t>VÄSTERBOTTENS LÄN</t>
        </is>
      </c>
      <c r="E269" t="inlineStr">
        <is>
          <t>ÅSELE</t>
        </is>
      </c>
      <c r="G269" t="n">
        <v>7.7</v>
      </c>
      <c r="H269" t="n">
        <v>0</v>
      </c>
      <c r="I269" t="n">
        <v>0</v>
      </c>
      <c r="J269" t="n">
        <v>0</v>
      </c>
      <c r="K269" t="n">
        <v>0</v>
      </c>
      <c r="L269" t="n">
        <v>0</v>
      </c>
      <c r="M269" t="n">
        <v>0</v>
      </c>
      <c r="N269" t="n">
        <v>0</v>
      </c>
      <c r="O269" t="n">
        <v>0</v>
      </c>
      <c r="P269" t="n">
        <v>0</v>
      </c>
      <c r="Q269" t="n">
        <v>0</v>
      </c>
      <c r="R269" s="2" t="inlineStr"/>
    </row>
    <row r="270" ht="15" customHeight="1">
      <c r="A270" t="inlineStr">
        <is>
          <t>A 28881-2024</t>
        </is>
      </c>
      <c r="B270" s="1" t="n">
        <v>45479</v>
      </c>
      <c r="C270" s="1" t="n">
        <v>45883</v>
      </c>
      <c r="D270" t="inlineStr">
        <is>
          <t>VÄSTERBOTTENS LÄN</t>
        </is>
      </c>
      <c r="E270" t="inlineStr">
        <is>
          <t>ÅSELE</t>
        </is>
      </c>
      <c r="G270" t="n">
        <v>3.6</v>
      </c>
      <c r="H270" t="n">
        <v>0</v>
      </c>
      <c r="I270" t="n">
        <v>0</v>
      </c>
      <c r="J270" t="n">
        <v>0</v>
      </c>
      <c r="K270" t="n">
        <v>0</v>
      </c>
      <c r="L270" t="n">
        <v>0</v>
      </c>
      <c r="M270" t="n">
        <v>0</v>
      </c>
      <c r="N270" t="n">
        <v>0</v>
      </c>
      <c r="O270" t="n">
        <v>0</v>
      </c>
      <c r="P270" t="n">
        <v>0</v>
      </c>
      <c r="Q270" t="n">
        <v>0</v>
      </c>
      <c r="R270" s="2" t="inlineStr"/>
    </row>
    <row r="271" ht="15" customHeight="1">
      <c r="A271" t="inlineStr">
        <is>
          <t>A 28954-2024</t>
        </is>
      </c>
      <c r="B271" s="1" t="n">
        <v>45481.40775462963</v>
      </c>
      <c r="C271" s="1" t="n">
        <v>45883</v>
      </c>
      <c r="D271" t="inlineStr">
        <is>
          <t>VÄSTERBOTTENS LÄN</t>
        </is>
      </c>
      <c r="E271" t="inlineStr">
        <is>
          <t>ÅSELE</t>
        </is>
      </c>
      <c r="F271" t="inlineStr">
        <is>
          <t>Sveaskog</t>
        </is>
      </c>
      <c r="G271" t="n">
        <v>7.1</v>
      </c>
      <c r="H271" t="n">
        <v>0</v>
      </c>
      <c r="I271" t="n">
        <v>0</v>
      </c>
      <c r="J271" t="n">
        <v>0</v>
      </c>
      <c r="K271" t="n">
        <v>0</v>
      </c>
      <c r="L271" t="n">
        <v>0</v>
      </c>
      <c r="M271" t="n">
        <v>0</v>
      </c>
      <c r="N271" t="n">
        <v>0</v>
      </c>
      <c r="O271" t="n">
        <v>0</v>
      </c>
      <c r="P271" t="n">
        <v>0</v>
      </c>
      <c r="Q271" t="n">
        <v>0</v>
      </c>
      <c r="R271" s="2" t="inlineStr"/>
    </row>
    <row r="272" ht="15" customHeight="1">
      <c r="A272" t="inlineStr">
        <is>
          <t>A 27946-2024</t>
        </is>
      </c>
      <c r="B272" s="1" t="n">
        <v>45476.31981481481</v>
      </c>
      <c r="C272" s="1" t="n">
        <v>45883</v>
      </c>
      <c r="D272" t="inlineStr">
        <is>
          <t>VÄSTERBOTTENS LÄN</t>
        </is>
      </c>
      <c r="E272" t="inlineStr">
        <is>
          <t>ÅSELE</t>
        </is>
      </c>
      <c r="F272" t="inlineStr">
        <is>
          <t>Sveaskog</t>
        </is>
      </c>
      <c r="G272" t="n">
        <v>7.5</v>
      </c>
      <c r="H272" t="n">
        <v>0</v>
      </c>
      <c r="I272" t="n">
        <v>0</v>
      </c>
      <c r="J272" t="n">
        <v>0</v>
      </c>
      <c r="K272" t="n">
        <v>0</v>
      </c>
      <c r="L272" t="n">
        <v>0</v>
      </c>
      <c r="M272" t="n">
        <v>0</v>
      </c>
      <c r="N272" t="n">
        <v>0</v>
      </c>
      <c r="O272" t="n">
        <v>0</v>
      </c>
      <c r="P272" t="n">
        <v>0</v>
      </c>
      <c r="Q272" t="n">
        <v>0</v>
      </c>
      <c r="R272" s="2" t="inlineStr"/>
    </row>
    <row r="273" ht="15" customHeight="1">
      <c r="A273" t="inlineStr">
        <is>
          <t>A 27951-2024</t>
        </is>
      </c>
      <c r="B273" s="1" t="n">
        <v>45476.32990740741</v>
      </c>
      <c r="C273" s="1" t="n">
        <v>45883</v>
      </c>
      <c r="D273" t="inlineStr">
        <is>
          <t>VÄSTERBOTTENS LÄN</t>
        </is>
      </c>
      <c r="E273" t="inlineStr">
        <is>
          <t>ÅSELE</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41694-2023</t>
        </is>
      </c>
      <c r="B274" s="1" t="n">
        <v>45176</v>
      </c>
      <c r="C274" s="1" t="n">
        <v>45883</v>
      </c>
      <c r="D274" t="inlineStr">
        <is>
          <t>VÄSTERBOTTENS LÄN</t>
        </is>
      </c>
      <c r="E274" t="inlineStr">
        <is>
          <t>ÅSELE</t>
        </is>
      </c>
      <c r="F274" t="inlineStr">
        <is>
          <t>Holmen skog AB</t>
        </is>
      </c>
      <c r="G274" t="n">
        <v>10.3</v>
      </c>
      <c r="H274" t="n">
        <v>0</v>
      </c>
      <c r="I274" t="n">
        <v>0</v>
      </c>
      <c r="J274" t="n">
        <v>0</v>
      </c>
      <c r="K274" t="n">
        <v>0</v>
      </c>
      <c r="L274" t="n">
        <v>0</v>
      </c>
      <c r="M274" t="n">
        <v>0</v>
      </c>
      <c r="N274" t="n">
        <v>0</v>
      </c>
      <c r="O274" t="n">
        <v>0</v>
      </c>
      <c r="P274" t="n">
        <v>0</v>
      </c>
      <c r="Q274" t="n">
        <v>0</v>
      </c>
      <c r="R274" s="2" t="inlineStr"/>
    </row>
    <row r="275" ht="15" customHeight="1">
      <c r="A275" t="inlineStr">
        <is>
          <t>A 4078-2025</t>
        </is>
      </c>
      <c r="B275" s="1" t="n">
        <v>45684.65501157408</v>
      </c>
      <c r="C275" s="1" t="n">
        <v>45883</v>
      </c>
      <c r="D275" t="inlineStr">
        <is>
          <t>VÄSTERBOTTENS LÄN</t>
        </is>
      </c>
      <c r="E275" t="inlineStr">
        <is>
          <t>ÅSELE</t>
        </is>
      </c>
      <c r="G275" t="n">
        <v>2.4</v>
      </c>
      <c r="H275" t="n">
        <v>0</v>
      </c>
      <c r="I275" t="n">
        <v>0</v>
      </c>
      <c r="J275" t="n">
        <v>0</v>
      </c>
      <c r="K275" t="n">
        <v>0</v>
      </c>
      <c r="L275" t="n">
        <v>0</v>
      </c>
      <c r="M275" t="n">
        <v>0</v>
      </c>
      <c r="N275" t="n">
        <v>0</v>
      </c>
      <c r="O275" t="n">
        <v>0</v>
      </c>
      <c r="P275" t="n">
        <v>0</v>
      </c>
      <c r="Q275" t="n">
        <v>0</v>
      </c>
      <c r="R275" s="2" t="inlineStr"/>
    </row>
    <row r="276" ht="15" customHeight="1">
      <c r="A276" t="inlineStr">
        <is>
          <t>A 9355-2023</t>
        </is>
      </c>
      <c r="B276" s="1" t="n">
        <v>44980.93821759259</v>
      </c>
      <c r="C276" s="1" t="n">
        <v>45883</v>
      </c>
      <c r="D276" t="inlineStr">
        <is>
          <t>VÄSTERBOTTENS LÄN</t>
        </is>
      </c>
      <c r="E276" t="inlineStr">
        <is>
          <t>ÅSELE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47103-2020</t>
        </is>
      </c>
      <c r="B277" s="1" t="n">
        <v>44096</v>
      </c>
      <c r="C277" s="1" t="n">
        <v>45883</v>
      </c>
      <c r="D277" t="inlineStr">
        <is>
          <t>VÄSTERBOTTENS LÄN</t>
        </is>
      </c>
      <c r="E277" t="inlineStr">
        <is>
          <t>ÅSELE</t>
        </is>
      </c>
      <c r="G277" t="n">
        <v>5.8</v>
      </c>
      <c r="H277" t="n">
        <v>0</v>
      </c>
      <c r="I277" t="n">
        <v>0</v>
      </c>
      <c r="J277" t="n">
        <v>0</v>
      </c>
      <c r="K277" t="n">
        <v>0</v>
      </c>
      <c r="L277" t="n">
        <v>0</v>
      </c>
      <c r="M277" t="n">
        <v>0</v>
      </c>
      <c r="N277" t="n">
        <v>0</v>
      </c>
      <c r="O277" t="n">
        <v>0</v>
      </c>
      <c r="P277" t="n">
        <v>0</v>
      </c>
      <c r="Q277" t="n">
        <v>0</v>
      </c>
      <c r="R277" s="2" t="inlineStr"/>
    </row>
    <row r="278" ht="15" customHeight="1">
      <c r="A278" t="inlineStr">
        <is>
          <t>A 55882-2020</t>
        </is>
      </c>
      <c r="B278" s="1" t="n">
        <v>44132</v>
      </c>
      <c r="C278" s="1" t="n">
        <v>45883</v>
      </c>
      <c r="D278" t="inlineStr">
        <is>
          <t>VÄSTERBOTTENS LÄN</t>
        </is>
      </c>
      <c r="E278" t="inlineStr">
        <is>
          <t>ÅSELE</t>
        </is>
      </c>
      <c r="G278" t="n">
        <v>3.9</v>
      </c>
      <c r="H278" t="n">
        <v>0</v>
      </c>
      <c r="I278" t="n">
        <v>0</v>
      </c>
      <c r="J278" t="n">
        <v>0</v>
      </c>
      <c r="K278" t="n">
        <v>0</v>
      </c>
      <c r="L278" t="n">
        <v>0</v>
      </c>
      <c r="M278" t="n">
        <v>0</v>
      </c>
      <c r="N278" t="n">
        <v>0</v>
      </c>
      <c r="O278" t="n">
        <v>0</v>
      </c>
      <c r="P278" t="n">
        <v>0</v>
      </c>
      <c r="Q278" t="n">
        <v>0</v>
      </c>
      <c r="R278" s="2" t="inlineStr"/>
    </row>
    <row r="279" ht="15" customHeight="1">
      <c r="A279" t="inlineStr">
        <is>
          <t>A 23648-2023</t>
        </is>
      </c>
      <c r="B279" s="1" t="n">
        <v>45077.54615740741</v>
      </c>
      <c r="C279" s="1" t="n">
        <v>45883</v>
      </c>
      <c r="D279" t="inlineStr">
        <is>
          <t>VÄSTERBOTTENS LÄN</t>
        </is>
      </c>
      <c r="E279" t="inlineStr">
        <is>
          <t>ÅSELE</t>
        </is>
      </c>
      <c r="F279" t="inlineStr">
        <is>
          <t>Naturvårdsverket</t>
        </is>
      </c>
      <c r="G279" t="n">
        <v>1.4</v>
      </c>
      <c r="H279" t="n">
        <v>0</v>
      </c>
      <c r="I279" t="n">
        <v>0</v>
      </c>
      <c r="J279" t="n">
        <v>0</v>
      </c>
      <c r="K279" t="n">
        <v>0</v>
      </c>
      <c r="L279" t="n">
        <v>0</v>
      </c>
      <c r="M279" t="n">
        <v>0</v>
      </c>
      <c r="N279" t="n">
        <v>0</v>
      </c>
      <c r="O279" t="n">
        <v>0</v>
      </c>
      <c r="P279" t="n">
        <v>0</v>
      </c>
      <c r="Q279" t="n">
        <v>0</v>
      </c>
      <c r="R279" s="2" t="inlineStr"/>
    </row>
    <row r="280" ht="15" customHeight="1">
      <c r="A280" t="inlineStr">
        <is>
          <t>A 1225-2023</t>
        </is>
      </c>
      <c r="B280" s="1" t="n">
        <v>44935.97194444444</v>
      </c>
      <c r="C280" s="1" t="n">
        <v>45883</v>
      </c>
      <c r="D280" t="inlineStr">
        <is>
          <t>VÄSTERBOTTENS LÄN</t>
        </is>
      </c>
      <c r="E280" t="inlineStr">
        <is>
          <t>ÅSELE</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28939-2024</t>
        </is>
      </c>
      <c r="B281" s="1" t="n">
        <v>45481.37263888889</v>
      </c>
      <c r="C281" s="1" t="n">
        <v>45883</v>
      </c>
      <c r="D281" t="inlineStr">
        <is>
          <t>VÄSTERBOTTENS LÄN</t>
        </is>
      </c>
      <c r="E281" t="inlineStr">
        <is>
          <t>ÅSELE</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1640-2025</t>
        </is>
      </c>
      <c r="B282" s="1" t="n">
        <v>45670</v>
      </c>
      <c r="C282" s="1" t="n">
        <v>45883</v>
      </c>
      <c r="D282" t="inlineStr">
        <is>
          <t>VÄSTERBOTTENS LÄN</t>
        </is>
      </c>
      <c r="E282" t="inlineStr">
        <is>
          <t>ÅSELE</t>
        </is>
      </c>
      <c r="G282" t="n">
        <v>2.9</v>
      </c>
      <c r="H282" t="n">
        <v>0</v>
      </c>
      <c r="I282" t="n">
        <v>0</v>
      </c>
      <c r="J282" t="n">
        <v>0</v>
      </c>
      <c r="K282" t="n">
        <v>0</v>
      </c>
      <c r="L282" t="n">
        <v>0</v>
      </c>
      <c r="M282" t="n">
        <v>0</v>
      </c>
      <c r="N282" t="n">
        <v>0</v>
      </c>
      <c r="O282" t="n">
        <v>0</v>
      </c>
      <c r="P282" t="n">
        <v>0</v>
      </c>
      <c r="Q282" t="n">
        <v>0</v>
      </c>
      <c r="R282" s="2" t="inlineStr"/>
    </row>
    <row r="283" ht="15" customHeight="1">
      <c r="A283" t="inlineStr">
        <is>
          <t>A 18317-2025</t>
        </is>
      </c>
      <c r="B283" s="1" t="n">
        <v>45762.45550925926</v>
      </c>
      <c r="C283" s="1" t="n">
        <v>45883</v>
      </c>
      <c r="D283" t="inlineStr">
        <is>
          <t>VÄSTERBOTTENS LÄN</t>
        </is>
      </c>
      <c r="E283" t="inlineStr">
        <is>
          <t>ÅSELE</t>
        </is>
      </c>
      <c r="G283" t="n">
        <v>1.1</v>
      </c>
      <c r="H283" t="n">
        <v>0</v>
      </c>
      <c r="I283" t="n">
        <v>0</v>
      </c>
      <c r="J283" t="n">
        <v>0</v>
      </c>
      <c r="K283" t="n">
        <v>0</v>
      </c>
      <c r="L283" t="n">
        <v>0</v>
      </c>
      <c r="M283" t="n">
        <v>0</v>
      </c>
      <c r="N283" t="n">
        <v>0</v>
      </c>
      <c r="O283" t="n">
        <v>0</v>
      </c>
      <c r="P283" t="n">
        <v>0</v>
      </c>
      <c r="Q283" t="n">
        <v>0</v>
      </c>
      <c r="R283" s="2" t="inlineStr"/>
    </row>
    <row r="284" ht="15" customHeight="1">
      <c r="A284" t="inlineStr">
        <is>
          <t>A 32058-2024</t>
        </is>
      </c>
      <c r="B284" s="1" t="n">
        <v>45510</v>
      </c>
      <c r="C284" s="1" t="n">
        <v>45883</v>
      </c>
      <c r="D284" t="inlineStr">
        <is>
          <t>VÄSTERBOTTENS LÄN</t>
        </is>
      </c>
      <c r="E284" t="inlineStr">
        <is>
          <t>ÅSELE</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61398-2022</t>
        </is>
      </c>
      <c r="B285" s="1" t="n">
        <v>44915.94388888889</v>
      </c>
      <c r="C285" s="1" t="n">
        <v>45883</v>
      </c>
      <c r="D285" t="inlineStr">
        <is>
          <t>VÄSTERBOTTENS LÄN</t>
        </is>
      </c>
      <c r="E285" t="inlineStr">
        <is>
          <t>ÅSELE</t>
        </is>
      </c>
      <c r="F285" t="inlineStr">
        <is>
          <t>SCA</t>
        </is>
      </c>
      <c r="G285" t="n">
        <v>7.2</v>
      </c>
      <c r="H285" t="n">
        <v>0</v>
      </c>
      <c r="I285" t="n">
        <v>0</v>
      </c>
      <c r="J285" t="n">
        <v>0</v>
      </c>
      <c r="K285" t="n">
        <v>0</v>
      </c>
      <c r="L285" t="n">
        <v>0</v>
      </c>
      <c r="M285" t="n">
        <v>0</v>
      </c>
      <c r="N285" t="n">
        <v>0</v>
      </c>
      <c r="O285" t="n">
        <v>0</v>
      </c>
      <c r="P285" t="n">
        <v>0</v>
      </c>
      <c r="Q285" t="n">
        <v>0</v>
      </c>
      <c r="R285" s="2" t="inlineStr"/>
    </row>
    <row r="286" ht="15" customHeight="1">
      <c r="A286" t="inlineStr">
        <is>
          <t>A 5022-2024</t>
        </is>
      </c>
      <c r="B286" s="1" t="n">
        <v>45329</v>
      </c>
      <c r="C286" s="1" t="n">
        <v>45883</v>
      </c>
      <c r="D286" t="inlineStr">
        <is>
          <t>VÄSTERBOTTENS LÄN</t>
        </is>
      </c>
      <c r="E286" t="inlineStr">
        <is>
          <t>ÅSELE</t>
        </is>
      </c>
      <c r="F286" t="inlineStr">
        <is>
          <t>Övriga Aktiebolag</t>
        </is>
      </c>
      <c r="G286" t="n">
        <v>1.9</v>
      </c>
      <c r="H286" t="n">
        <v>0</v>
      </c>
      <c r="I286" t="n">
        <v>0</v>
      </c>
      <c r="J286" t="n">
        <v>0</v>
      </c>
      <c r="K286" t="n">
        <v>0</v>
      </c>
      <c r="L286" t="n">
        <v>0</v>
      </c>
      <c r="M286" t="n">
        <v>0</v>
      </c>
      <c r="N286" t="n">
        <v>0</v>
      </c>
      <c r="O286" t="n">
        <v>0</v>
      </c>
      <c r="P286" t="n">
        <v>0</v>
      </c>
      <c r="Q286" t="n">
        <v>0</v>
      </c>
      <c r="R286" s="2" t="inlineStr"/>
    </row>
    <row r="287" ht="15" customHeight="1">
      <c r="A287" t="inlineStr">
        <is>
          <t>A 61800-2023</t>
        </is>
      </c>
      <c r="B287" s="1" t="n">
        <v>45265.95873842593</v>
      </c>
      <c r="C287" s="1" t="n">
        <v>45883</v>
      </c>
      <c r="D287" t="inlineStr">
        <is>
          <t>VÄSTERBOTTENS LÄN</t>
        </is>
      </c>
      <c r="E287" t="inlineStr">
        <is>
          <t>ÅSELE</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45311-2024</t>
        </is>
      </c>
      <c r="B288" s="1" t="n">
        <v>45576.43226851852</v>
      </c>
      <c r="C288" s="1" t="n">
        <v>45883</v>
      </c>
      <c r="D288" t="inlineStr">
        <is>
          <t>VÄSTERBOTTENS LÄN</t>
        </is>
      </c>
      <c r="E288" t="inlineStr">
        <is>
          <t>ÅSELE</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38197-2024</t>
        </is>
      </c>
      <c r="B289" s="1" t="n">
        <v>45545</v>
      </c>
      <c r="C289" s="1" t="n">
        <v>45883</v>
      </c>
      <c r="D289" t="inlineStr">
        <is>
          <t>VÄSTERBOTTENS LÄN</t>
        </is>
      </c>
      <c r="E289" t="inlineStr">
        <is>
          <t>ÅSELE</t>
        </is>
      </c>
      <c r="F289" t="inlineStr">
        <is>
          <t>Sveaskog</t>
        </is>
      </c>
      <c r="G289" t="n">
        <v>10.6</v>
      </c>
      <c r="H289" t="n">
        <v>0</v>
      </c>
      <c r="I289" t="n">
        <v>0</v>
      </c>
      <c r="J289" t="n">
        <v>0</v>
      </c>
      <c r="K289" t="n">
        <v>0</v>
      </c>
      <c r="L289" t="n">
        <v>0</v>
      </c>
      <c r="M289" t="n">
        <v>0</v>
      </c>
      <c r="N289" t="n">
        <v>0</v>
      </c>
      <c r="O289" t="n">
        <v>0</v>
      </c>
      <c r="P289" t="n">
        <v>0</v>
      </c>
      <c r="Q289" t="n">
        <v>0</v>
      </c>
      <c r="R289" s="2" t="inlineStr"/>
    </row>
    <row r="290" ht="15" customHeight="1">
      <c r="A290" t="inlineStr">
        <is>
          <t>A 57498-2024</t>
        </is>
      </c>
      <c r="B290" s="1" t="n">
        <v>45629</v>
      </c>
      <c r="C290" s="1" t="n">
        <v>45883</v>
      </c>
      <c r="D290" t="inlineStr">
        <is>
          <t>VÄSTERBOTTENS LÄN</t>
        </is>
      </c>
      <c r="E290" t="inlineStr">
        <is>
          <t>ÅSELE</t>
        </is>
      </c>
      <c r="G290" t="n">
        <v>3.5</v>
      </c>
      <c r="H290" t="n">
        <v>0</v>
      </c>
      <c r="I290" t="n">
        <v>0</v>
      </c>
      <c r="J290" t="n">
        <v>0</v>
      </c>
      <c r="K290" t="n">
        <v>0</v>
      </c>
      <c r="L290" t="n">
        <v>0</v>
      </c>
      <c r="M290" t="n">
        <v>0</v>
      </c>
      <c r="N290" t="n">
        <v>0</v>
      </c>
      <c r="O290" t="n">
        <v>0</v>
      </c>
      <c r="P290" t="n">
        <v>0</v>
      </c>
      <c r="Q290" t="n">
        <v>0</v>
      </c>
      <c r="R290" s="2" t="inlineStr"/>
    </row>
    <row r="291" ht="15" customHeight="1">
      <c r="A291" t="inlineStr">
        <is>
          <t>A 3063-2024</t>
        </is>
      </c>
      <c r="B291" s="1" t="n">
        <v>45316</v>
      </c>
      <c r="C291" s="1" t="n">
        <v>45883</v>
      </c>
      <c r="D291" t="inlineStr">
        <is>
          <t>VÄSTERBOTTENS LÄN</t>
        </is>
      </c>
      <c r="E291" t="inlineStr">
        <is>
          <t>ÅSELE</t>
        </is>
      </c>
      <c r="G291" t="n">
        <v>0.5</v>
      </c>
      <c r="H291" t="n">
        <v>0</v>
      </c>
      <c r="I291" t="n">
        <v>0</v>
      </c>
      <c r="J291" t="n">
        <v>0</v>
      </c>
      <c r="K291" t="n">
        <v>0</v>
      </c>
      <c r="L291" t="n">
        <v>0</v>
      </c>
      <c r="M291" t="n">
        <v>0</v>
      </c>
      <c r="N291" t="n">
        <v>0</v>
      </c>
      <c r="O291" t="n">
        <v>0</v>
      </c>
      <c r="P291" t="n">
        <v>0</v>
      </c>
      <c r="Q291" t="n">
        <v>0</v>
      </c>
      <c r="R291" s="2" t="inlineStr"/>
    </row>
    <row r="292" ht="15" customHeight="1">
      <c r="A292" t="inlineStr">
        <is>
          <t>A 48299-2024</t>
        </is>
      </c>
      <c r="B292" s="1" t="n">
        <v>45590</v>
      </c>
      <c r="C292" s="1" t="n">
        <v>45883</v>
      </c>
      <c r="D292" t="inlineStr">
        <is>
          <t>VÄSTERBOTTENS LÄN</t>
        </is>
      </c>
      <c r="E292" t="inlineStr">
        <is>
          <t>ÅSELE</t>
        </is>
      </c>
      <c r="G292" t="n">
        <v>0.9</v>
      </c>
      <c r="H292" t="n">
        <v>0</v>
      </c>
      <c r="I292" t="n">
        <v>0</v>
      </c>
      <c r="J292" t="n">
        <v>0</v>
      </c>
      <c r="K292" t="n">
        <v>0</v>
      </c>
      <c r="L292" t="n">
        <v>0</v>
      </c>
      <c r="M292" t="n">
        <v>0</v>
      </c>
      <c r="N292" t="n">
        <v>0</v>
      </c>
      <c r="O292" t="n">
        <v>0</v>
      </c>
      <c r="P292" t="n">
        <v>0</v>
      </c>
      <c r="Q292" t="n">
        <v>0</v>
      </c>
      <c r="R292" s="2" t="inlineStr"/>
    </row>
    <row r="293" ht="15" customHeight="1">
      <c r="A293" t="inlineStr">
        <is>
          <t>A 57800-2023</t>
        </is>
      </c>
      <c r="B293" s="1" t="n">
        <v>45246.96921296296</v>
      </c>
      <c r="C293" s="1" t="n">
        <v>45883</v>
      </c>
      <c r="D293" t="inlineStr">
        <is>
          <t>VÄSTERBOTTENS LÄN</t>
        </is>
      </c>
      <c r="E293" t="inlineStr">
        <is>
          <t>ÅSELE</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18301-2025</t>
        </is>
      </c>
      <c r="B294" s="1" t="n">
        <v>45762.43146990741</v>
      </c>
      <c r="C294" s="1" t="n">
        <v>45883</v>
      </c>
      <c r="D294" t="inlineStr">
        <is>
          <t>VÄSTERBOTTENS LÄN</t>
        </is>
      </c>
      <c r="E294" t="inlineStr">
        <is>
          <t>ÅSELE</t>
        </is>
      </c>
      <c r="G294" t="n">
        <v>7.1</v>
      </c>
      <c r="H294" t="n">
        <v>0</v>
      </c>
      <c r="I294" t="n">
        <v>0</v>
      </c>
      <c r="J294" t="n">
        <v>0</v>
      </c>
      <c r="K294" t="n">
        <v>0</v>
      </c>
      <c r="L294" t="n">
        <v>0</v>
      </c>
      <c r="M294" t="n">
        <v>0</v>
      </c>
      <c r="N294" t="n">
        <v>0</v>
      </c>
      <c r="O294" t="n">
        <v>0</v>
      </c>
      <c r="P294" t="n">
        <v>0</v>
      </c>
      <c r="Q294" t="n">
        <v>0</v>
      </c>
      <c r="R294" s="2" t="inlineStr"/>
    </row>
    <row r="295" ht="15" customHeight="1">
      <c r="A295" t="inlineStr">
        <is>
          <t>A 26395-2023</t>
        </is>
      </c>
      <c r="B295" s="1" t="n">
        <v>45092.35770833334</v>
      </c>
      <c r="C295" s="1" t="n">
        <v>45883</v>
      </c>
      <c r="D295" t="inlineStr">
        <is>
          <t>VÄSTERBOTTENS LÄN</t>
        </is>
      </c>
      <c r="E295" t="inlineStr">
        <is>
          <t>ÅSELE</t>
        </is>
      </c>
      <c r="F295" t="inlineStr">
        <is>
          <t>Holmen skog AB</t>
        </is>
      </c>
      <c r="G295" t="n">
        <v>4.1</v>
      </c>
      <c r="H295" t="n">
        <v>0</v>
      </c>
      <c r="I295" t="n">
        <v>0</v>
      </c>
      <c r="J295" t="n">
        <v>0</v>
      </c>
      <c r="K295" t="n">
        <v>0</v>
      </c>
      <c r="L295" t="n">
        <v>0</v>
      </c>
      <c r="M295" t="n">
        <v>0</v>
      </c>
      <c r="N295" t="n">
        <v>0</v>
      </c>
      <c r="O295" t="n">
        <v>0</v>
      </c>
      <c r="P295" t="n">
        <v>0</v>
      </c>
      <c r="Q295" t="n">
        <v>0</v>
      </c>
      <c r="R295" s="2" t="inlineStr"/>
    </row>
    <row r="296" ht="15" customHeight="1">
      <c r="A296" t="inlineStr">
        <is>
          <t>A 30058-2024</t>
        </is>
      </c>
      <c r="B296" s="1" t="n">
        <v>45488.94793981482</v>
      </c>
      <c r="C296" s="1" t="n">
        <v>45883</v>
      </c>
      <c r="D296" t="inlineStr">
        <is>
          <t>VÄSTERBOTTENS LÄN</t>
        </is>
      </c>
      <c r="E296" t="inlineStr">
        <is>
          <t>ÅSELE</t>
        </is>
      </c>
      <c r="F296" t="inlineStr">
        <is>
          <t>SCA</t>
        </is>
      </c>
      <c r="G296" t="n">
        <v>7.6</v>
      </c>
      <c r="H296" t="n">
        <v>0</v>
      </c>
      <c r="I296" t="n">
        <v>0</v>
      </c>
      <c r="J296" t="n">
        <v>0</v>
      </c>
      <c r="K296" t="n">
        <v>0</v>
      </c>
      <c r="L296" t="n">
        <v>0</v>
      </c>
      <c r="M296" t="n">
        <v>0</v>
      </c>
      <c r="N296" t="n">
        <v>0</v>
      </c>
      <c r="O296" t="n">
        <v>0</v>
      </c>
      <c r="P296" t="n">
        <v>0</v>
      </c>
      <c r="Q296" t="n">
        <v>0</v>
      </c>
      <c r="R296" s="2" t="inlineStr"/>
    </row>
    <row r="297" ht="15" customHeight="1">
      <c r="A297" t="inlineStr">
        <is>
          <t>A 22739-2023</t>
        </is>
      </c>
      <c r="B297" s="1" t="n">
        <v>45071.92619212963</v>
      </c>
      <c r="C297" s="1" t="n">
        <v>45883</v>
      </c>
      <c r="D297" t="inlineStr">
        <is>
          <t>VÄSTERBOTTENS LÄN</t>
        </is>
      </c>
      <c r="E297" t="inlineStr">
        <is>
          <t>ÅSELE</t>
        </is>
      </c>
      <c r="G297" t="n">
        <v>4.1</v>
      </c>
      <c r="H297" t="n">
        <v>0</v>
      </c>
      <c r="I297" t="n">
        <v>0</v>
      </c>
      <c r="J297" t="n">
        <v>0</v>
      </c>
      <c r="K297" t="n">
        <v>0</v>
      </c>
      <c r="L297" t="n">
        <v>0</v>
      </c>
      <c r="M297" t="n">
        <v>0</v>
      </c>
      <c r="N297" t="n">
        <v>0</v>
      </c>
      <c r="O297" t="n">
        <v>0</v>
      </c>
      <c r="P297" t="n">
        <v>0</v>
      </c>
      <c r="Q297" t="n">
        <v>0</v>
      </c>
      <c r="R297" s="2" t="inlineStr"/>
    </row>
    <row r="298" ht="15" customHeight="1">
      <c r="A298" t="inlineStr">
        <is>
          <t>A 53018-2024</t>
        </is>
      </c>
      <c r="B298" s="1" t="n">
        <v>45611</v>
      </c>
      <c r="C298" s="1" t="n">
        <v>45883</v>
      </c>
      <c r="D298" t="inlineStr">
        <is>
          <t>VÄSTERBOTTENS LÄN</t>
        </is>
      </c>
      <c r="E298" t="inlineStr">
        <is>
          <t>ÅSELE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56572-2022</t>
        </is>
      </c>
      <c r="B299" s="1" t="n">
        <v>44888</v>
      </c>
      <c r="C299" s="1" t="n">
        <v>45883</v>
      </c>
      <c r="D299" t="inlineStr">
        <is>
          <t>VÄSTERBOTTENS LÄN</t>
        </is>
      </c>
      <c r="E299" t="inlineStr">
        <is>
          <t>ÅSELE</t>
        </is>
      </c>
      <c r="G299" t="n">
        <v>1.1</v>
      </c>
      <c r="H299" t="n">
        <v>0</v>
      </c>
      <c r="I299" t="n">
        <v>0</v>
      </c>
      <c r="J299" t="n">
        <v>0</v>
      </c>
      <c r="K299" t="n">
        <v>0</v>
      </c>
      <c r="L299" t="n">
        <v>0</v>
      </c>
      <c r="M299" t="n">
        <v>0</v>
      </c>
      <c r="N299" t="n">
        <v>0</v>
      </c>
      <c r="O299" t="n">
        <v>0</v>
      </c>
      <c r="P299" t="n">
        <v>0</v>
      </c>
      <c r="Q299" t="n">
        <v>0</v>
      </c>
      <c r="R299" s="2" t="inlineStr"/>
    </row>
    <row r="300" ht="15" customHeight="1">
      <c r="A300" t="inlineStr">
        <is>
          <t>A 33194-2024</t>
        </is>
      </c>
      <c r="B300" s="1" t="n">
        <v>45518</v>
      </c>
      <c r="C300" s="1" t="n">
        <v>45883</v>
      </c>
      <c r="D300" t="inlineStr">
        <is>
          <t>VÄSTERBOTTENS LÄN</t>
        </is>
      </c>
      <c r="E300" t="inlineStr">
        <is>
          <t>ÅSELE</t>
        </is>
      </c>
      <c r="G300" t="n">
        <v>2.7</v>
      </c>
      <c r="H300" t="n">
        <v>0</v>
      </c>
      <c r="I300" t="n">
        <v>0</v>
      </c>
      <c r="J300" t="n">
        <v>0</v>
      </c>
      <c r="K300" t="n">
        <v>0</v>
      </c>
      <c r="L300" t="n">
        <v>0</v>
      </c>
      <c r="M300" t="n">
        <v>0</v>
      </c>
      <c r="N300" t="n">
        <v>0</v>
      </c>
      <c r="O300" t="n">
        <v>0</v>
      </c>
      <c r="P300" t="n">
        <v>0</v>
      </c>
      <c r="Q300" t="n">
        <v>0</v>
      </c>
      <c r="R300" s="2" t="inlineStr"/>
    </row>
    <row r="301" ht="15" customHeight="1">
      <c r="A301" t="inlineStr">
        <is>
          <t>A 48328-2024</t>
        </is>
      </c>
      <c r="B301" s="1" t="n">
        <v>45590</v>
      </c>
      <c r="C301" s="1" t="n">
        <v>45883</v>
      </c>
      <c r="D301" t="inlineStr">
        <is>
          <t>VÄSTERBOTTENS LÄN</t>
        </is>
      </c>
      <c r="E301" t="inlineStr">
        <is>
          <t>ÅSELE</t>
        </is>
      </c>
      <c r="F301" t="inlineStr">
        <is>
          <t>Sveaskog</t>
        </is>
      </c>
      <c r="G301" t="n">
        <v>3.3</v>
      </c>
      <c r="H301" t="n">
        <v>0</v>
      </c>
      <c r="I301" t="n">
        <v>0</v>
      </c>
      <c r="J301" t="n">
        <v>0</v>
      </c>
      <c r="K301" t="n">
        <v>0</v>
      </c>
      <c r="L301" t="n">
        <v>0</v>
      </c>
      <c r="M301" t="n">
        <v>0</v>
      </c>
      <c r="N301" t="n">
        <v>0</v>
      </c>
      <c r="O301" t="n">
        <v>0</v>
      </c>
      <c r="P301" t="n">
        <v>0</v>
      </c>
      <c r="Q301" t="n">
        <v>0</v>
      </c>
      <c r="R301" s="2" t="inlineStr"/>
    </row>
    <row r="302" ht="15" customHeight="1">
      <c r="A302" t="inlineStr">
        <is>
          <t>A 34236-2023</t>
        </is>
      </c>
      <c r="B302" s="1" t="n">
        <v>45127</v>
      </c>
      <c r="C302" s="1" t="n">
        <v>45883</v>
      </c>
      <c r="D302" t="inlineStr">
        <is>
          <t>VÄSTERBOTTENS LÄN</t>
        </is>
      </c>
      <c r="E302" t="inlineStr">
        <is>
          <t>ÅSELE</t>
        </is>
      </c>
      <c r="F302" t="inlineStr">
        <is>
          <t>Kommuner</t>
        </is>
      </c>
      <c r="G302" t="n">
        <v>0.7</v>
      </c>
      <c r="H302" t="n">
        <v>0</v>
      </c>
      <c r="I302" t="n">
        <v>0</v>
      </c>
      <c r="J302" t="n">
        <v>0</v>
      </c>
      <c r="K302" t="n">
        <v>0</v>
      </c>
      <c r="L302" t="n">
        <v>0</v>
      </c>
      <c r="M302" t="n">
        <v>0</v>
      </c>
      <c r="N302" t="n">
        <v>0</v>
      </c>
      <c r="O302" t="n">
        <v>0</v>
      </c>
      <c r="P302" t="n">
        <v>0</v>
      </c>
      <c r="Q302" t="n">
        <v>0</v>
      </c>
      <c r="R302" s="2" t="inlineStr"/>
    </row>
    <row r="303" ht="15" customHeight="1">
      <c r="A303" t="inlineStr">
        <is>
          <t>A 42910-2024</t>
        </is>
      </c>
      <c r="B303" s="1" t="n">
        <v>45566.94626157408</v>
      </c>
      <c r="C303" s="1" t="n">
        <v>45883</v>
      </c>
      <c r="D303" t="inlineStr">
        <is>
          <t>VÄSTERBOTTENS LÄN</t>
        </is>
      </c>
      <c r="E303" t="inlineStr">
        <is>
          <t>ÅSELE</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30588-2024</t>
        </is>
      </c>
      <c r="B304" s="1" t="n">
        <v>45492</v>
      </c>
      <c r="C304" s="1" t="n">
        <v>45883</v>
      </c>
      <c r="D304" t="inlineStr">
        <is>
          <t>VÄSTERBOTTENS LÄN</t>
        </is>
      </c>
      <c r="E304" t="inlineStr">
        <is>
          <t>ÅSELE</t>
        </is>
      </c>
      <c r="F304" t="inlineStr">
        <is>
          <t>SCA</t>
        </is>
      </c>
      <c r="G304" t="n">
        <v>1.7</v>
      </c>
      <c r="H304" t="n">
        <v>0</v>
      </c>
      <c r="I304" t="n">
        <v>0</v>
      </c>
      <c r="J304" t="n">
        <v>0</v>
      </c>
      <c r="K304" t="n">
        <v>0</v>
      </c>
      <c r="L304" t="n">
        <v>0</v>
      </c>
      <c r="M304" t="n">
        <v>0</v>
      </c>
      <c r="N304" t="n">
        <v>0</v>
      </c>
      <c r="O304" t="n">
        <v>0</v>
      </c>
      <c r="P304" t="n">
        <v>0</v>
      </c>
      <c r="Q304" t="n">
        <v>0</v>
      </c>
      <c r="R304" s="2" t="inlineStr"/>
    </row>
    <row r="305" ht="15" customHeight="1">
      <c r="A305" t="inlineStr">
        <is>
          <t>A 61397-2022</t>
        </is>
      </c>
      <c r="B305" s="1" t="n">
        <v>44915.94381944444</v>
      </c>
      <c r="C305" s="1" t="n">
        <v>45883</v>
      </c>
      <c r="D305" t="inlineStr">
        <is>
          <t>VÄSTERBOTTENS LÄN</t>
        </is>
      </c>
      <c r="E305" t="inlineStr">
        <is>
          <t>ÅSELE</t>
        </is>
      </c>
      <c r="F305" t="inlineStr">
        <is>
          <t>SCA</t>
        </is>
      </c>
      <c r="G305" t="n">
        <v>3.2</v>
      </c>
      <c r="H305" t="n">
        <v>0</v>
      </c>
      <c r="I305" t="n">
        <v>0</v>
      </c>
      <c r="J305" t="n">
        <v>0</v>
      </c>
      <c r="K305" t="n">
        <v>0</v>
      </c>
      <c r="L305" t="n">
        <v>0</v>
      </c>
      <c r="M305" t="n">
        <v>0</v>
      </c>
      <c r="N305" t="n">
        <v>0</v>
      </c>
      <c r="O305" t="n">
        <v>0</v>
      </c>
      <c r="P305" t="n">
        <v>0</v>
      </c>
      <c r="Q305" t="n">
        <v>0</v>
      </c>
      <c r="R305" s="2" t="inlineStr"/>
    </row>
    <row r="306" ht="15" customHeight="1">
      <c r="A306" t="inlineStr">
        <is>
          <t>A 10082-2023</t>
        </is>
      </c>
      <c r="B306" s="1" t="n">
        <v>44985</v>
      </c>
      <c r="C306" s="1" t="n">
        <v>45883</v>
      </c>
      <c r="D306" t="inlineStr">
        <is>
          <t>VÄSTERBOTTENS LÄN</t>
        </is>
      </c>
      <c r="E306" t="inlineStr">
        <is>
          <t>ÅSELE</t>
        </is>
      </c>
      <c r="F306" t="inlineStr">
        <is>
          <t>SCA</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11291-2023</t>
        </is>
      </c>
      <c r="B307" s="1" t="n">
        <v>44992</v>
      </c>
      <c r="C307" s="1" t="n">
        <v>45883</v>
      </c>
      <c r="D307" t="inlineStr">
        <is>
          <t>VÄSTERBOTTENS LÄN</t>
        </is>
      </c>
      <c r="E307" t="inlineStr">
        <is>
          <t>ÅSELE</t>
        </is>
      </c>
      <c r="G307" t="n">
        <v>0.5</v>
      </c>
      <c r="H307" t="n">
        <v>0</v>
      </c>
      <c r="I307" t="n">
        <v>0</v>
      </c>
      <c r="J307" t="n">
        <v>0</v>
      </c>
      <c r="K307" t="n">
        <v>0</v>
      </c>
      <c r="L307" t="n">
        <v>0</v>
      </c>
      <c r="M307" t="n">
        <v>0</v>
      </c>
      <c r="N307" t="n">
        <v>0</v>
      </c>
      <c r="O307" t="n">
        <v>0</v>
      </c>
      <c r="P307" t="n">
        <v>0</v>
      </c>
      <c r="Q307" t="n">
        <v>0</v>
      </c>
      <c r="R307" s="2" t="inlineStr"/>
    </row>
    <row r="308" ht="15" customHeight="1">
      <c r="A308" t="inlineStr">
        <is>
          <t>A 28854-2023</t>
        </is>
      </c>
      <c r="B308" s="1" t="n">
        <v>45104</v>
      </c>
      <c r="C308" s="1" t="n">
        <v>45883</v>
      </c>
      <c r="D308" t="inlineStr">
        <is>
          <t>VÄSTERBOTTENS LÄN</t>
        </is>
      </c>
      <c r="E308" t="inlineStr">
        <is>
          <t>ÅSELE</t>
        </is>
      </c>
      <c r="F308" t="inlineStr">
        <is>
          <t>Naturvårdsverket</t>
        </is>
      </c>
      <c r="G308" t="n">
        <v>15.8</v>
      </c>
      <c r="H308" t="n">
        <v>0</v>
      </c>
      <c r="I308" t="n">
        <v>0</v>
      </c>
      <c r="J308" t="n">
        <v>0</v>
      </c>
      <c r="K308" t="n">
        <v>0</v>
      </c>
      <c r="L308" t="n">
        <v>0</v>
      </c>
      <c r="M308" t="n">
        <v>0</v>
      </c>
      <c r="N308" t="n">
        <v>0</v>
      </c>
      <c r="O308" t="n">
        <v>0</v>
      </c>
      <c r="P308" t="n">
        <v>0</v>
      </c>
      <c r="Q308" t="n">
        <v>0</v>
      </c>
      <c r="R308" s="2" t="inlineStr"/>
    </row>
    <row r="309" ht="15" customHeight="1">
      <c r="A309" t="inlineStr">
        <is>
          <t>A 36959-2024</t>
        </is>
      </c>
      <c r="B309" s="1" t="n">
        <v>45538</v>
      </c>
      <c r="C309" s="1" t="n">
        <v>45883</v>
      </c>
      <c r="D309" t="inlineStr">
        <is>
          <t>VÄSTERBOTTENS LÄN</t>
        </is>
      </c>
      <c r="E309" t="inlineStr">
        <is>
          <t>ÅSELE</t>
        </is>
      </c>
      <c r="F309" t="inlineStr">
        <is>
          <t>Naturvårdsverket</t>
        </is>
      </c>
      <c r="G309" t="n">
        <v>13.4</v>
      </c>
      <c r="H309" t="n">
        <v>0</v>
      </c>
      <c r="I309" t="n">
        <v>0</v>
      </c>
      <c r="J309" t="n">
        <v>0</v>
      </c>
      <c r="K309" t="n">
        <v>0</v>
      </c>
      <c r="L309" t="n">
        <v>0</v>
      </c>
      <c r="M309" t="n">
        <v>0</v>
      </c>
      <c r="N309" t="n">
        <v>0</v>
      </c>
      <c r="O309" t="n">
        <v>0</v>
      </c>
      <c r="P309" t="n">
        <v>0</v>
      </c>
      <c r="Q309" t="n">
        <v>0</v>
      </c>
      <c r="R309" s="2" t="inlineStr"/>
    </row>
    <row r="310" ht="15" customHeight="1">
      <c r="A310" t="inlineStr">
        <is>
          <t>A 43133-2023</t>
        </is>
      </c>
      <c r="B310" s="1" t="n">
        <v>45182</v>
      </c>
      <c r="C310" s="1" t="n">
        <v>45883</v>
      </c>
      <c r="D310" t="inlineStr">
        <is>
          <t>VÄSTERBOTTENS LÄN</t>
        </is>
      </c>
      <c r="E310" t="inlineStr">
        <is>
          <t>ÅSELE</t>
        </is>
      </c>
      <c r="F310" t="inlineStr">
        <is>
          <t>SCA</t>
        </is>
      </c>
      <c r="G310" t="n">
        <v>14.1</v>
      </c>
      <c r="H310" t="n">
        <v>0</v>
      </c>
      <c r="I310" t="n">
        <v>0</v>
      </c>
      <c r="J310" t="n">
        <v>0</v>
      </c>
      <c r="K310" t="n">
        <v>0</v>
      </c>
      <c r="L310" t="n">
        <v>0</v>
      </c>
      <c r="M310" t="n">
        <v>0</v>
      </c>
      <c r="N310" t="n">
        <v>0</v>
      </c>
      <c r="O310" t="n">
        <v>0</v>
      </c>
      <c r="P310" t="n">
        <v>0</v>
      </c>
      <c r="Q310" t="n">
        <v>0</v>
      </c>
      <c r="R310" s="2" t="inlineStr"/>
    </row>
    <row r="311" ht="15" customHeight="1">
      <c r="A311" t="inlineStr">
        <is>
          <t>A 32993-2023</t>
        </is>
      </c>
      <c r="B311" s="1" t="n">
        <v>45113</v>
      </c>
      <c r="C311" s="1" t="n">
        <v>45883</v>
      </c>
      <c r="D311" t="inlineStr">
        <is>
          <t>VÄSTERBOTTENS LÄN</t>
        </is>
      </c>
      <c r="E311" t="inlineStr">
        <is>
          <t>ÅSELE</t>
        </is>
      </c>
      <c r="G311" t="n">
        <v>3.2</v>
      </c>
      <c r="H311" t="n">
        <v>0</v>
      </c>
      <c r="I311" t="n">
        <v>0</v>
      </c>
      <c r="J311" t="n">
        <v>0</v>
      </c>
      <c r="K311" t="n">
        <v>0</v>
      </c>
      <c r="L311" t="n">
        <v>0</v>
      </c>
      <c r="M311" t="n">
        <v>0</v>
      </c>
      <c r="N311" t="n">
        <v>0</v>
      </c>
      <c r="O311" t="n">
        <v>0</v>
      </c>
      <c r="P311" t="n">
        <v>0</v>
      </c>
      <c r="Q311" t="n">
        <v>0</v>
      </c>
      <c r="R311" s="2" t="inlineStr"/>
    </row>
    <row r="312" ht="15" customHeight="1">
      <c r="A312" t="inlineStr">
        <is>
          <t>A 47616-2023</t>
        </is>
      </c>
      <c r="B312" s="1" t="n">
        <v>45198</v>
      </c>
      <c r="C312" s="1" t="n">
        <v>45883</v>
      </c>
      <c r="D312" t="inlineStr">
        <is>
          <t>VÄSTERBOTTENS LÄN</t>
        </is>
      </c>
      <c r="E312" t="inlineStr">
        <is>
          <t>ÅSELE</t>
        </is>
      </c>
      <c r="G312" t="n">
        <v>1.5</v>
      </c>
      <c r="H312" t="n">
        <v>0</v>
      </c>
      <c r="I312" t="n">
        <v>0</v>
      </c>
      <c r="J312" t="n">
        <v>0</v>
      </c>
      <c r="K312" t="n">
        <v>0</v>
      </c>
      <c r="L312" t="n">
        <v>0</v>
      </c>
      <c r="M312" t="n">
        <v>0</v>
      </c>
      <c r="N312" t="n">
        <v>0</v>
      </c>
      <c r="O312" t="n">
        <v>0</v>
      </c>
      <c r="P312" t="n">
        <v>0</v>
      </c>
      <c r="Q312" t="n">
        <v>0</v>
      </c>
      <c r="R312" s="2" t="inlineStr"/>
    </row>
    <row r="313" ht="15" customHeight="1">
      <c r="A313" t="inlineStr">
        <is>
          <t>A 35950-2023</t>
        </is>
      </c>
      <c r="B313" s="1" t="n">
        <v>45148</v>
      </c>
      <c r="C313" s="1" t="n">
        <v>45883</v>
      </c>
      <c r="D313" t="inlineStr">
        <is>
          <t>VÄSTERBOTTENS LÄN</t>
        </is>
      </c>
      <c r="E313" t="inlineStr">
        <is>
          <t>ÅSELE</t>
        </is>
      </c>
      <c r="G313" t="n">
        <v>1.9</v>
      </c>
      <c r="H313" t="n">
        <v>0</v>
      </c>
      <c r="I313" t="n">
        <v>0</v>
      </c>
      <c r="J313" t="n">
        <v>0</v>
      </c>
      <c r="K313" t="n">
        <v>0</v>
      </c>
      <c r="L313" t="n">
        <v>0</v>
      </c>
      <c r="M313" t="n">
        <v>0</v>
      </c>
      <c r="N313" t="n">
        <v>0</v>
      </c>
      <c r="O313" t="n">
        <v>0</v>
      </c>
      <c r="P313" t="n">
        <v>0</v>
      </c>
      <c r="Q313" t="n">
        <v>0</v>
      </c>
      <c r="R313" s="2" t="inlineStr"/>
    </row>
    <row r="314" ht="15" customHeight="1">
      <c r="A314" t="inlineStr">
        <is>
          <t>A 10582-2023</t>
        </is>
      </c>
      <c r="B314" s="1" t="n">
        <v>44984</v>
      </c>
      <c r="C314" s="1" t="n">
        <v>45883</v>
      </c>
      <c r="D314" t="inlineStr">
        <is>
          <t>VÄSTERBOTTENS LÄN</t>
        </is>
      </c>
      <c r="E314" t="inlineStr">
        <is>
          <t>ÅSELE</t>
        </is>
      </c>
      <c r="G314" t="n">
        <v>1.9</v>
      </c>
      <c r="H314" t="n">
        <v>0</v>
      </c>
      <c r="I314" t="n">
        <v>0</v>
      </c>
      <c r="J314" t="n">
        <v>0</v>
      </c>
      <c r="K314" t="n">
        <v>0</v>
      </c>
      <c r="L314" t="n">
        <v>0</v>
      </c>
      <c r="M314" t="n">
        <v>0</v>
      </c>
      <c r="N314" t="n">
        <v>0</v>
      </c>
      <c r="O314" t="n">
        <v>0</v>
      </c>
      <c r="P314" t="n">
        <v>0</v>
      </c>
      <c r="Q314" t="n">
        <v>0</v>
      </c>
      <c r="R314" s="2" t="inlineStr"/>
    </row>
    <row r="315" ht="15" customHeight="1">
      <c r="A315" t="inlineStr">
        <is>
          <t>A 56646-2022</t>
        </is>
      </c>
      <c r="B315" s="1" t="n">
        <v>44888</v>
      </c>
      <c r="C315" s="1" t="n">
        <v>45883</v>
      </c>
      <c r="D315" t="inlineStr">
        <is>
          <t>VÄSTERBOTTENS LÄN</t>
        </is>
      </c>
      <c r="E315" t="inlineStr">
        <is>
          <t>ÅSELE</t>
        </is>
      </c>
      <c r="G315" t="n">
        <v>5.1</v>
      </c>
      <c r="H315" t="n">
        <v>0</v>
      </c>
      <c r="I315" t="n">
        <v>0</v>
      </c>
      <c r="J315" t="n">
        <v>0</v>
      </c>
      <c r="K315" t="n">
        <v>0</v>
      </c>
      <c r="L315" t="n">
        <v>0</v>
      </c>
      <c r="M315" t="n">
        <v>0</v>
      </c>
      <c r="N315" t="n">
        <v>0</v>
      </c>
      <c r="O315" t="n">
        <v>0</v>
      </c>
      <c r="P315" t="n">
        <v>0</v>
      </c>
      <c r="Q315" t="n">
        <v>0</v>
      </c>
      <c r="R315" s="2" t="inlineStr"/>
    </row>
    <row r="316" ht="15" customHeight="1">
      <c r="A316" t="inlineStr">
        <is>
          <t>A 42206-2024</t>
        </is>
      </c>
      <c r="B316" s="1" t="n">
        <v>45562.52640046296</v>
      </c>
      <c r="C316" s="1" t="n">
        <v>45883</v>
      </c>
      <c r="D316" t="inlineStr">
        <is>
          <t>VÄSTERBOTTENS LÄN</t>
        </is>
      </c>
      <c r="E316" t="inlineStr">
        <is>
          <t>ÅSELE</t>
        </is>
      </c>
      <c r="F316" t="inlineStr">
        <is>
          <t>Holmen skog AB</t>
        </is>
      </c>
      <c r="G316" t="n">
        <v>6.7</v>
      </c>
      <c r="H316" t="n">
        <v>0</v>
      </c>
      <c r="I316" t="n">
        <v>0</v>
      </c>
      <c r="J316" t="n">
        <v>0</v>
      </c>
      <c r="K316" t="n">
        <v>0</v>
      </c>
      <c r="L316" t="n">
        <v>0</v>
      </c>
      <c r="M316" t="n">
        <v>0</v>
      </c>
      <c r="N316" t="n">
        <v>0</v>
      </c>
      <c r="O316" t="n">
        <v>0</v>
      </c>
      <c r="P316" t="n">
        <v>0</v>
      </c>
      <c r="Q316" t="n">
        <v>0</v>
      </c>
      <c r="R316" s="2" t="inlineStr"/>
    </row>
    <row r="317" ht="15" customHeight="1">
      <c r="A317" t="inlineStr">
        <is>
          <t>A 60873-2022</t>
        </is>
      </c>
      <c r="B317" s="1" t="n">
        <v>44908</v>
      </c>
      <c r="C317" s="1" t="n">
        <v>45883</v>
      </c>
      <c r="D317" t="inlineStr">
        <is>
          <t>VÄSTERBOTTENS LÄN</t>
        </is>
      </c>
      <c r="E317" t="inlineStr">
        <is>
          <t>ÅSELE</t>
        </is>
      </c>
      <c r="G317" t="n">
        <v>1.6</v>
      </c>
      <c r="H317" t="n">
        <v>0</v>
      </c>
      <c r="I317" t="n">
        <v>0</v>
      </c>
      <c r="J317" t="n">
        <v>0</v>
      </c>
      <c r="K317" t="n">
        <v>0</v>
      </c>
      <c r="L317" t="n">
        <v>0</v>
      </c>
      <c r="M317" t="n">
        <v>0</v>
      </c>
      <c r="N317" t="n">
        <v>0</v>
      </c>
      <c r="O317" t="n">
        <v>0</v>
      </c>
      <c r="P317" t="n">
        <v>0</v>
      </c>
      <c r="Q317" t="n">
        <v>0</v>
      </c>
      <c r="R317" s="2" t="inlineStr"/>
    </row>
    <row r="318" ht="15" customHeight="1">
      <c r="A318" t="inlineStr">
        <is>
          <t>A 32586-2023</t>
        </is>
      </c>
      <c r="B318" s="1" t="n">
        <v>45121</v>
      </c>
      <c r="C318" s="1" t="n">
        <v>45883</v>
      </c>
      <c r="D318" t="inlineStr">
        <is>
          <t>VÄSTERBOTTENS LÄN</t>
        </is>
      </c>
      <c r="E318" t="inlineStr">
        <is>
          <t>ÅSELE</t>
        </is>
      </c>
      <c r="F318" t="inlineStr">
        <is>
          <t>Holmen skog AB</t>
        </is>
      </c>
      <c r="G318" t="n">
        <v>5.5</v>
      </c>
      <c r="H318" t="n">
        <v>0</v>
      </c>
      <c r="I318" t="n">
        <v>0</v>
      </c>
      <c r="J318" t="n">
        <v>0</v>
      </c>
      <c r="K318" t="n">
        <v>0</v>
      </c>
      <c r="L318" t="n">
        <v>0</v>
      </c>
      <c r="M318" t="n">
        <v>0</v>
      </c>
      <c r="N318" t="n">
        <v>0</v>
      </c>
      <c r="O318" t="n">
        <v>0</v>
      </c>
      <c r="P318" t="n">
        <v>0</v>
      </c>
      <c r="Q318" t="n">
        <v>0</v>
      </c>
      <c r="R318" s="2" t="inlineStr"/>
    </row>
    <row r="319" ht="15" customHeight="1">
      <c r="A319" t="inlineStr">
        <is>
          <t>A 64898-2023</t>
        </is>
      </c>
      <c r="B319" s="1" t="n">
        <v>45282.61475694444</v>
      </c>
      <c r="C319" s="1" t="n">
        <v>45883</v>
      </c>
      <c r="D319" t="inlineStr">
        <is>
          <t>VÄSTERBOTTENS LÄN</t>
        </is>
      </c>
      <c r="E319" t="inlineStr">
        <is>
          <t>ÅSELE</t>
        </is>
      </c>
      <c r="G319" t="n">
        <v>4.1</v>
      </c>
      <c r="H319" t="n">
        <v>0</v>
      </c>
      <c r="I319" t="n">
        <v>0</v>
      </c>
      <c r="J319" t="n">
        <v>0</v>
      </c>
      <c r="K319" t="n">
        <v>0</v>
      </c>
      <c r="L319" t="n">
        <v>0</v>
      </c>
      <c r="M319" t="n">
        <v>0</v>
      </c>
      <c r="N319" t="n">
        <v>0</v>
      </c>
      <c r="O319" t="n">
        <v>0</v>
      </c>
      <c r="P319" t="n">
        <v>0</v>
      </c>
      <c r="Q319" t="n">
        <v>0</v>
      </c>
      <c r="R319" s="2" t="inlineStr"/>
    </row>
    <row r="320" ht="15" customHeight="1">
      <c r="A320" t="inlineStr">
        <is>
          <t>A 28936-2024</t>
        </is>
      </c>
      <c r="B320" s="1" t="n">
        <v>45481</v>
      </c>
      <c r="C320" s="1" t="n">
        <v>45883</v>
      </c>
      <c r="D320" t="inlineStr">
        <is>
          <t>VÄSTERBOTTENS LÄN</t>
        </is>
      </c>
      <c r="E320" t="inlineStr">
        <is>
          <t>ÅSELE</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36115-2024</t>
        </is>
      </c>
      <c r="B321" s="1" t="n">
        <v>45534.30681712963</v>
      </c>
      <c r="C321" s="1" t="n">
        <v>45883</v>
      </c>
      <c r="D321" t="inlineStr">
        <is>
          <t>VÄSTERBOTTENS LÄN</t>
        </is>
      </c>
      <c r="E321" t="inlineStr">
        <is>
          <t>ÅSELE</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62975-2021</t>
        </is>
      </c>
      <c r="B322" s="1" t="n">
        <v>44505</v>
      </c>
      <c r="C322" s="1" t="n">
        <v>45883</v>
      </c>
      <c r="D322" t="inlineStr">
        <is>
          <t>VÄSTERBOTTENS LÄN</t>
        </is>
      </c>
      <c r="E322" t="inlineStr">
        <is>
          <t>ÅSELE</t>
        </is>
      </c>
      <c r="F322" t="inlineStr">
        <is>
          <t>Holmen skog AB</t>
        </is>
      </c>
      <c r="G322" t="n">
        <v>2.1</v>
      </c>
      <c r="H322" t="n">
        <v>0</v>
      </c>
      <c r="I322" t="n">
        <v>0</v>
      </c>
      <c r="J322" t="n">
        <v>0</v>
      </c>
      <c r="K322" t="n">
        <v>0</v>
      </c>
      <c r="L322" t="n">
        <v>0</v>
      </c>
      <c r="M322" t="n">
        <v>0</v>
      </c>
      <c r="N322" t="n">
        <v>0</v>
      </c>
      <c r="O322" t="n">
        <v>0</v>
      </c>
      <c r="P322" t="n">
        <v>0</v>
      </c>
      <c r="Q322" t="n">
        <v>0</v>
      </c>
      <c r="R322" s="2" t="inlineStr"/>
    </row>
    <row r="323" ht="15" customHeight="1">
      <c r="A323" t="inlineStr">
        <is>
          <t>A 2891-2025</t>
        </is>
      </c>
      <c r="B323" s="1" t="n">
        <v>45677</v>
      </c>
      <c r="C323" s="1" t="n">
        <v>45883</v>
      </c>
      <c r="D323" t="inlineStr">
        <is>
          <t>VÄSTERBOTTENS LÄN</t>
        </is>
      </c>
      <c r="E323" t="inlineStr">
        <is>
          <t>ÅSELE</t>
        </is>
      </c>
      <c r="G323" t="n">
        <v>4.2</v>
      </c>
      <c r="H323" t="n">
        <v>0</v>
      </c>
      <c r="I323" t="n">
        <v>0</v>
      </c>
      <c r="J323" t="n">
        <v>0</v>
      </c>
      <c r="K323" t="n">
        <v>0</v>
      </c>
      <c r="L323" t="n">
        <v>0</v>
      </c>
      <c r="M323" t="n">
        <v>0</v>
      </c>
      <c r="N323" t="n">
        <v>0</v>
      </c>
      <c r="O323" t="n">
        <v>0</v>
      </c>
      <c r="P323" t="n">
        <v>0</v>
      </c>
      <c r="Q323" t="n">
        <v>0</v>
      </c>
      <c r="R323" s="2" t="inlineStr"/>
    </row>
    <row r="324" ht="15" customHeight="1">
      <c r="A324" t="inlineStr">
        <is>
          <t>A 63060-2023</t>
        </is>
      </c>
      <c r="B324" s="1" t="n">
        <v>45272.95590277778</v>
      </c>
      <c r="C324" s="1" t="n">
        <v>45883</v>
      </c>
      <c r="D324" t="inlineStr">
        <is>
          <t>VÄSTERBOTTENS LÄN</t>
        </is>
      </c>
      <c r="E324" t="inlineStr">
        <is>
          <t>ÅSELE</t>
        </is>
      </c>
      <c r="F324" t="inlineStr">
        <is>
          <t>SCA</t>
        </is>
      </c>
      <c r="G324" t="n">
        <v>1</v>
      </c>
      <c r="H324" t="n">
        <v>0</v>
      </c>
      <c r="I324" t="n">
        <v>0</v>
      </c>
      <c r="J324" t="n">
        <v>0</v>
      </c>
      <c r="K324" t="n">
        <v>0</v>
      </c>
      <c r="L324" t="n">
        <v>0</v>
      </c>
      <c r="M324" t="n">
        <v>0</v>
      </c>
      <c r="N324" t="n">
        <v>0</v>
      </c>
      <c r="O324" t="n">
        <v>0</v>
      </c>
      <c r="P324" t="n">
        <v>0</v>
      </c>
      <c r="Q324" t="n">
        <v>0</v>
      </c>
      <c r="R324" s="2" t="inlineStr"/>
    </row>
    <row r="325" ht="15" customHeight="1">
      <c r="A325" t="inlineStr">
        <is>
          <t>A 17285-2025</t>
        </is>
      </c>
      <c r="B325" s="1" t="n">
        <v>45756.57349537037</v>
      </c>
      <c r="C325" s="1" t="n">
        <v>45883</v>
      </c>
      <c r="D325" t="inlineStr">
        <is>
          <t>VÄSTERBOTTENS LÄN</t>
        </is>
      </c>
      <c r="E325" t="inlineStr">
        <is>
          <t>ÅSELE</t>
        </is>
      </c>
      <c r="F325" t="inlineStr">
        <is>
          <t>SCA</t>
        </is>
      </c>
      <c r="G325" t="n">
        <v>5.9</v>
      </c>
      <c r="H325" t="n">
        <v>0</v>
      </c>
      <c r="I325" t="n">
        <v>0</v>
      </c>
      <c r="J325" t="n">
        <v>0</v>
      </c>
      <c r="K325" t="n">
        <v>0</v>
      </c>
      <c r="L325" t="n">
        <v>0</v>
      </c>
      <c r="M325" t="n">
        <v>0</v>
      </c>
      <c r="N325" t="n">
        <v>0</v>
      </c>
      <c r="O325" t="n">
        <v>0</v>
      </c>
      <c r="P325" t="n">
        <v>0</v>
      </c>
      <c r="Q325" t="n">
        <v>0</v>
      </c>
      <c r="R325" s="2" t="inlineStr"/>
    </row>
    <row r="326" ht="15" customHeight="1">
      <c r="A326" t="inlineStr">
        <is>
          <t>A 42689-2024</t>
        </is>
      </c>
      <c r="B326" s="1" t="n">
        <v>45566.40032407407</v>
      </c>
      <c r="C326" s="1" t="n">
        <v>45883</v>
      </c>
      <c r="D326" t="inlineStr">
        <is>
          <t>VÄSTERBOTTENS LÄN</t>
        </is>
      </c>
      <c r="E326" t="inlineStr">
        <is>
          <t>ÅSELE</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41408-2024</t>
        </is>
      </c>
      <c r="B327" s="1" t="n">
        <v>45560.34202546296</v>
      </c>
      <c r="C327" s="1" t="n">
        <v>45883</v>
      </c>
      <c r="D327" t="inlineStr">
        <is>
          <t>VÄSTERBOTTENS LÄN</t>
        </is>
      </c>
      <c r="E327" t="inlineStr">
        <is>
          <t>ÅSELE</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29054-2023</t>
        </is>
      </c>
      <c r="B328" s="1" t="n">
        <v>45104.92340277778</v>
      </c>
      <c r="C328" s="1" t="n">
        <v>45883</v>
      </c>
      <c r="D328" t="inlineStr">
        <is>
          <t>VÄSTERBOTTENS LÄN</t>
        </is>
      </c>
      <c r="E328" t="inlineStr">
        <is>
          <t>ÅSELE</t>
        </is>
      </c>
      <c r="G328" t="n">
        <v>1.9</v>
      </c>
      <c r="H328" t="n">
        <v>0</v>
      </c>
      <c r="I328" t="n">
        <v>0</v>
      </c>
      <c r="J328" t="n">
        <v>0</v>
      </c>
      <c r="K328" t="n">
        <v>0</v>
      </c>
      <c r="L328" t="n">
        <v>0</v>
      </c>
      <c r="M328" t="n">
        <v>0</v>
      </c>
      <c r="N328" t="n">
        <v>0</v>
      </c>
      <c r="O328" t="n">
        <v>0</v>
      </c>
      <c r="P328" t="n">
        <v>0</v>
      </c>
      <c r="Q328" t="n">
        <v>0</v>
      </c>
      <c r="R328" s="2" t="inlineStr"/>
    </row>
    <row r="329" ht="15" customHeight="1">
      <c r="A329" t="inlineStr">
        <is>
          <t>A 29055-2023</t>
        </is>
      </c>
      <c r="B329" s="1" t="n">
        <v>45104.9234375</v>
      </c>
      <c r="C329" s="1" t="n">
        <v>45883</v>
      </c>
      <c r="D329" t="inlineStr">
        <is>
          <t>VÄSTERBOTTENS LÄN</t>
        </is>
      </c>
      <c r="E329" t="inlineStr">
        <is>
          <t>ÅSELE</t>
        </is>
      </c>
      <c r="G329" t="n">
        <v>3.5</v>
      </c>
      <c r="H329" t="n">
        <v>0</v>
      </c>
      <c r="I329" t="n">
        <v>0</v>
      </c>
      <c r="J329" t="n">
        <v>0</v>
      </c>
      <c r="K329" t="n">
        <v>0</v>
      </c>
      <c r="L329" t="n">
        <v>0</v>
      </c>
      <c r="M329" t="n">
        <v>0</v>
      </c>
      <c r="N329" t="n">
        <v>0</v>
      </c>
      <c r="O329" t="n">
        <v>0</v>
      </c>
      <c r="P329" t="n">
        <v>0</v>
      </c>
      <c r="Q329" t="n">
        <v>0</v>
      </c>
      <c r="R329" s="2" t="inlineStr"/>
    </row>
    <row r="330" ht="15" customHeight="1">
      <c r="A330" t="inlineStr">
        <is>
          <t>A 7498-2025</t>
        </is>
      </c>
      <c r="B330" s="1" t="n">
        <v>45705</v>
      </c>
      <c r="C330" s="1" t="n">
        <v>45883</v>
      </c>
      <c r="D330" t="inlineStr">
        <is>
          <t>VÄSTERBOTTENS LÄN</t>
        </is>
      </c>
      <c r="E330" t="inlineStr">
        <is>
          <t>ÅSELE</t>
        </is>
      </c>
      <c r="F330" t="inlineStr">
        <is>
          <t>Holmen skog AB</t>
        </is>
      </c>
      <c r="G330" t="n">
        <v>10.1</v>
      </c>
      <c r="H330" t="n">
        <v>0</v>
      </c>
      <c r="I330" t="n">
        <v>0</v>
      </c>
      <c r="J330" t="n">
        <v>0</v>
      </c>
      <c r="K330" t="n">
        <v>0</v>
      </c>
      <c r="L330" t="n">
        <v>0</v>
      </c>
      <c r="M330" t="n">
        <v>0</v>
      </c>
      <c r="N330" t="n">
        <v>0</v>
      </c>
      <c r="O330" t="n">
        <v>0</v>
      </c>
      <c r="P330" t="n">
        <v>0</v>
      </c>
      <c r="Q330" t="n">
        <v>0</v>
      </c>
      <c r="R330" s="2" t="inlineStr"/>
    </row>
    <row r="331" ht="15" customHeight="1">
      <c r="A331" t="inlineStr">
        <is>
          <t>A 5597-2021</t>
        </is>
      </c>
      <c r="B331" s="1" t="n">
        <v>44230</v>
      </c>
      <c r="C331" s="1" t="n">
        <v>45883</v>
      </c>
      <c r="D331" t="inlineStr">
        <is>
          <t>VÄSTERBOTTENS LÄN</t>
        </is>
      </c>
      <c r="E331" t="inlineStr">
        <is>
          <t>ÅSELE</t>
        </is>
      </c>
      <c r="G331" t="n">
        <v>1.5</v>
      </c>
      <c r="H331" t="n">
        <v>0</v>
      </c>
      <c r="I331" t="n">
        <v>0</v>
      </c>
      <c r="J331" t="n">
        <v>0</v>
      </c>
      <c r="K331" t="n">
        <v>0</v>
      </c>
      <c r="L331" t="n">
        <v>0</v>
      </c>
      <c r="M331" t="n">
        <v>0</v>
      </c>
      <c r="N331" t="n">
        <v>0</v>
      </c>
      <c r="O331" t="n">
        <v>0</v>
      </c>
      <c r="P331" t="n">
        <v>0</v>
      </c>
      <c r="Q331" t="n">
        <v>0</v>
      </c>
      <c r="R331" s="2" t="inlineStr"/>
    </row>
    <row r="332" ht="15" customHeight="1">
      <c r="A332" t="inlineStr">
        <is>
          <t>A 32059-2024</t>
        </is>
      </c>
      <c r="B332" s="1" t="n">
        <v>45510.97013888889</v>
      </c>
      <c r="C332" s="1" t="n">
        <v>45883</v>
      </c>
      <c r="D332" t="inlineStr">
        <is>
          <t>VÄSTERBOTTENS LÄN</t>
        </is>
      </c>
      <c r="E332" t="inlineStr">
        <is>
          <t>ÅSELE</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35780-2023</t>
        </is>
      </c>
      <c r="B333" s="1" t="n">
        <v>45148.3397337963</v>
      </c>
      <c r="C333" s="1" t="n">
        <v>45883</v>
      </c>
      <c r="D333" t="inlineStr">
        <is>
          <t>VÄSTERBOTTENS LÄN</t>
        </is>
      </c>
      <c r="E333" t="inlineStr">
        <is>
          <t>ÅSELE</t>
        </is>
      </c>
      <c r="F333" t="inlineStr">
        <is>
          <t>Holmen skog AB</t>
        </is>
      </c>
      <c r="G333" t="n">
        <v>2.8</v>
      </c>
      <c r="H333" t="n">
        <v>0</v>
      </c>
      <c r="I333" t="n">
        <v>0</v>
      </c>
      <c r="J333" t="n">
        <v>0</v>
      </c>
      <c r="K333" t="n">
        <v>0</v>
      </c>
      <c r="L333" t="n">
        <v>0</v>
      </c>
      <c r="M333" t="n">
        <v>0</v>
      </c>
      <c r="N333" t="n">
        <v>0</v>
      </c>
      <c r="O333" t="n">
        <v>0</v>
      </c>
      <c r="P333" t="n">
        <v>0</v>
      </c>
      <c r="Q333" t="n">
        <v>0</v>
      </c>
      <c r="R333" s="2" t="inlineStr"/>
    </row>
    <row r="334" ht="15" customHeight="1">
      <c r="A334" t="inlineStr">
        <is>
          <t>A 5247-2024</t>
        </is>
      </c>
      <c r="B334" s="1" t="n">
        <v>45330.93173611111</v>
      </c>
      <c r="C334" s="1" t="n">
        <v>45883</v>
      </c>
      <c r="D334" t="inlineStr">
        <is>
          <t>VÄSTERBOTTENS LÄN</t>
        </is>
      </c>
      <c r="E334" t="inlineStr">
        <is>
          <t>ÅSELE</t>
        </is>
      </c>
      <c r="G334" t="n">
        <v>2.6</v>
      </c>
      <c r="H334" t="n">
        <v>0</v>
      </c>
      <c r="I334" t="n">
        <v>0</v>
      </c>
      <c r="J334" t="n">
        <v>0</v>
      </c>
      <c r="K334" t="n">
        <v>0</v>
      </c>
      <c r="L334" t="n">
        <v>0</v>
      </c>
      <c r="M334" t="n">
        <v>0</v>
      </c>
      <c r="N334" t="n">
        <v>0</v>
      </c>
      <c r="O334" t="n">
        <v>0</v>
      </c>
      <c r="P334" t="n">
        <v>0</v>
      </c>
      <c r="Q334" t="n">
        <v>0</v>
      </c>
      <c r="R334" s="2" t="inlineStr"/>
    </row>
    <row r="335" ht="15" customHeight="1">
      <c r="A335" t="inlineStr">
        <is>
          <t>A 4093-2023</t>
        </is>
      </c>
      <c r="B335" s="1" t="n">
        <v>44952</v>
      </c>
      <c r="C335" s="1" t="n">
        <v>45883</v>
      </c>
      <c r="D335" t="inlineStr">
        <is>
          <t>VÄSTERBOTTENS LÄN</t>
        </is>
      </c>
      <c r="E335" t="inlineStr">
        <is>
          <t>ÅSELE</t>
        </is>
      </c>
      <c r="G335" t="n">
        <v>1.6</v>
      </c>
      <c r="H335" t="n">
        <v>0</v>
      </c>
      <c r="I335" t="n">
        <v>0</v>
      </c>
      <c r="J335" t="n">
        <v>0</v>
      </c>
      <c r="K335" t="n">
        <v>0</v>
      </c>
      <c r="L335" t="n">
        <v>0</v>
      </c>
      <c r="M335" t="n">
        <v>0</v>
      </c>
      <c r="N335" t="n">
        <v>0</v>
      </c>
      <c r="O335" t="n">
        <v>0</v>
      </c>
      <c r="P335" t="n">
        <v>0</v>
      </c>
      <c r="Q335" t="n">
        <v>0</v>
      </c>
      <c r="R335" s="2" t="inlineStr"/>
    </row>
    <row r="336" ht="15" customHeight="1">
      <c r="A336" t="inlineStr">
        <is>
          <t>A 39266-2024</t>
        </is>
      </c>
      <c r="B336" s="1" t="n">
        <v>45551.34447916667</v>
      </c>
      <c r="C336" s="1" t="n">
        <v>45883</v>
      </c>
      <c r="D336" t="inlineStr">
        <is>
          <t>VÄSTERBOTTENS LÄN</t>
        </is>
      </c>
      <c r="E336" t="inlineStr">
        <is>
          <t>ÅSELE</t>
        </is>
      </c>
      <c r="F336" t="inlineStr">
        <is>
          <t>SCA</t>
        </is>
      </c>
      <c r="G336" t="n">
        <v>11.7</v>
      </c>
      <c r="H336" t="n">
        <v>0</v>
      </c>
      <c r="I336" t="n">
        <v>0</v>
      </c>
      <c r="J336" t="n">
        <v>0</v>
      </c>
      <c r="K336" t="n">
        <v>0</v>
      </c>
      <c r="L336" t="n">
        <v>0</v>
      </c>
      <c r="M336" t="n">
        <v>0</v>
      </c>
      <c r="N336" t="n">
        <v>0</v>
      </c>
      <c r="O336" t="n">
        <v>0</v>
      </c>
      <c r="P336" t="n">
        <v>0</v>
      </c>
      <c r="Q336" t="n">
        <v>0</v>
      </c>
      <c r="R336" s="2" t="inlineStr"/>
    </row>
    <row r="337" ht="15" customHeight="1">
      <c r="A337" t="inlineStr">
        <is>
          <t>A 31475-2024</t>
        </is>
      </c>
      <c r="B337" s="1" t="n">
        <v>45505.95209490741</v>
      </c>
      <c r="C337" s="1" t="n">
        <v>45883</v>
      </c>
      <c r="D337" t="inlineStr">
        <is>
          <t>VÄSTERBOTTENS LÄN</t>
        </is>
      </c>
      <c r="E337" t="inlineStr">
        <is>
          <t>ÅSELE</t>
        </is>
      </c>
      <c r="F337" t="inlineStr">
        <is>
          <t>SCA</t>
        </is>
      </c>
      <c r="G337" t="n">
        <v>1.9</v>
      </c>
      <c r="H337" t="n">
        <v>0</v>
      </c>
      <c r="I337" t="n">
        <v>0</v>
      </c>
      <c r="J337" t="n">
        <v>0</v>
      </c>
      <c r="K337" t="n">
        <v>0</v>
      </c>
      <c r="L337" t="n">
        <v>0</v>
      </c>
      <c r="M337" t="n">
        <v>0</v>
      </c>
      <c r="N337" t="n">
        <v>0</v>
      </c>
      <c r="O337" t="n">
        <v>0</v>
      </c>
      <c r="P337" t="n">
        <v>0</v>
      </c>
      <c r="Q337" t="n">
        <v>0</v>
      </c>
      <c r="R337" s="2" t="inlineStr"/>
    </row>
    <row r="338" ht="15" customHeight="1">
      <c r="A338" t="inlineStr">
        <is>
          <t>A 28279-2023</t>
        </is>
      </c>
      <c r="B338" s="1" t="n">
        <v>45099.62826388889</v>
      </c>
      <c r="C338" s="1" t="n">
        <v>45883</v>
      </c>
      <c r="D338" t="inlineStr">
        <is>
          <t>VÄSTERBOTTENS LÄN</t>
        </is>
      </c>
      <c r="E338" t="inlineStr">
        <is>
          <t>ÅSELE</t>
        </is>
      </c>
      <c r="F338" t="inlineStr">
        <is>
          <t>Sveaskog</t>
        </is>
      </c>
      <c r="G338" t="n">
        <v>16.6</v>
      </c>
      <c r="H338" t="n">
        <v>0</v>
      </c>
      <c r="I338" t="n">
        <v>0</v>
      </c>
      <c r="J338" t="n">
        <v>0</v>
      </c>
      <c r="K338" t="n">
        <v>0</v>
      </c>
      <c r="L338" t="n">
        <v>0</v>
      </c>
      <c r="M338" t="n">
        <v>0</v>
      </c>
      <c r="N338" t="n">
        <v>0</v>
      </c>
      <c r="O338" t="n">
        <v>0</v>
      </c>
      <c r="P338" t="n">
        <v>0</v>
      </c>
      <c r="Q338" t="n">
        <v>0</v>
      </c>
      <c r="R338" s="2" t="inlineStr"/>
    </row>
    <row r="339" ht="15" customHeight="1">
      <c r="A339" t="inlineStr">
        <is>
          <t>A 65038-2023</t>
        </is>
      </c>
      <c r="B339" s="1" t="n">
        <v>45282</v>
      </c>
      <c r="C339" s="1" t="n">
        <v>45883</v>
      </c>
      <c r="D339" t="inlineStr">
        <is>
          <t>VÄSTERBOTTENS LÄN</t>
        </is>
      </c>
      <c r="E339" t="inlineStr">
        <is>
          <t>ÅSELE</t>
        </is>
      </c>
      <c r="G339" t="n">
        <v>1</v>
      </c>
      <c r="H339" t="n">
        <v>0</v>
      </c>
      <c r="I339" t="n">
        <v>0</v>
      </c>
      <c r="J339" t="n">
        <v>0</v>
      </c>
      <c r="K339" t="n">
        <v>0</v>
      </c>
      <c r="L339" t="n">
        <v>0</v>
      </c>
      <c r="M339" t="n">
        <v>0</v>
      </c>
      <c r="N339" t="n">
        <v>0</v>
      </c>
      <c r="O339" t="n">
        <v>0</v>
      </c>
      <c r="P339" t="n">
        <v>0</v>
      </c>
      <c r="Q339" t="n">
        <v>0</v>
      </c>
      <c r="R339" s="2" t="inlineStr"/>
    </row>
    <row r="340" ht="15" customHeight="1">
      <c r="A340" t="inlineStr">
        <is>
          <t>A 32057-2024</t>
        </is>
      </c>
      <c r="B340" s="1" t="n">
        <v>45510</v>
      </c>
      <c r="C340" s="1" t="n">
        <v>45883</v>
      </c>
      <c r="D340" t="inlineStr">
        <is>
          <t>VÄSTERBOTTENS LÄN</t>
        </is>
      </c>
      <c r="E340" t="inlineStr">
        <is>
          <t>ÅSELE</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33523-2021</t>
        </is>
      </c>
      <c r="B341" s="1" t="n">
        <v>44377.76381944444</v>
      </c>
      <c r="C341" s="1" t="n">
        <v>45883</v>
      </c>
      <c r="D341" t="inlineStr">
        <is>
          <t>VÄSTERBOTTENS LÄN</t>
        </is>
      </c>
      <c r="E341" t="inlineStr">
        <is>
          <t>ÅSELE</t>
        </is>
      </c>
      <c r="G341" t="n">
        <v>1.1</v>
      </c>
      <c r="H341" t="n">
        <v>0</v>
      </c>
      <c r="I341" t="n">
        <v>0</v>
      </c>
      <c r="J341" t="n">
        <v>0</v>
      </c>
      <c r="K341" t="n">
        <v>0</v>
      </c>
      <c r="L341" t="n">
        <v>0</v>
      </c>
      <c r="M341" t="n">
        <v>0</v>
      </c>
      <c r="N341" t="n">
        <v>0</v>
      </c>
      <c r="O341" t="n">
        <v>0</v>
      </c>
      <c r="P341" t="n">
        <v>0</v>
      </c>
      <c r="Q341" t="n">
        <v>0</v>
      </c>
      <c r="R341" s="2" t="inlineStr"/>
    </row>
    <row r="342" ht="15" customHeight="1">
      <c r="A342" t="inlineStr">
        <is>
          <t>A 26540-2022</t>
        </is>
      </c>
      <c r="B342" s="1" t="n">
        <v>44739</v>
      </c>
      <c r="C342" s="1" t="n">
        <v>45883</v>
      </c>
      <c r="D342" t="inlineStr">
        <is>
          <t>VÄSTERBOTTENS LÄN</t>
        </is>
      </c>
      <c r="E342" t="inlineStr">
        <is>
          <t>ÅSELE</t>
        </is>
      </c>
      <c r="G342" t="n">
        <v>10.8</v>
      </c>
      <c r="H342" t="n">
        <v>0</v>
      </c>
      <c r="I342" t="n">
        <v>0</v>
      </c>
      <c r="J342" t="n">
        <v>0</v>
      </c>
      <c r="K342" t="n">
        <v>0</v>
      </c>
      <c r="L342" t="n">
        <v>0</v>
      </c>
      <c r="M342" t="n">
        <v>0</v>
      </c>
      <c r="N342" t="n">
        <v>0</v>
      </c>
      <c r="O342" t="n">
        <v>0</v>
      </c>
      <c r="P342" t="n">
        <v>0</v>
      </c>
      <c r="Q342" t="n">
        <v>0</v>
      </c>
      <c r="R342" s="2" t="inlineStr"/>
    </row>
    <row r="343" ht="15" customHeight="1">
      <c r="A343" t="inlineStr">
        <is>
          <t>A 45298-2024</t>
        </is>
      </c>
      <c r="B343" s="1" t="n">
        <v>45576</v>
      </c>
      <c r="C343" s="1" t="n">
        <v>45883</v>
      </c>
      <c r="D343" t="inlineStr">
        <is>
          <t>VÄSTERBOTTENS LÄN</t>
        </is>
      </c>
      <c r="E343" t="inlineStr">
        <is>
          <t>ÅSELE</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58386-2022</t>
        </is>
      </c>
      <c r="B344" s="1" t="n">
        <v>44894</v>
      </c>
      <c r="C344" s="1" t="n">
        <v>45883</v>
      </c>
      <c r="D344" t="inlineStr">
        <is>
          <t>VÄSTERBOTTENS LÄN</t>
        </is>
      </c>
      <c r="E344" t="inlineStr">
        <is>
          <t>ÅSELE</t>
        </is>
      </c>
      <c r="F344" t="inlineStr">
        <is>
          <t>Kommuner</t>
        </is>
      </c>
      <c r="G344" t="n">
        <v>25</v>
      </c>
      <c r="H344" t="n">
        <v>0</v>
      </c>
      <c r="I344" t="n">
        <v>0</v>
      </c>
      <c r="J344" t="n">
        <v>0</v>
      </c>
      <c r="K344" t="n">
        <v>0</v>
      </c>
      <c r="L344" t="n">
        <v>0</v>
      </c>
      <c r="M344" t="n">
        <v>0</v>
      </c>
      <c r="N344" t="n">
        <v>0</v>
      </c>
      <c r="O344" t="n">
        <v>0</v>
      </c>
      <c r="P344" t="n">
        <v>0</v>
      </c>
      <c r="Q344" t="n">
        <v>0</v>
      </c>
      <c r="R344" s="2" t="inlineStr"/>
    </row>
    <row r="345" ht="15" customHeight="1">
      <c r="A345" t="inlineStr">
        <is>
          <t>A 25569-2024</t>
        </is>
      </c>
      <c r="B345" s="1" t="n">
        <v>45463.58702546296</v>
      </c>
      <c r="C345" s="1" t="n">
        <v>45883</v>
      </c>
      <c r="D345" t="inlineStr">
        <is>
          <t>VÄSTERBOTTENS LÄN</t>
        </is>
      </c>
      <c r="E345" t="inlineStr">
        <is>
          <t>ÅSELE</t>
        </is>
      </c>
      <c r="F345" t="inlineStr">
        <is>
          <t>Sveaskog</t>
        </is>
      </c>
      <c r="G345" t="n">
        <v>28.7</v>
      </c>
      <c r="H345" t="n">
        <v>0</v>
      </c>
      <c r="I345" t="n">
        <v>0</v>
      </c>
      <c r="J345" t="n">
        <v>0</v>
      </c>
      <c r="K345" t="n">
        <v>0</v>
      </c>
      <c r="L345" t="n">
        <v>0</v>
      </c>
      <c r="M345" t="n">
        <v>0</v>
      </c>
      <c r="N345" t="n">
        <v>0</v>
      </c>
      <c r="O345" t="n">
        <v>0</v>
      </c>
      <c r="P345" t="n">
        <v>0</v>
      </c>
      <c r="Q345" t="n">
        <v>0</v>
      </c>
      <c r="R345" s="2" t="inlineStr"/>
    </row>
    <row r="346" ht="15" customHeight="1">
      <c r="A346" t="inlineStr">
        <is>
          <t>A 33012-2023</t>
        </is>
      </c>
      <c r="B346" s="1" t="n">
        <v>45113</v>
      </c>
      <c r="C346" s="1" t="n">
        <v>45883</v>
      </c>
      <c r="D346" t="inlineStr">
        <is>
          <t>VÄSTERBOTTENS LÄN</t>
        </is>
      </c>
      <c r="E346" t="inlineStr">
        <is>
          <t>ÅSELE</t>
        </is>
      </c>
      <c r="G346" t="n">
        <v>6.3</v>
      </c>
      <c r="H346" t="n">
        <v>0</v>
      </c>
      <c r="I346" t="n">
        <v>0</v>
      </c>
      <c r="J346" t="n">
        <v>0</v>
      </c>
      <c r="K346" t="n">
        <v>0</v>
      </c>
      <c r="L346" t="n">
        <v>0</v>
      </c>
      <c r="M346" t="n">
        <v>0</v>
      </c>
      <c r="N346" t="n">
        <v>0</v>
      </c>
      <c r="O346" t="n">
        <v>0</v>
      </c>
      <c r="P346" t="n">
        <v>0</v>
      </c>
      <c r="Q346" t="n">
        <v>0</v>
      </c>
      <c r="R346" s="2" t="inlineStr"/>
    </row>
    <row r="347" ht="15" customHeight="1">
      <c r="A347" t="inlineStr">
        <is>
          <t>A 1872-2023</t>
        </is>
      </c>
      <c r="B347" s="1" t="n">
        <v>44938.93849537037</v>
      </c>
      <c r="C347" s="1" t="n">
        <v>45883</v>
      </c>
      <c r="D347" t="inlineStr">
        <is>
          <t>VÄSTERBOTTENS LÄN</t>
        </is>
      </c>
      <c r="E347" t="inlineStr">
        <is>
          <t>ÅSELE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33241-2023</t>
        </is>
      </c>
      <c r="B348" s="1" t="n">
        <v>45114</v>
      </c>
      <c r="C348" s="1" t="n">
        <v>45883</v>
      </c>
      <c r="D348" t="inlineStr">
        <is>
          <t>VÄSTERBOTTENS LÄN</t>
        </is>
      </c>
      <c r="E348" t="inlineStr">
        <is>
          <t>ÅSELE</t>
        </is>
      </c>
      <c r="G348" t="n">
        <v>22.8</v>
      </c>
      <c r="H348" t="n">
        <v>0</v>
      </c>
      <c r="I348" t="n">
        <v>0</v>
      </c>
      <c r="J348" t="n">
        <v>0</v>
      </c>
      <c r="K348" t="n">
        <v>0</v>
      </c>
      <c r="L348" t="n">
        <v>0</v>
      </c>
      <c r="M348" t="n">
        <v>0</v>
      </c>
      <c r="N348" t="n">
        <v>0</v>
      </c>
      <c r="O348" t="n">
        <v>0</v>
      </c>
      <c r="P348" t="n">
        <v>0</v>
      </c>
      <c r="Q348" t="n">
        <v>0</v>
      </c>
      <c r="R348" s="2" t="inlineStr"/>
    </row>
    <row r="349" ht="15" customHeight="1">
      <c r="A349" t="inlineStr">
        <is>
          <t>A 22267-2023</t>
        </is>
      </c>
      <c r="B349" s="1" t="n">
        <v>45068</v>
      </c>
      <c r="C349" s="1" t="n">
        <v>45883</v>
      </c>
      <c r="D349" t="inlineStr">
        <is>
          <t>VÄSTERBOTTENS LÄN</t>
        </is>
      </c>
      <c r="E349" t="inlineStr">
        <is>
          <t>ÅSELE</t>
        </is>
      </c>
      <c r="G349" t="n">
        <v>2.1</v>
      </c>
      <c r="H349" t="n">
        <v>0</v>
      </c>
      <c r="I349" t="n">
        <v>0</v>
      </c>
      <c r="J349" t="n">
        <v>0</v>
      </c>
      <c r="K349" t="n">
        <v>0</v>
      </c>
      <c r="L349" t="n">
        <v>0</v>
      </c>
      <c r="M349" t="n">
        <v>0</v>
      </c>
      <c r="N349" t="n">
        <v>0</v>
      </c>
      <c r="O349" t="n">
        <v>0</v>
      </c>
      <c r="P349" t="n">
        <v>0</v>
      </c>
      <c r="Q349" t="n">
        <v>0</v>
      </c>
      <c r="R349" s="2" t="inlineStr"/>
    </row>
    <row r="350" ht="15" customHeight="1">
      <c r="A350" t="inlineStr">
        <is>
          <t>A 29967-2024</t>
        </is>
      </c>
      <c r="B350" s="1" t="n">
        <v>45488.4725925926</v>
      </c>
      <c r="C350" s="1" t="n">
        <v>45883</v>
      </c>
      <c r="D350" t="inlineStr">
        <is>
          <t>VÄSTERBOTTENS LÄN</t>
        </is>
      </c>
      <c r="E350" t="inlineStr">
        <is>
          <t>ÅSELE</t>
        </is>
      </c>
      <c r="G350" t="n">
        <v>5.8</v>
      </c>
      <c r="H350" t="n">
        <v>0</v>
      </c>
      <c r="I350" t="n">
        <v>0</v>
      </c>
      <c r="J350" t="n">
        <v>0</v>
      </c>
      <c r="K350" t="n">
        <v>0</v>
      </c>
      <c r="L350" t="n">
        <v>0</v>
      </c>
      <c r="M350" t="n">
        <v>0</v>
      </c>
      <c r="N350" t="n">
        <v>0</v>
      </c>
      <c r="O350" t="n">
        <v>0</v>
      </c>
      <c r="P350" t="n">
        <v>0</v>
      </c>
      <c r="Q350" t="n">
        <v>0</v>
      </c>
      <c r="R350" s="2" t="inlineStr"/>
    </row>
    <row r="351" ht="15" customHeight="1">
      <c r="A351" t="inlineStr">
        <is>
          <t>A 29726-2023</t>
        </is>
      </c>
      <c r="B351" s="1" t="n">
        <v>45107.44431712963</v>
      </c>
      <c r="C351" s="1" t="n">
        <v>45883</v>
      </c>
      <c r="D351" t="inlineStr">
        <is>
          <t>VÄSTERBOTTENS LÄN</t>
        </is>
      </c>
      <c r="E351" t="inlineStr">
        <is>
          <t>ÅSELE</t>
        </is>
      </c>
      <c r="F351" t="inlineStr">
        <is>
          <t>Holmen skog AB</t>
        </is>
      </c>
      <c r="G351" t="n">
        <v>3.3</v>
      </c>
      <c r="H351" t="n">
        <v>0</v>
      </c>
      <c r="I351" t="n">
        <v>0</v>
      </c>
      <c r="J351" t="n">
        <v>0</v>
      </c>
      <c r="K351" t="n">
        <v>0</v>
      </c>
      <c r="L351" t="n">
        <v>0</v>
      </c>
      <c r="M351" t="n">
        <v>0</v>
      </c>
      <c r="N351" t="n">
        <v>0</v>
      </c>
      <c r="O351" t="n">
        <v>0</v>
      </c>
      <c r="P351" t="n">
        <v>0</v>
      </c>
      <c r="Q351" t="n">
        <v>0</v>
      </c>
      <c r="R351" s="2" t="inlineStr"/>
    </row>
    <row r="352" ht="15" customHeight="1">
      <c r="A352" t="inlineStr">
        <is>
          <t>A 50284-2024</t>
        </is>
      </c>
      <c r="B352" s="1" t="n">
        <v>45600.61493055556</v>
      </c>
      <c r="C352" s="1" t="n">
        <v>45883</v>
      </c>
      <c r="D352" t="inlineStr">
        <is>
          <t>VÄSTERBOTTENS LÄN</t>
        </is>
      </c>
      <c r="E352" t="inlineStr">
        <is>
          <t>ÅSELE</t>
        </is>
      </c>
      <c r="F352" t="inlineStr">
        <is>
          <t>SCA</t>
        </is>
      </c>
      <c r="G352" t="n">
        <v>15.3</v>
      </c>
      <c r="H352" t="n">
        <v>0</v>
      </c>
      <c r="I352" t="n">
        <v>0</v>
      </c>
      <c r="J352" t="n">
        <v>0</v>
      </c>
      <c r="K352" t="n">
        <v>0</v>
      </c>
      <c r="L352" t="n">
        <v>0</v>
      </c>
      <c r="M352" t="n">
        <v>0</v>
      </c>
      <c r="N352" t="n">
        <v>0</v>
      </c>
      <c r="O352" t="n">
        <v>0</v>
      </c>
      <c r="P352" t="n">
        <v>0</v>
      </c>
      <c r="Q352" t="n">
        <v>0</v>
      </c>
      <c r="R352" s="2" t="inlineStr"/>
    </row>
    <row r="353" ht="15" customHeight="1">
      <c r="A353" t="inlineStr">
        <is>
          <t>A 45477-2024</t>
        </is>
      </c>
      <c r="B353" s="1" t="n">
        <v>45576.83114583333</v>
      </c>
      <c r="C353" s="1" t="n">
        <v>45883</v>
      </c>
      <c r="D353" t="inlineStr">
        <is>
          <t>VÄSTERBOTTENS LÄN</t>
        </is>
      </c>
      <c r="E353" t="inlineStr">
        <is>
          <t>ÅSELE</t>
        </is>
      </c>
      <c r="F353" t="inlineStr">
        <is>
          <t>Sveaskog</t>
        </is>
      </c>
      <c r="G353" t="n">
        <v>5.2</v>
      </c>
      <c r="H353" t="n">
        <v>0</v>
      </c>
      <c r="I353" t="n">
        <v>0</v>
      </c>
      <c r="J353" t="n">
        <v>0</v>
      </c>
      <c r="K353" t="n">
        <v>0</v>
      </c>
      <c r="L353" t="n">
        <v>0</v>
      </c>
      <c r="M353" t="n">
        <v>0</v>
      </c>
      <c r="N353" t="n">
        <v>0</v>
      </c>
      <c r="O353" t="n">
        <v>0</v>
      </c>
      <c r="P353" t="n">
        <v>0</v>
      </c>
      <c r="Q353" t="n">
        <v>0</v>
      </c>
      <c r="R353" s="2" t="inlineStr"/>
    </row>
    <row r="354" ht="15" customHeight="1">
      <c r="A354" t="inlineStr">
        <is>
          <t>A 38350-2024</t>
        </is>
      </c>
      <c r="B354" s="1" t="n">
        <v>45545</v>
      </c>
      <c r="C354" s="1" t="n">
        <v>45883</v>
      </c>
      <c r="D354" t="inlineStr">
        <is>
          <t>VÄSTERBOTTENS LÄN</t>
        </is>
      </c>
      <c r="E354" t="inlineStr">
        <is>
          <t>ÅSELE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43048-2024</t>
        </is>
      </c>
      <c r="B355" s="1" t="n">
        <v>45567</v>
      </c>
      <c r="C355" s="1" t="n">
        <v>45883</v>
      </c>
      <c r="D355" t="inlineStr">
        <is>
          <t>VÄSTERBOTTENS LÄN</t>
        </is>
      </c>
      <c r="E355" t="inlineStr">
        <is>
          <t>ÅSELE</t>
        </is>
      </c>
      <c r="G355" t="n">
        <v>4.8</v>
      </c>
      <c r="H355" t="n">
        <v>0</v>
      </c>
      <c r="I355" t="n">
        <v>0</v>
      </c>
      <c r="J355" t="n">
        <v>0</v>
      </c>
      <c r="K355" t="n">
        <v>0</v>
      </c>
      <c r="L355" t="n">
        <v>0</v>
      </c>
      <c r="M355" t="n">
        <v>0</v>
      </c>
      <c r="N355" t="n">
        <v>0</v>
      </c>
      <c r="O355" t="n">
        <v>0</v>
      </c>
      <c r="P355" t="n">
        <v>0</v>
      </c>
      <c r="Q355" t="n">
        <v>0</v>
      </c>
      <c r="R355" s="2" t="inlineStr"/>
    </row>
    <row r="356" ht="15" customHeight="1">
      <c r="A356" t="inlineStr">
        <is>
          <t>A 44742-2024</t>
        </is>
      </c>
      <c r="B356" s="1" t="n">
        <v>45574.59653935185</v>
      </c>
      <c r="C356" s="1" t="n">
        <v>45883</v>
      </c>
      <c r="D356" t="inlineStr">
        <is>
          <t>VÄSTERBOTTENS LÄN</t>
        </is>
      </c>
      <c r="E356" t="inlineStr">
        <is>
          <t>ÅSELE</t>
        </is>
      </c>
      <c r="F356" t="inlineStr">
        <is>
          <t>Sveaskog</t>
        </is>
      </c>
      <c r="G356" t="n">
        <v>5.9</v>
      </c>
      <c r="H356" t="n">
        <v>0</v>
      </c>
      <c r="I356" t="n">
        <v>0</v>
      </c>
      <c r="J356" t="n">
        <v>0</v>
      </c>
      <c r="K356" t="n">
        <v>0</v>
      </c>
      <c r="L356" t="n">
        <v>0</v>
      </c>
      <c r="M356" t="n">
        <v>0</v>
      </c>
      <c r="N356" t="n">
        <v>0</v>
      </c>
      <c r="O356" t="n">
        <v>0</v>
      </c>
      <c r="P356" t="n">
        <v>0</v>
      </c>
      <c r="Q356" t="n">
        <v>0</v>
      </c>
      <c r="R356" s="2" t="inlineStr"/>
    </row>
    <row r="357" ht="15" customHeight="1">
      <c r="A357" t="inlineStr">
        <is>
          <t>A 41475-2024</t>
        </is>
      </c>
      <c r="B357" s="1" t="n">
        <v>45560</v>
      </c>
      <c r="C357" s="1" t="n">
        <v>45883</v>
      </c>
      <c r="D357" t="inlineStr">
        <is>
          <t>VÄSTERBOTTENS LÄN</t>
        </is>
      </c>
      <c r="E357" t="inlineStr">
        <is>
          <t>ÅSELE</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67685-2021</t>
        </is>
      </c>
      <c r="B358" s="1" t="n">
        <v>44524</v>
      </c>
      <c r="C358" s="1" t="n">
        <v>45883</v>
      </c>
      <c r="D358" t="inlineStr">
        <is>
          <t>VÄSTERBOTTENS LÄN</t>
        </is>
      </c>
      <c r="E358" t="inlineStr">
        <is>
          <t>ÅSELE</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45622-2023</t>
        </is>
      </c>
      <c r="B359" s="1" t="n">
        <v>45194.66240740741</v>
      </c>
      <c r="C359" s="1" t="n">
        <v>45883</v>
      </c>
      <c r="D359" t="inlineStr">
        <is>
          <t>VÄSTERBOTTENS LÄN</t>
        </is>
      </c>
      <c r="E359" t="inlineStr">
        <is>
          <t>ÅSELE</t>
        </is>
      </c>
      <c r="G359" t="n">
        <v>1.7</v>
      </c>
      <c r="H359" t="n">
        <v>0</v>
      </c>
      <c r="I359" t="n">
        <v>0</v>
      </c>
      <c r="J359" t="n">
        <v>0</v>
      </c>
      <c r="K359" t="n">
        <v>0</v>
      </c>
      <c r="L359" t="n">
        <v>0</v>
      </c>
      <c r="M359" t="n">
        <v>0</v>
      </c>
      <c r="N359" t="n">
        <v>0</v>
      </c>
      <c r="O359" t="n">
        <v>0</v>
      </c>
      <c r="P359" t="n">
        <v>0</v>
      </c>
      <c r="Q359" t="n">
        <v>0</v>
      </c>
      <c r="R359" s="2" t="inlineStr"/>
    </row>
    <row r="360" ht="15" customHeight="1">
      <c r="A360" t="inlineStr">
        <is>
          <t>A 42399-2024</t>
        </is>
      </c>
      <c r="B360" s="1" t="n">
        <v>45565.33832175926</v>
      </c>
      <c r="C360" s="1" t="n">
        <v>45883</v>
      </c>
      <c r="D360" t="inlineStr">
        <is>
          <t>VÄSTERBOTTENS LÄN</t>
        </is>
      </c>
      <c r="E360" t="inlineStr">
        <is>
          <t>ÅSELE</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70186-2021</t>
        </is>
      </c>
      <c r="B361" s="1" t="n">
        <v>44533.94483796296</v>
      </c>
      <c r="C361" s="1" t="n">
        <v>45883</v>
      </c>
      <c r="D361" t="inlineStr">
        <is>
          <t>VÄSTERBOTTENS LÄN</t>
        </is>
      </c>
      <c r="E361" t="inlineStr">
        <is>
          <t>ÅSELE</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8880-2024</t>
        </is>
      </c>
      <c r="B362" s="1" t="n">
        <v>45357</v>
      </c>
      <c r="C362" s="1" t="n">
        <v>45883</v>
      </c>
      <c r="D362" t="inlineStr">
        <is>
          <t>VÄSTERBOTTENS LÄN</t>
        </is>
      </c>
      <c r="E362" t="inlineStr">
        <is>
          <t>ÅSELE</t>
        </is>
      </c>
      <c r="F362" t="inlineStr">
        <is>
          <t>SCA</t>
        </is>
      </c>
      <c r="G362" t="n">
        <v>10.8</v>
      </c>
      <c r="H362" t="n">
        <v>0</v>
      </c>
      <c r="I362" t="n">
        <v>0</v>
      </c>
      <c r="J362" t="n">
        <v>0</v>
      </c>
      <c r="K362" t="n">
        <v>0</v>
      </c>
      <c r="L362" t="n">
        <v>0</v>
      </c>
      <c r="M362" t="n">
        <v>0</v>
      </c>
      <c r="N362" t="n">
        <v>0</v>
      </c>
      <c r="O362" t="n">
        <v>0</v>
      </c>
      <c r="P362" t="n">
        <v>0</v>
      </c>
      <c r="Q362" t="n">
        <v>0</v>
      </c>
      <c r="R362" s="2" t="inlineStr"/>
    </row>
    <row r="363" ht="15" customHeight="1">
      <c r="A363" t="inlineStr">
        <is>
          <t>A 25558-2024</t>
        </is>
      </c>
      <c r="B363" s="1" t="n">
        <v>45463.58045138889</v>
      </c>
      <c r="C363" s="1" t="n">
        <v>45883</v>
      </c>
      <c r="D363" t="inlineStr">
        <is>
          <t>VÄSTERBOTTENS LÄN</t>
        </is>
      </c>
      <c r="E363" t="inlineStr">
        <is>
          <t>ÅSELE</t>
        </is>
      </c>
      <c r="F363" t="inlineStr">
        <is>
          <t>Sveaskog</t>
        </is>
      </c>
      <c r="G363" t="n">
        <v>18.1</v>
      </c>
      <c r="H363" t="n">
        <v>0</v>
      </c>
      <c r="I363" t="n">
        <v>0</v>
      </c>
      <c r="J363" t="n">
        <v>0</v>
      </c>
      <c r="K363" t="n">
        <v>0</v>
      </c>
      <c r="L363" t="n">
        <v>0</v>
      </c>
      <c r="M363" t="n">
        <v>0</v>
      </c>
      <c r="N363" t="n">
        <v>0</v>
      </c>
      <c r="O363" t="n">
        <v>0</v>
      </c>
      <c r="P363" t="n">
        <v>0</v>
      </c>
      <c r="Q363" t="n">
        <v>0</v>
      </c>
      <c r="R363" s="2" t="inlineStr"/>
    </row>
    <row r="364" ht="15" customHeight="1">
      <c r="A364" t="inlineStr">
        <is>
          <t>A 7706-2025</t>
        </is>
      </c>
      <c r="B364" s="1" t="n">
        <v>45706</v>
      </c>
      <c r="C364" s="1" t="n">
        <v>45883</v>
      </c>
      <c r="D364" t="inlineStr">
        <is>
          <t>VÄSTERBOTTENS LÄN</t>
        </is>
      </c>
      <c r="E364" t="inlineStr">
        <is>
          <t>ÅSELE</t>
        </is>
      </c>
      <c r="F364" t="inlineStr">
        <is>
          <t>Sveaskog</t>
        </is>
      </c>
      <c r="G364" t="n">
        <v>24.8</v>
      </c>
      <c r="H364" t="n">
        <v>0</v>
      </c>
      <c r="I364" t="n">
        <v>0</v>
      </c>
      <c r="J364" t="n">
        <v>0</v>
      </c>
      <c r="K364" t="n">
        <v>0</v>
      </c>
      <c r="L364" t="n">
        <v>0</v>
      </c>
      <c r="M364" t="n">
        <v>0</v>
      </c>
      <c r="N364" t="n">
        <v>0</v>
      </c>
      <c r="O364" t="n">
        <v>0</v>
      </c>
      <c r="P364" t="n">
        <v>0</v>
      </c>
      <c r="Q364" t="n">
        <v>0</v>
      </c>
      <c r="R364" s="2" t="inlineStr"/>
    </row>
    <row r="365" ht="15" customHeight="1">
      <c r="A365" t="inlineStr">
        <is>
          <t>A 42286-2024</t>
        </is>
      </c>
      <c r="B365" s="1" t="n">
        <v>45562</v>
      </c>
      <c r="C365" s="1" t="n">
        <v>45883</v>
      </c>
      <c r="D365" t="inlineStr">
        <is>
          <t>VÄSTERBOTTENS LÄN</t>
        </is>
      </c>
      <c r="E365" t="inlineStr">
        <is>
          <t>ÅSELE</t>
        </is>
      </c>
      <c r="F365" t="inlineStr">
        <is>
          <t>Holmen skog AB</t>
        </is>
      </c>
      <c r="G365" t="n">
        <v>2.1</v>
      </c>
      <c r="H365" t="n">
        <v>0</v>
      </c>
      <c r="I365" t="n">
        <v>0</v>
      </c>
      <c r="J365" t="n">
        <v>0</v>
      </c>
      <c r="K365" t="n">
        <v>0</v>
      </c>
      <c r="L365" t="n">
        <v>0</v>
      </c>
      <c r="M365" t="n">
        <v>0</v>
      </c>
      <c r="N365" t="n">
        <v>0</v>
      </c>
      <c r="O365" t="n">
        <v>0</v>
      </c>
      <c r="P365" t="n">
        <v>0</v>
      </c>
      <c r="Q365" t="n">
        <v>0</v>
      </c>
      <c r="R365" s="2" t="inlineStr"/>
    </row>
    <row r="366" ht="15" customHeight="1">
      <c r="A366" t="inlineStr">
        <is>
          <t>A 35520-2023</t>
        </is>
      </c>
      <c r="B366" s="1" t="n">
        <v>45147.32908564815</v>
      </c>
      <c r="C366" s="1" t="n">
        <v>45883</v>
      </c>
      <c r="D366" t="inlineStr">
        <is>
          <t>VÄSTERBOTTENS LÄN</t>
        </is>
      </c>
      <c r="E366" t="inlineStr">
        <is>
          <t>ÅSELE</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40046-2024</t>
        </is>
      </c>
      <c r="B367" s="1" t="n">
        <v>45553.76251157407</v>
      </c>
      <c r="C367" s="1" t="n">
        <v>45883</v>
      </c>
      <c r="D367" t="inlineStr">
        <is>
          <t>VÄSTERBOTTENS LÄN</t>
        </is>
      </c>
      <c r="E367" t="inlineStr">
        <is>
          <t>ÅSELE</t>
        </is>
      </c>
      <c r="G367" t="n">
        <v>5.6</v>
      </c>
      <c r="H367" t="n">
        <v>0</v>
      </c>
      <c r="I367" t="n">
        <v>0</v>
      </c>
      <c r="J367" t="n">
        <v>0</v>
      </c>
      <c r="K367" t="n">
        <v>0</v>
      </c>
      <c r="L367" t="n">
        <v>0</v>
      </c>
      <c r="M367" t="n">
        <v>0</v>
      </c>
      <c r="N367" t="n">
        <v>0</v>
      </c>
      <c r="O367" t="n">
        <v>0</v>
      </c>
      <c r="P367" t="n">
        <v>0</v>
      </c>
      <c r="Q367" t="n">
        <v>0</v>
      </c>
      <c r="R367" s="2" t="inlineStr"/>
    </row>
    <row r="368" ht="15" customHeight="1">
      <c r="A368" t="inlineStr">
        <is>
          <t>A 3559-2024</t>
        </is>
      </c>
      <c r="B368" s="1" t="n">
        <v>45320</v>
      </c>
      <c r="C368" s="1" t="n">
        <v>45883</v>
      </c>
      <c r="D368" t="inlineStr">
        <is>
          <t>VÄSTERBOTTENS LÄN</t>
        </is>
      </c>
      <c r="E368" t="inlineStr">
        <is>
          <t>ÅSELE</t>
        </is>
      </c>
      <c r="G368" t="n">
        <v>2.3</v>
      </c>
      <c r="H368" t="n">
        <v>0</v>
      </c>
      <c r="I368" t="n">
        <v>0</v>
      </c>
      <c r="J368" t="n">
        <v>0</v>
      </c>
      <c r="K368" t="n">
        <v>0</v>
      </c>
      <c r="L368" t="n">
        <v>0</v>
      </c>
      <c r="M368" t="n">
        <v>0</v>
      </c>
      <c r="N368" t="n">
        <v>0</v>
      </c>
      <c r="O368" t="n">
        <v>0</v>
      </c>
      <c r="P368" t="n">
        <v>0</v>
      </c>
      <c r="Q368" t="n">
        <v>0</v>
      </c>
      <c r="R368" s="2" t="inlineStr"/>
    </row>
    <row r="369" ht="15" customHeight="1">
      <c r="A369" t="inlineStr">
        <is>
          <t>A 1409-2023</t>
        </is>
      </c>
      <c r="B369" s="1" t="n">
        <v>44936.86325231481</v>
      </c>
      <c r="C369" s="1" t="n">
        <v>45883</v>
      </c>
      <c r="D369" t="inlineStr">
        <is>
          <t>VÄSTERBOTTENS LÄN</t>
        </is>
      </c>
      <c r="E369" t="inlineStr">
        <is>
          <t>ÅSELE</t>
        </is>
      </c>
      <c r="G369" t="n">
        <v>4.8</v>
      </c>
      <c r="H369" t="n">
        <v>0</v>
      </c>
      <c r="I369" t="n">
        <v>0</v>
      </c>
      <c r="J369" t="n">
        <v>0</v>
      </c>
      <c r="K369" t="n">
        <v>0</v>
      </c>
      <c r="L369" t="n">
        <v>0</v>
      </c>
      <c r="M369" t="n">
        <v>0</v>
      </c>
      <c r="N369" t="n">
        <v>0</v>
      </c>
      <c r="O369" t="n">
        <v>0</v>
      </c>
      <c r="P369" t="n">
        <v>0</v>
      </c>
      <c r="Q369" t="n">
        <v>0</v>
      </c>
      <c r="R369" s="2" t="inlineStr"/>
    </row>
    <row r="370" ht="15" customHeight="1">
      <c r="A370" t="inlineStr">
        <is>
          <t>A 17858-2023</t>
        </is>
      </c>
      <c r="B370" s="1" t="n">
        <v>45037.94150462963</v>
      </c>
      <c r="C370" s="1" t="n">
        <v>45883</v>
      </c>
      <c r="D370" t="inlineStr">
        <is>
          <t>VÄSTERBOTTENS LÄN</t>
        </is>
      </c>
      <c r="E370" t="inlineStr">
        <is>
          <t>ÅSELE</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4612-2022</t>
        </is>
      </c>
      <c r="B371" s="1" t="n">
        <v>44592.37475694445</v>
      </c>
      <c r="C371" s="1" t="n">
        <v>45883</v>
      </c>
      <c r="D371" t="inlineStr">
        <is>
          <t>VÄSTERBOTTENS LÄN</t>
        </is>
      </c>
      <c r="E371" t="inlineStr">
        <is>
          <t>ÅSELE</t>
        </is>
      </c>
      <c r="G371" t="n">
        <v>3.7</v>
      </c>
      <c r="H371" t="n">
        <v>0</v>
      </c>
      <c r="I371" t="n">
        <v>0</v>
      </c>
      <c r="J371" t="n">
        <v>0</v>
      </c>
      <c r="K371" t="n">
        <v>0</v>
      </c>
      <c r="L371" t="n">
        <v>0</v>
      </c>
      <c r="M371" t="n">
        <v>0</v>
      </c>
      <c r="N371" t="n">
        <v>0</v>
      </c>
      <c r="O371" t="n">
        <v>0</v>
      </c>
      <c r="P371" t="n">
        <v>0</v>
      </c>
      <c r="Q371" t="n">
        <v>0</v>
      </c>
      <c r="R371" s="2" t="inlineStr"/>
    </row>
    <row r="372" ht="15" customHeight="1">
      <c r="A372" t="inlineStr">
        <is>
          <t>A 21341-2024</t>
        </is>
      </c>
      <c r="B372" s="1" t="n">
        <v>45440.92835648148</v>
      </c>
      <c r="C372" s="1" t="n">
        <v>45883</v>
      </c>
      <c r="D372" t="inlineStr">
        <is>
          <t>VÄSTERBOTTENS LÄN</t>
        </is>
      </c>
      <c r="E372" t="inlineStr">
        <is>
          <t>ÅSELE</t>
        </is>
      </c>
      <c r="G372" t="n">
        <v>0.9</v>
      </c>
      <c r="H372" t="n">
        <v>0</v>
      </c>
      <c r="I372" t="n">
        <v>0</v>
      </c>
      <c r="J372" t="n">
        <v>0</v>
      </c>
      <c r="K372" t="n">
        <v>0</v>
      </c>
      <c r="L372" t="n">
        <v>0</v>
      </c>
      <c r="M372" t="n">
        <v>0</v>
      </c>
      <c r="N372" t="n">
        <v>0</v>
      </c>
      <c r="O372" t="n">
        <v>0</v>
      </c>
      <c r="P372" t="n">
        <v>0</v>
      </c>
      <c r="Q372" t="n">
        <v>0</v>
      </c>
      <c r="R372" s="2" t="inlineStr"/>
    </row>
    <row r="373" ht="15" customHeight="1">
      <c r="A373" t="inlineStr">
        <is>
          <t>A 49382-2024</t>
        </is>
      </c>
      <c r="B373" s="1" t="n">
        <v>45595</v>
      </c>
      <c r="C373" s="1" t="n">
        <v>45883</v>
      </c>
      <c r="D373" t="inlineStr">
        <is>
          <t>VÄSTERBOTTENS LÄN</t>
        </is>
      </c>
      <c r="E373" t="inlineStr">
        <is>
          <t>ÅSELE</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35836-2024</t>
        </is>
      </c>
      <c r="B374" s="1" t="n">
        <v>45532.71344907407</v>
      </c>
      <c r="C374" s="1" t="n">
        <v>45883</v>
      </c>
      <c r="D374" t="inlineStr">
        <is>
          <t>VÄSTERBOTTENS LÄN</t>
        </is>
      </c>
      <c r="E374" t="inlineStr">
        <is>
          <t>ÅSELE</t>
        </is>
      </c>
      <c r="G374" t="n">
        <v>2.1</v>
      </c>
      <c r="H374" t="n">
        <v>0</v>
      </c>
      <c r="I374" t="n">
        <v>0</v>
      </c>
      <c r="J374" t="n">
        <v>0</v>
      </c>
      <c r="K374" t="n">
        <v>0</v>
      </c>
      <c r="L374" t="n">
        <v>0</v>
      </c>
      <c r="M374" t="n">
        <v>0</v>
      </c>
      <c r="N374" t="n">
        <v>0</v>
      </c>
      <c r="O374" t="n">
        <v>0</v>
      </c>
      <c r="P374" t="n">
        <v>0</v>
      </c>
      <c r="Q374" t="n">
        <v>0</v>
      </c>
      <c r="R374" s="2" t="inlineStr"/>
    </row>
    <row r="375" ht="15" customHeight="1">
      <c r="A375" t="inlineStr">
        <is>
          <t>A 47441-2024</t>
        </is>
      </c>
      <c r="B375" s="1" t="n">
        <v>45587</v>
      </c>
      <c r="C375" s="1" t="n">
        <v>45883</v>
      </c>
      <c r="D375" t="inlineStr">
        <is>
          <t>VÄSTERBOTTENS LÄN</t>
        </is>
      </c>
      <c r="E375" t="inlineStr">
        <is>
          <t>ÅSELE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2609-2024</t>
        </is>
      </c>
      <c r="B376" s="1" t="n">
        <v>45313</v>
      </c>
      <c r="C376" s="1" t="n">
        <v>45883</v>
      </c>
      <c r="D376" t="inlineStr">
        <is>
          <t>VÄSTERBOTTENS LÄN</t>
        </is>
      </c>
      <c r="E376" t="inlineStr">
        <is>
          <t>ÅSELE</t>
        </is>
      </c>
      <c r="F376" t="inlineStr">
        <is>
          <t>Övriga Aktiebolag</t>
        </is>
      </c>
      <c r="G376" t="n">
        <v>5.5</v>
      </c>
      <c r="H376" t="n">
        <v>0</v>
      </c>
      <c r="I376" t="n">
        <v>0</v>
      </c>
      <c r="J376" t="n">
        <v>0</v>
      </c>
      <c r="K376" t="n">
        <v>0</v>
      </c>
      <c r="L376" t="n">
        <v>0</v>
      </c>
      <c r="M376" t="n">
        <v>0</v>
      </c>
      <c r="N376" t="n">
        <v>0</v>
      </c>
      <c r="O376" t="n">
        <v>0</v>
      </c>
      <c r="P376" t="n">
        <v>0</v>
      </c>
      <c r="Q376" t="n">
        <v>0</v>
      </c>
      <c r="R376" s="2" t="inlineStr"/>
    </row>
    <row r="377" ht="15" customHeight="1">
      <c r="A377" t="inlineStr">
        <is>
          <t>A 29039-2024</t>
        </is>
      </c>
      <c r="B377" s="1" t="n">
        <v>45481.60922453704</v>
      </c>
      <c r="C377" s="1" t="n">
        <v>45883</v>
      </c>
      <c r="D377" t="inlineStr">
        <is>
          <t>VÄSTERBOTTENS LÄN</t>
        </is>
      </c>
      <c r="E377" t="inlineStr">
        <is>
          <t>ÅSELE</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41583-2024</t>
        </is>
      </c>
      <c r="B378" s="1" t="n">
        <v>45560.55664351852</v>
      </c>
      <c r="C378" s="1" t="n">
        <v>45883</v>
      </c>
      <c r="D378" t="inlineStr">
        <is>
          <t>VÄSTERBOTTENS LÄN</t>
        </is>
      </c>
      <c r="E378" t="inlineStr">
        <is>
          <t>ÅSELE</t>
        </is>
      </c>
      <c r="F378" t="inlineStr">
        <is>
          <t>Holmen skog AB</t>
        </is>
      </c>
      <c r="G378" t="n">
        <v>0.8</v>
      </c>
      <c r="H378" t="n">
        <v>0</v>
      </c>
      <c r="I378" t="n">
        <v>0</v>
      </c>
      <c r="J378" t="n">
        <v>0</v>
      </c>
      <c r="K378" t="n">
        <v>0</v>
      </c>
      <c r="L378" t="n">
        <v>0</v>
      </c>
      <c r="M378" t="n">
        <v>0</v>
      </c>
      <c r="N378" t="n">
        <v>0</v>
      </c>
      <c r="O378" t="n">
        <v>0</v>
      </c>
      <c r="P378" t="n">
        <v>0</v>
      </c>
      <c r="Q378" t="n">
        <v>0</v>
      </c>
      <c r="R378" s="2" t="inlineStr"/>
    </row>
    <row r="379" ht="15" customHeight="1">
      <c r="A379" t="inlineStr">
        <is>
          <t>A 41427-2024</t>
        </is>
      </c>
      <c r="B379" s="1" t="n">
        <v>45560.35121527778</v>
      </c>
      <c r="C379" s="1" t="n">
        <v>45883</v>
      </c>
      <c r="D379" t="inlineStr">
        <is>
          <t>VÄSTERBOTTENS LÄN</t>
        </is>
      </c>
      <c r="E379" t="inlineStr">
        <is>
          <t>ÅSELE</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48248-2024</t>
        </is>
      </c>
      <c r="B380" s="1" t="n">
        <v>45590.40659722222</v>
      </c>
      <c r="C380" s="1" t="n">
        <v>45883</v>
      </c>
      <c r="D380" t="inlineStr">
        <is>
          <t>VÄSTERBOTTENS LÄN</t>
        </is>
      </c>
      <c r="E380" t="inlineStr">
        <is>
          <t>ÅSELE</t>
        </is>
      </c>
      <c r="F380" t="inlineStr">
        <is>
          <t>SCA</t>
        </is>
      </c>
      <c r="G380" t="n">
        <v>4</v>
      </c>
      <c r="H380" t="n">
        <v>0</v>
      </c>
      <c r="I380" t="n">
        <v>0</v>
      </c>
      <c r="J380" t="n">
        <v>0</v>
      </c>
      <c r="K380" t="n">
        <v>0</v>
      </c>
      <c r="L380" t="n">
        <v>0</v>
      </c>
      <c r="M380" t="n">
        <v>0</v>
      </c>
      <c r="N380" t="n">
        <v>0</v>
      </c>
      <c r="O380" t="n">
        <v>0</v>
      </c>
      <c r="P380" t="n">
        <v>0</v>
      </c>
      <c r="Q380" t="n">
        <v>0</v>
      </c>
      <c r="R380" s="2" t="inlineStr"/>
    </row>
    <row r="381" ht="15" customHeight="1">
      <c r="A381" t="inlineStr">
        <is>
          <t>A 36880-2023</t>
        </is>
      </c>
      <c r="B381" s="1" t="n">
        <v>45154.58393518518</v>
      </c>
      <c r="C381" s="1" t="n">
        <v>45883</v>
      </c>
      <c r="D381" t="inlineStr">
        <is>
          <t>VÄSTERBOTTENS LÄN</t>
        </is>
      </c>
      <c r="E381" t="inlineStr">
        <is>
          <t>ÅSELE</t>
        </is>
      </c>
      <c r="F381" t="inlineStr">
        <is>
          <t>Holmen skog AB</t>
        </is>
      </c>
      <c r="G381" t="n">
        <v>0.7</v>
      </c>
      <c r="H381" t="n">
        <v>0</v>
      </c>
      <c r="I381" t="n">
        <v>0</v>
      </c>
      <c r="J381" t="n">
        <v>0</v>
      </c>
      <c r="K381" t="n">
        <v>0</v>
      </c>
      <c r="L381" t="n">
        <v>0</v>
      </c>
      <c r="M381" t="n">
        <v>0</v>
      </c>
      <c r="N381" t="n">
        <v>0</v>
      </c>
      <c r="O381" t="n">
        <v>0</v>
      </c>
      <c r="P381" t="n">
        <v>0</v>
      </c>
      <c r="Q381" t="n">
        <v>0</v>
      </c>
      <c r="R381" s="2" t="inlineStr"/>
    </row>
    <row r="382" ht="15" customHeight="1">
      <c r="A382" t="inlineStr">
        <is>
          <t>A 61744-2024</t>
        </is>
      </c>
      <c r="B382" s="1" t="n">
        <v>45649</v>
      </c>
      <c r="C382" s="1" t="n">
        <v>45883</v>
      </c>
      <c r="D382" t="inlineStr">
        <is>
          <t>VÄSTERBOTTENS LÄN</t>
        </is>
      </c>
      <c r="E382" t="inlineStr">
        <is>
          <t>ÅSELE</t>
        </is>
      </c>
      <c r="G382" t="n">
        <v>6.6</v>
      </c>
      <c r="H382" t="n">
        <v>0</v>
      </c>
      <c r="I382" t="n">
        <v>0</v>
      </c>
      <c r="J382" t="n">
        <v>0</v>
      </c>
      <c r="K382" t="n">
        <v>0</v>
      </c>
      <c r="L382" t="n">
        <v>0</v>
      </c>
      <c r="M382" t="n">
        <v>0</v>
      </c>
      <c r="N382" t="n">
        <v>0</v>
      </c>
      <c r="O382" t="n">
        <v>0</v>
      </c>
      <c r="P382" t="n">
        <v>0</v>
      </c>
      <c r="Q382" t="n">
        <v>0</v>
      </c>
      <c r="R382" s="2" t="inlineStr"/>
    </row>
    <row r="383" ht="15" customHeight="1">
      <c r="A383" t="inlineStr">
        <is>
          <t>A 32561-2023</t>
        </is>
      </c>
      <c r="B383" s="1" t="n">
        <v>45121.45128472222</v>
      </c>
      <c r="C383" s="1" t="n">
        <v>45883</v>
      </c>
      <c r="D383" t="inlineStr">
        <is>
          <t>VÄSTERBOTTENS LÄN</t>
        </is>
      </c>
      <c r="E383" t="inlineStr">
        <is>
          <t>ÅSELE</t>
        </is>
      </c>
      <c r="F383" t="inlineStr">
        <is>
          <t>Naturvårdsverket</t>
        </is>
      </c>
      <c r="G383" t="n">
        <v>2.5</v>
      </c>
      <c r="H383" t="n">
        <v>0</v>
      </c>
      <c r="I383" t="n">
        <v>0</v>
      </c>
      <c r="J383" t="n">
        <v>0</v>
      </c>
      <c r="K383" t="n">
        <v>0</v>
      </c>
      <c r="L383" t="n">
        <v>0</v>
      </c>
      <c r="M383" t="n">
        <v>0</v>
      </c>
      <c r="N383" t="n">
        <v>0</v>
      </c>
      <c r="O383" t="n">
        <v>0</v>
      </c>
      <c r="P383" t="n">
        <v>0</v>
      </c>
      <c r="Q383" t="n">
        <v>0</v>
      </c>
      <c r="R383" s="2" t="inlineStr"/>
    </row>
    <row r="384" ht="15" customHeight="1">
      <c r="A384" t="inlineStr">
        <is>
          <t>A 48033-2024</t>
        </is>
      </c>
      <c r="B384" s="1" t="n">
        <v>45589.49001157407</v>
      </c>
      <c r="C384" s="1" t="n">
        <v>45883</v>
      </c>
      <c r="D384" t="inlineStr">
        <is>
          <t>VÄSTERBOTTENS LÄN</t>
        </is>
      </c>
      <c r="E384" t="inlineStr">
        <is>
          <t>ÅSELE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53681-2024</t>
        </is>
      </c>
      <c r="B385" s="1" t="n">
        <v>45615</v>
      </c>
      <c r="C385" s="1" t="n">
        <v>45883</v>
      </c>
      <c r="D385" t="inlineStr">
        <is>
          <t>VÄSTERBOTTENS LÄN</t>
        </is>
      </c>
      <c r="E385" t="inlineStr">
        <is>
          <t>ÅSELE</t>
        </is>
      </c>
      <c r="F385" t="inlineStr">
        <is>
          <t>SCA</t>
        </is>
      </c>
      <c r="G385" t="n">
        <v>4</v>
      </c>
      <c r="H385" t="n">
        <v>0</v>
      </c>
      <c r="I385" t="n">
        <v>0</v>
      </c>
      <c r="J385" t="n">
        <v>0</v>
      </c>
      <c r="K385" t="n">
        <v>0</v>
      </c>
      <c r="L385" t="n">
        <v>0</v>
      </c>
      <c r="M385" t="n">
        <v>0</v>
      </c>
      <c r="N385" t="n">
        <v>0</v>
      </c>
      <c r="O385" t="n">
        <v>0</v>
      </c>
      <c r="P385" t="n">
        <v>0</v>
      </c>
      <c r="Q385" t="n">
        <v>0</v>
      </c>
      <c r="R385" s="2" t="inlineStr"/>
    </row>
    <row r="386" ht="15" customHeight="1">
      <c r="A386" t="inlineStr">
        <is>
          <t>A 27943-2024</t>
        </is>
      </c>
      <c r="B386" s="1" t="n">
        <v>45476.31515046296</v>
      </c>
      <c r="C386" s="1" t="n">
        <v>45883</v>
      </c>
      <c r="D386" t="inlineStr">
        <is>
          <t>VÄSTERBOTTENS LÄN</t>
        </is>
      </c>
      <c r="E386" t="inlineStr">
        <is>
          <t>ÅSELE</t>
        </is>
      </c>
      <c r="F386" t="inlineStr">
        <is>
          <t>Sveaskog</t>
        </is>
      </c>
      <c r="G386" t="n">
        <v>5.1</v>
      </c>
      <c r="H386" t="n">
        <v>0</v>
      </c>
      <c r="I386" t="n">
        <v>0</v>
      </c>
      <c r="J386" t="n">
        <v>0</v>
      </c>
      <c r="K386" t="n">
        <v>0</v>
      </c>
      <c r="L386" t="n">
        <v>0</v>
      </c>
      <c r="M386" t="n">
        <v>0</v>
      </c>
      <c r="N386" t="n">
        <v>0</v>
      </c>
      <c r="O386" t="n">
        <v>0</v>
      </c>
      <c r="P386" t="n">
        <v>0</v>
      </c>
      <c r="Q386" t="n">
        <v>0</v>
      </c>
      <c r="R386" s="2" t="inlineStr"/>
    </row>
    <row r="387" ht="15" customHeight="1">
      <c r="A387" t="inlineStr">
        <is>
          <t>A 10360-2025</t>
        </is>
      </c>
      <c r="B387" s="1" t="n">
        <v>45720</v>
      </c>
      <c r="C387" s="1" t="n">
        <v>45883</v>
      </c>
      <c r="D387" t="inlineStr">
        <is>
          <t>VÄSTERBOTTENS LÄN</t>
        </is>
      </c>
      <c r="E387" t="inlineStr">
        <is>
          <t>ÅSELE</t>
        </is>
      </c>
      <c r="G387" t="n">
        <v>0.8</v>
      </c>
      <c r="H387" t="n">
        <v>0</v>
      </c>
      <c r="I387" t="n">
        <v>0</v>
      </c>
      <c r="J387" t="n">
        <v>0</v>
      </c>
      <c r="K387" t="n">
        <v>0</v>
      </c>
      <c r="L387" t="n">
        <v>0</v>
      </c>
      <c r="M387" t="n">
        <v>0</v>
      </c>
      <c r="N387" t="n">
        <v>0</v>
      </c>
      <c r="O387" t="n">
        <v>0</v>
      </c>
      <c r="P387" t="n">
        <v>0</v>
      </c>
      <c r="Q387" t="n">
        <v>0</v>
      </c>
      <c r="R387" s="2" t="inlineStr"/>
    </row>
    <row r="388" ht="15" customHeight="1">
      <c r="A388" t="inlineStr">
        <is>
          <t>A 10381-2025</t>
        </is>
      </c>
      <c r="B388" s="1" t="n">
        <v>45720.57324074074</v>
      </c>
      <c r="C388" s="1" t="n">
        <v>45883</v>
      </c>
      <c r="D388" t="inlineStr">
        <is>
          <t>VÄSTERBOTTENS LÄN</t>
        </is>
      </c>
      <c r="E388" t="inlineStr">
        <is>
          <t>ÅSELE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42301-2024</t>
        </is>
      </c>
      <c r="B389" s="1" t="n">
        <v>45562.62887731481</v>
      </c>
      <c r="C389" s="1" t="n">
        <v>45883</v>
      </c>
      <c r="D389" t="inlineStr">
        <is>
          <t>VÄSTERBOTTENS LÄN</t>
        </is>
      </c>
      <c r="E389" t="inlineStr">
        <is>
          <t>ÅSELE</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8247-2023</t>
        </is>
      </c>
      <c r="B390" s="1" t="n">
        <v>44971</v>
      </c>
      <c r="C390" s="1" t="n">
        <v>45883</v>
      </c>
      <c r="D390" t="inlineStr">
        <is>
          <t>VÄSTERBOTTENS LÄN</t>
        </is>
      </c>
      <c r="E390" t="inlineStr">
        <is>
          <t>ÅSELE</t>
        </is>
      </c>
      <c r="G390" t="n">
        <v>4.9</v>
      </c>
      <c r="H390" t="n">
        <v>0</v>
      </c>
      <c r="I390" t="n">
        <v>0</v>
      </c>
      <c r="J390" t="n">
        <v>0</v>
      </c>
      <c r="K390" t="n">
        <v>0</v>
      </c>
      <c r="L390" t="n">
        <v>0</v>
      </c>
      <c r="M390" t="n">
        <v>0</v>
      </c>
      <c r="N390" t="n">
        <v>0</v>
      </c>
      <c r="O390" t="n">
        <v>0</v>
      </c>
      <c r="P390" t="n">
        <v>0</v>
      </c>
      <c r="Q390" t="n">
        <v>0</v>
      </c>
      <c r="R390" s="2" t="inlineStr"/>
    </row>
    <row r="391" ht="15" customHeight="1">
      <c r="A391" t="inlineStr">
        <is>
          <t>A 64881-2020</t>
        </is>
      </c>
      <c r="B391" s="1" t="n">
        <v>44171</v>
      </c>
      <c r="C391" s="1" t="n">
        <v>45883</v>
      </c>
      <c r="D391" t="inlineStr">
        <is>
          <t>VÄSTERBOTTENS LÄN</t>
        </is>
      </c>
      <c r="E391" t="inlineStr">
        <is>
          <t>ÅSELE</t>
        </is>
      </c>
      <c r="G391" t="n">
        <v>1.2</v>
      </c>
      <c r="H391" t="n">
        <v>0</v>
      </c>
      <c r="I391" t="n">
        <v>0</v>
      </c>
      <c r="J391" t="n">
        <v>0</v>
      </c>
      <c r="K391" t="n">
        <v>0</v>
      </c>
      <c r="L391" t="n">
        <v>0</v>
      </c>
      <c r="M391" t="n">
        <v>0</v>
      </c>
      <c r="N391" t="n">
        <v>0</v>
      </c>
      <c r="O391" t="n">
        <v>0</v>
      </c>
      <c r="P391" t="n">
        <v>0</v>
      </c>
      <c r="Q391" t="n">
        <v>0</v>
      </c>
      <c r="R391" s="2" t="inlineStr"/>
    </row>
    <row r="392" ht="15" customHeight="1">
      <c r="A392" t="inlineStr">
        <is>
          <t>A 42268-2024</t>
        </is>
      </c>
      <c r="B392" s="1" t="n">
        <v>45562.5971412037</v>
      </c>
      <c r="C392" s="1" t="n">
        <v>45883</v>
      </c>
      <c r="D392" t="inlineStr">
        <is>
          <t>VÄSTERBOTTENS LÄN</t>
        </is>
      </c>
      <c r="E392" t="inlineStr">
        <is>
          <t>ÅSELE</t>
        </is>
      </c>
      <c r="F392" t="inlineStr">
        <is>
          <t>Naturvårdsverket</t>
        </is>
      </c>
      <c r="G392" t="n">
        <v>1.6</v>
      </c>
      <c r="H392" t="n">
        <v>0</v>
      </c>
      <c r="I392" t="n">
        <v>0</v>
      </c>
      <c r="J392" t="n">
        <v>0</v>
      </c>
      <c r="K392" t="n">
        <v>0</v>
      </c>
      <c r="L392" t="n">
        <v>0</v>
      </c>
      <c r="M392" t="n">
        <v>0</v>
      </c>
      <c r="N392" t="n">
        <v>0</v>
      </c>
      <c r="O392" t="n">
        <v>0</v>
      </c>
      <c r="P392" t="n">
        <v>0</v>
      </c>
      <c r="Q392" t="n">
        <v>0</v>
      </c>
      <c r="R392" s="2" t="inlineStr"/>
    </row>
    <row r="393" ht="15" customHeight="1">
      <c r="A393" t="inlineStr">
        <is>
          <t>A 8855-2025</t>
        </is>
      </c>
      <c r="B393" s="1" t="n">
        <v>45713</v>
      </c>
      <c r="C393" s="1" t="n">
        <v>45883</v>
      </c>
      <c r="D393" t="inlineStr">
        <is>
          <t>VÄSTERBOTTENS LÄN</t>
        </is>
      </c>
      <c r="E393" t="inlineStr">
        <is>
          <t>ÅSELE</t>
        </is>
      </c>
      <c r="G393" t="n">
        <v>23.5</v>
      </c>
      <c r="H393" t="n">
        <v>0</v>
      </c>
      <c r="I393" t="n">
        <v>0</v>
      </c>
      <c r="J393" t="n">
        <v>0</v>
      </c>
      <c r="K393" t="n">
        <v>0</v>
      </c>
      <c r="L393" t="n">
        <v>0</v>
      </c>
      <c r="M393" t="n">
        <v>0</v>
      </c>
      <c r="N393" t="n">
        <v>0</v>
      </c>
      <c r="O393" t="n">
        <v>0</v>
      </c>
      <c r="P393" t="n">
        <v>0</v>
      </c>
      <c r="Q393" t="n">
        <v>0</v>
      </c>
      <c r="R393" s="2" t="inlineStr"/>
    </row>
    <row r="394" ht="15" customHeight="1">
      <c r="A394" t="inlineStr">
        <is>
          <t>A 17148-2025</t>
        </is>
      </c>
      <c r="B394" s="1" t="n">
        <v>45756.30644675926</v>
      </c>
      <c r="C394" s="1" t="n">
        <v>45883</v>
      </c>
      <c r="D394" t="inlineStr">
        <is>
          <t>VÄSTERBOTTENS LÄN</t>
        </is>
      </c>
      <c r="E394" t="inlineStr">
        <is>
          <t>ÅSELE</t>
        </is>
      </c>
      <c r="G394" t="n">
        <v>5.3</v>
      </c>
      <c r="H394" t="n">
        <v>0</v>
      </c>
      <c r="I394" t="n">
        <v>0</v>
      </c>
      <c r="J394" t="n">
        <v>0</v>
      </c>
      <c r="K394" t="n">
        <v>0</v>
      </c>
      <c r="L394" t="n">
        <v>0</v>
      </c>
      <c r="M394" t="n">
        <v>0</v>
      </c>
      <c r="N394" t="n">
        <v>0</v>
      </c>
      <c r="O394" t="n">
        <v>0</v>
      </c>
      <c r="P394" t="n">
        <v>0</v>
      </c>
      <c r="Q394" t="n">
        <v>0</v>
      </c>
      <c r="R394" s="2" t="inlineStr"/>
    </row>
    <row r="395" ht="15" customHeight="1">
      <c r="A395" t="inlineStr">
        <is>
          <t>A 40969-2024</t>
        </is>
      </c>
      <c r="B395" s="1" t="n">
        <v>45558</v>
      </c>
      <c r="C395" s="1" t="n">
        <v>45883</v>
      </c>
      <c r="D395" t="inlineStr">
        <is>
          <t>VÄSTERBOTTENS LÄN</t>
        </is>
      </c>
      <c r="E395" t="inlineStr">
        <is>
          <t>ÅSELE</t>
        </is>
      </c>
      <c r="F395" t="inlineStr">
        <is>
          <t>Sveaskog</t>
        </is>
      </c>
      <c r="G395" t="n">
        <v>14.2</v>
      </c>
      <c r="H395" t="n">
        <v>0</v>
      </c>
      <c r="I395" t="n">
        <v>0</v>
      </c>
      <c r="J395" t="n">
        <v>0</v>
      </c>
      <c r="K395" t="n">
        <v>0</v>
      </c>
      <c r="L395" t="n">
        <v>0</v>
      </c>
      <c r="M395" t="n">
        <v>0</v>
      </c>
      <c r="N395" t="n">
        <v>0</v>
      </c>
      <c r="O395" t="n">
        <v>0</v>
      </c>
      <c r="P395" t="n">
        <v>0</v>
      </c>
      <c r="Q395" t="n">
        <v>0</v>
      </c>
      <c r="R395" s="2" t="inlineStr"/>
    </row>
    <row r="396" ht="15" customHeight="1">
      <c r="A396" t="inlineStr">
        <is>
          <t>A 13879-2025</t>
        </is>
      </c>
      <c r="B396" s="1" t="n">
        <v>45737</v>
      </c>
      <c r="C396" s="1" t="n">
        <v>45883</v>
      </c>
      <c r="D396" t="inlineStr">
        <is>
          <t>VÄSTERBOTTENS LÄN</t>
        </is>
      </c>
      <c r="E396" t="inlineStr">
        <is>
          <t>ÅSELE</t>
        </is>
      </c>
      <c r="F396" t="inlineStr">
        <is>
          <t>SCA</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28697-2024</t>
        </is>
      </c>
      <c r="B397" s="1" t="n">
        <v>45478</v>
      </c>
      <c r="C397" s="1" t="n">
        <v>45883</v>
      </c>
      <c r="D397" t="inlineStr">
        <is>
          <t>VÄSTERBOTTENS LÄN</t>
        </is>
      </c>
      <c r="E397" t="inlineStr">
        <is>
          <t>ÅSELE</t>
        </is>
      </c>
      <c r="F397" t="inlineStr">
        <is>
          <t>Sveaskog</t>
        </is>
      </c>
      <c r="G397" t="n">
        <v>2.9</v>
      </c>
      <c r="H397" t="n">
        <v>0</v>
      </c>
      <c r="I397" t="n">
        <v>0</v>
      </c>
      <c r="J397" t="n">
        <v>0</v>
      </c>
      <c r="K397" t="n">
        <v>0</v>
      </c>
      <c r="L397" t="n">
        <v>0</v>
      </c>
      <c r="M397" t="n">
        <v>0</v>
      </c>
      <c r="N397" t="n">
        <v>0</v>
      </c>
      <c r="O397" t="n">
        <v>0</v>
      </c>
      <c r="P397" t="n">
        <v>0</v>
      </c>
      <c r="Q397" t="n">
        <v>0</v>
      </c>
      <c r="R397" s="2" t="inlineStr"/>
    </row>
    <row r="398" ht="15" customHeight="1">
      <c r="A398" t="inlineStr">
        <is>
          <t>A 59819-2024</t>
        </is>
      </c>
      <c r="B398" s="1" t="n">
        <v>45639.63590277778</v>
      </c>
      <c r="C398" s="1" t="n">
        <v>45883</v>
      </c>
      <c r="D398" t="inlineStr">
        <is>
          <t>VÄSTERBOTTENS LÄN</t>
        </is>
      </c>
      <c r="E398" t="inlineStr">
        <is>
          <t>ÅSELE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22945-2024</t>
        </is>
      </c>
      <c r="B399" s="1" t="n">
        <v>45448.94569444445</v>
      </c>
      <c r="C399" s="1" t="n">
        <v>45883</v>
      </c>
      <c r="D399" t="inlineStr">
        <is>
          <t>VÄSTERBOTTENS LÄN</t>
        </is>
      </c>
      <c r="E399" t="inlineStr">
        <is>
          <t>ÅSELE</t>
        </is>
      </c>
      <c r="F399" t="inlineStr">
        <is>
          <t>SCA</t>
        </is>
      </c>
      <c r="G399" t="n">
        <v>7.5</v>
      </c>
      <c r="H399" t="n">
        <v>0</v>
      </c>
      <c r="I399" t="n">
        <v>0</v>
      </c>
      <c r="J399" t="n">
        <v>0</v>
      </c>
      <c r="K399" t="n">
        <v>0</v>
      </c>
      <c r="L399" t="n">
        <v>0</v>
      </c>
      <c r="M399" t="n">
        <v>0</v>
      </c>
      <c r="N399" t="n">
        <v>0</v>
      </c>
      <c r="O399" t="n">
        <v>0</v>
      </c>
      <c r="P399" t="n">
        <v>0</v>
      </c>
      <c r="Q399" t="n">
        <v>0</v>
      </c>
      <c r="R399" s="2" t="inlineStr"/>
    </row>
    <row r="400" ht="15" customHeight="1">
      <c r="A400" t="inlineStr">
        <is>
          <t>A 60344-2024</t>
        </is>
      </c>
      <c r="B400" s="1" t="n">
        <v>45643.42747685185</v>
      </c>
      <c r="C400" s="1" t="n">
        <v>45883</v>
      </c>
      <c r="D400" t="inlineStr">
        <is>
          <t>VÄSTERBOTTENS LÄN</t>
        </is>
      </c>
      <c r="E400" t="inlineStr">
        <is>
          <t>ÅSELE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16806-2025</t>
        </is>
      </c>
      <c r="B401" s="1" t="n">
        <v>45754.62675925926</v>
      </c>
      <c r="C401" s="1" t="n">
        <v>45883</v>
      </c>
      <c r="D401" t="inlineStr">
        <is>
          <t>VÄSTERBOTTENS LÄN</t>
        </is>
      </c>
      <c r="E401" t="inlineStr">
        <is>
          <t>ÅSELE</t>
        </is>
      </c>
      <c r="F401" t="inlineStr">
        <is>
          <t>Holmen skog AB</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61351-2024</t>
        </is>
      </c>
      <c r="B402" s="1" t="n">
        <v>45646</v>
      </c>
      <c r="C402" s="1" t="n">
        <v>45883</v>
      </c>
      <c r="D402" t="inlineStr">
        <is>
          <t>VÄSTERBOTTENS LÄN</t>
        </is>
      </c>
      <c r="E402" t="inlineStr">
        <is>
          <t>ÅSELE</t>
        </is>
      </c>
      <c r="G402" t="n">
        <v>9.6</v>
      </c>
      <c r="H402" t="n">
        <v>0</v>
      </c>
      <c r="I402" t="n">
        <v>0</v>
      </c>
      <c r="J402" t="n">
        <v>0</v>
      </c>
      <c r="K402" t="n">
        <v>0</v>
      </c>
      <c r="L402" t="n">
        <v>0</v>
      </c>
      <c r="M402" t="n">
        <v>0</v>
      </c>
      <c r="N402" t="n">
        <v>0</v>
      </c>
      <c r="O402" t="n">
        <v>0</v>
      </c>
      <c r="P402" t="n">
        <v>0</v>
      </c>
      <c r="Q402" t="n">
        <v>0</v>
      </c>
      <c r="R402" s="2" t="inlineStr"/>
    </row>
    <row r="403" ht="15" customHeight="1">
      <c r="A403" t="inlineStr">
        <is>
          <t>A 48530-2024</t>
        </is>
      </c>
      <c r="B403" s="1" t="n">
        <v>45593.34453703704</v>
      </c>
      <c r="C403" s="1" t="n">
        <v>45883</v>
      </c>
      <c r="D403" t="inlineStr">
        <is>
          <t>VÄSTERBOTTENS LÄN</t>
        </is>
      </c>
      <c r="E403" t="inlineStr">
        <is>
          <t>ÅSELE</t>
        </is>
      </c>
      <c r="F403" t="inlineStr">
        <is>
          <t>SCA</t>
        </is>
      </c>
      <c r="G403" t="n">
        <v>8.9</v>
      </c>
      <c r="H403" t="n">
        <v>0</v>
      </c>
      <c r="I403" t="n">
        <v>0</v>
      </c>
      <c r="J403" t="n">
        <v>0</v>
      </c>
      <c r="K403" t="n">
        <v>0</v>
      </c>
      <c r="L403" t="n">
        <v>0</v>
      </c>
      <c r="M403" t="n">
        <v>0</v>
      </c>
      <c r="N403" t="n">
        <v>0</v>
      </c>
      <c r="O403" t="n">
        <v>0</v>
      </c>
      <c r="P403" t="n">
        <v>0</v>
      </c>
      <c r="Q403" t="n">
        <v>0</v>
      </c>
      <c r="R403" s="2" t="inlineStr"/>
    </row>
    <row r="404" ht="15" customHeight="1">
      <c r="A404" t="inlineStr">
        <is>
          <t>A 48531-2024</t>
        </is>
      </c>
      <c r="B404" s="1" t="n">
        <v>45593</v>
      </c>
      <c r="C404" s="1" t="n">
        <v>45883</v>
      </c>
      <c r="D404" t="inlineStr">
        <is>
          <t>VÄSTERBOTTENS LÄN</t>
        </is>
      </c>
      <c r="E404" t="inlineStr">
        <is>
          <t>ÅSELE</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16785-2025</t>
        </is>
      </c>
      <c r="B405" s="1" t="n">
        <v>45754</v>
      </c>
      <c r="C405" s="1" t="n">
        <v>45883</v>
      </c>
      <c r="D405" t="inlineStr">
        <is>
          <t>VÄSTERBOTTENS LÄN</t>
        </is>
      </c>
      <c r="E405" t="inlineStr">
        <is>
          <t>ÅSELE</t>
        </is>
      </c>
      <c r="G405" t="n">
        <v>1.8</v>
      </c>
      <c r="H405" t="n">
        <v>0</v>
      </c>
      <c r="I405" t="n">
        <v>0</v>
      </c>
      <c r="J405" t="n">
        <v>0</v>
      </c>
      <c r="K405" t="n">
        <v>0</v>
      </c>
      <c r="L405" t="n">
        <v>0</v>
      </c>
      <c r="M405" t="n">
        <v>0</v>
      </c>
      <c r="N405" t="n">
        <v>0</v>
      </c>
      <c r="O405" t="n">
        <v>0</v>
      </c>
      <c r="P405" t="n">
        <v>0</v>
      </c>
      <c r="Q405" t="n">
        <v>0</v>
      </c>
      <c r="R405" s="2" t="inlineStr"/>
    </row>
    <row r="406" ht="15" customHeight="1">
      <c r="A406" t="inlineStr">
        <is>
          <t>A 41408-2023</t>
        </is>
      </c>
      <c r="B406" s="1" t="n">
        <v>45174</v>
      </c>
      <c r="C406" s="1" t="n">
        <v>45883</v>
      </c>
      <c r="D406" t="inlineStr">
        <is>
          <t>VÄSTERBOTTENS LÄN</t>
        </is>
      </c>
      <c r="E406" t="inlineStr">
        <is>
          <t>ÅSELE</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22935-2024</t>
        </is>
      </c>
      <c r="B407" s="1" t="n">
        <v>45448.94409722222</v>
      </c>
      <c r="C407" s="1" t="n">
        <v>45883</v>
      </c>
      <c r="D407" t="inlineStr">
        <is>
          <t>VÄSTERBOTTENS LÄN</t>
        </is>
      </c>
      <c r="E407" t="inlineStr">
        <is>
          <t>ÅSELE</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7475-2025</t>
        </is>
      </c>
      <c r="B408" s="1" t="n">
        <v>45705.46724537037</v>
      </c>
      <c r="C408" s="1" t="n">
        <v>45883</v>
      </c>
      <c r="D408" t="inlineStr">
        <is>
          <t>VÄSTERBOTTENS LÄN</t>
        </is>
      </c>
      <c r="E408" t="inlineStr">
        <is>
          <t>ÅSELE</t>
        </is>
      </c>
      <c r="G408" t="n">
        <v>4.4</v>
      </c>
      <c r="H408" t="n">
        <v>0</v>
      </c>
      <c r="I408" t="n">
        <v>0</v>
      </c>
      <c r="J408" t="n">
        <v>0</v>
      </c>
      <c r="K408" t="n">
        <v>0</v>
      </c>
      <c r="L408" t="n">
        <v>0</v>
      </c>
      <c r="M408" t="n">
        <v>0</v>
      </c>
      <c r="N408" t="n">
        <v>0</v>
      </c>
      <c r="O408" t="n">
        <v>0</v>
      </c>
      <c r="P408" t="n">
        <v>0</v>
      </c>
      <c r="Q408" t="n">
        <v>0</v>
      </c>
      <c r="R408" s="2" t="inlineStr"/>
    </row>
    <row r="409" ht="15" customHeight="1">
      <c r="A409" t="inlineStr">
        <is>
          <t>A 7621-2025</t>
        </is>
      </c>
      <c r="B409" s="1" t="n">
        <v>45705.71922453704</v>
      </c>
      <c r="C409" s="1" t="n">
        <v>45883</v>
      </c>
      <c r="D409" t="inlineStr">
        <is>
          <t>VÄSTERBOTTENS LÄN</t>
        </is>
      </c>
      <c r="E409" t="inlineStr">
        <is>
          <t>ÅSELE</t>
        </is>
      </c>
      <c r="G409" t="n">
        <v>5.9</v>
      </c>
      <c r="H409" t="n">
        <v>0</v>
      </c>
      <c r="I409" t="n">
        <v>0</v>
      </c>
      <c r="J409" t="n">
        <v>0</v>
      </c>
      <c r="K409" t="n">
        <v>0</v>
      </c>
      <c r="L409" t="n">
        <v>0</v>
      </c>
      <c r="M409" t="n">
        <v>0</v>
      </c>
      <c r="N409" t="n">
        <v>0</v>
      </c>
      <c r="O409" t="n">
        <v>0</v>
      </c>
      <c r="P409" t="n">
        <v>0</v>
      </c>
      <c r="Q409" t="n">
        <v>0</v>
      </c>
      <c r="R409" s="2" t="inlineStr"/>
    </row>
    <row r="410" ht="15" customHeight="1">
      <c r="A410" t="inlineStr">
        <is>
          <t>A 21044-2025</t>
        </is>
      </c>
      <c r="B410" s="1" t="n">
        <v>45777.55259259259</v>
      </c>
      <c r="C410" s="1" t="n">
        <v>45883</v>
      </c>
      <c r="D410" t="inlineStr">
        <is>
          <t>VÄSTERBOTTENS LÄN</t>
        </is>
      </c>
      <c r="E410" t="inlineStr">
        <is>
          <t>ÅSELE</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50861-2023</t>
        </is>
      </c>
      <c r="B411" s="1" t="n">
        <v>45218.34753472222</v>
      </c>
      <c r="C411" s="1" t="n">
        <v>45883</v>
      </c>
      <c r="D411" t="inlineStr">
        <is>
          <t>VÄSTERBOTTENS LÄN</t>
        </is>
      </c>
      <c r="E411" t="inlineStr">
        <is>
          <t>ÅSELE</t>
        </is>
      </c>
      <c r="G411" t="n">
        <v>6.5</v>
      </c>
      <c r="H411" t="n">
        <v>0</v>
      </c>
      <c r="I411" t="n">
        <v>0</v>
      </c>
      <c r="J411" t="n">
        <v>0</v>
      </c>
      <c r="K411" t="n">
        <v>0</v>
      </c>
      <c r="L411" t="n">
        <v>0</v>
      </c>
      <c r="M411" t="n">
        <v>0</v>
      </c>
      <c r="N411" t="n">
        <v>0</v>
      </c>
      <c r="O411" t="n">
        <v>0</v>
      </c>
      <c r="P411" t="n">
        <v>0</v>
      </c>
      <c r="Q411" t="n">
        <v>0</v>
      </c>
      <c r="R411" s="2" t="inlineStr"/>
    </row>
    <row r="412" ht="15" customHeight="1">
      <c r="A412" t="inlineStr">
        <is>
          <t>A 8724-2025</t>
        </is>
      </c>
      <c r="B412" s="1" t="n">
        <v>45712.51121527778</v>
      </c>
      <c r="C412" s="1" t="n">
        <v>45883</v>
      </c>
      <c r="D412" t="inlineStr">
        <is>
          <t>VÄSTERBOTTENS LÄN</t>
        </is>
      </c>
      <c r="E412" t="inlineStr">
        <is>
          <t>ÅSELE</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48073-2023</t>
        </is>
      </c>
      <c r="B413" s="1" t="n">
        <v>45204</v>
      </c>
      <c r="C413" s="1" t="n">
        <v>45883</v>
      </c>
      <c r="D413" t="inlineStr">
        <is>
          <t>VÄSTERBOTTENS LÄN</t>
        </is>
      </c>
      <c r="E413" t="inlineStr">
        <is>
          <t>ÅSELE</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21095-2025</t>
        </is>
      </c>
      <c r="B414" s="1" t="n">
        <v>45777.63572916666</v>
      </c>
      <c r="C414" s="1" t="n">
        <v>45883</v>
      </c>
      <c r="D414" t="inlineStr">
        <is>
          <t>VÄSTERBOTTENS LÄN</t>
        </is>
      </c>
      <c r="E414" t="inlineStr">
        <is>
          <t>ÅSELE</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18605-2023</t>
        </is>
      </c>
      <c r="B415" s="1" t="n">
        <v>45041</v>
      </c>
      <c r="C415" s="1" t="n">
        <v>45883</v>
      </c>
      <c r="D415" t="inlineStr">
        <is>
          <t>VÄSTERBOTTENS LÄN</t>
        </is>
      </c>
      <c r="E415" t="inlineStr">
        <is>
          <t>ÅSELE</t>
        </is>
      </c>
      <c r="G415" t="n">
        <v>4.2</v>
      </c>
      <c r="H415" t="n">
        <v>0</v>
      </c>
      <c r="I415" t="n">
        <v>0</v>
      </c>
      <c r="J415" t="n">
        <v>0</v>
      </c>
      <c r="K415" t="n">
        <v>0</v>
      </c>
      <c r="L415" t="n">
        <v>0</v>
      </c>
      <c r="M415" t="n">
        <v>0</v>
      </c>
      <c r="N415" t="n">
        <v>0</v>
      </c>
      <c r="O415" t="n">
        <v>0</v>
      </c>
      <c r="P415" t="n">
        <v>0</v>
      </c>
      <c r="Q415" t="n">
        <v>0</v>
      </c>
      <c r="R415" s="2" t="inlineStr"/>
    </row>
    <row r="416" ht="15" customHeight="1">
      <c r="A416" t="inlineStr">
        <is>
          <t>A 50030-2024</t>
        </is>
      </c>
      <c r="B416" s="1" t="n">
        <v>45599.74957175926</v>
      </c>
      <c r="C416" s="1" t="n">
        <v>45883</v>
      </c>
      <c r="D416" t="inlineStr">
        <is>
          <t>VÄSTERBOTTENS LÄN</t>
        </is>
      </c>
      <c r="E416" t="inlineStr">
        <is>
          <t>ÅSELE</t>
        </is>
      </c>
      <c r="G416" t="n">
        <v>4.4</v>
      </c>
      <c r="H416" t="n">
        <v>0</v>
      </c>
      <c r="I416" t="n">
        <v>0</v>
      </c>
      <c r="J416" t="n">
        <v>0</v>
      </c>
      <c r="K416" t="n">
        <v>0</v>
      </c>
      <c r="L416" t="n">
        <v>0</v>
      </c>
      <c r="M416" t="n">
        <v>0</v>
      </c>
      <c r="N416" t="n">
        <v>0</v>
      </c>
      <c r="O416" t="n">
        <v>0</v>
      </c>
      <c r="P416" t="n">
        <v>0</v>
      </c>
      <c r="Q416" t="n">
        <v>0</v>
      </c>
      <c r="R416" s="2" t="inlineStr"/>
    </row>
    <row r="417" ht="15" customHeight="1">
      <c r="A417" t="inlineStr">
        <is>
          <t>A 21198-2025</t>
        </is>
      </c>
      <c r="B417" s="1" t="n">
        <v>45779</v>
      </c>
      <c r="C417" s="1" t="n">
        <v>45883</v>
      </c>
      <c r="D417" t="inlineStr">
        <is>
          <t>VÄSTERBOTTENS LÄN</t>
        </is>
      </c>
      <c r="E417" t="inlineStr">
        <is>
          <t>ÅSELE</t>
        </is>
      </c>
      <c r="F417" t="inlineStr">
        <is>
          <t>Allmännings- och besparingsskogar</t>
        </is>
      </c>
      <c r="G417" t="n">
        <v>5.9</v>
      </c>
      <c r="H417" t="n">
        <v>0</v>
      </c>
      <c r="I417" t="n">
        <v>0</v>
      </c>
      <c r="J417" t="n">
        <v>0</v>
      </c>
      <c r="K417" t="n">
        <v>0</v>
      </c>
      <c r="L417" t="n">
        <v>0</v>
      </c>
      <c r="M417" t="n">
        <v>0</v>
      </c>
      <c r="N417" t="n">
        <v>0</v>
      </c>
      <c r="O417" t="n">
        <v>0</v>
      </c>
      <c r="P417" t="n">
        <v>0</v>
      </c>
      <c r="Q417" t="n">
        <v>0</v>
      </c>
      <c r="R417" s="2" t="inlineStr"/>
    </row>
    <row r="418" ht="15" customHeight="1">
      <c r="A418" t="inlineStr">
        <is>
          <t>A 31193-2023</t>
        </is>
      </c>
      <c r="B418" s="1" t="n">
        <v>45113.94976851852</v>
      </c>
      <c r="C418" s="1" t="n">
        <v>45883</v>
      </c>
      <c r="D418" t="inlineStr">
        <is>
          <t>VÄSTERBOTTENS LÄN</t>
        </is>
      </c>
      <c r="E418" t="inlineStr">
        <is>
          <t>ÅSELE</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21219-2025</t>
        </is>
      </c>
      <c r="B419" s="1" t="n">
        <v>45779.4949537037</v>
      </c>
      <c r="C419" s="1" t="n">
        <v>45883</v>
      </c>
      <c r="D419" t="inlineStr">
        <is>
          <t>VÄSTERBOTTENS LÄN</t>
        </is>
      </c>
      <c r="E419" t="inlineStr">
        <is>
          <t>ÅSELE</t>
        </is>
      </c>
      <c r="F419" t="inlineStr">
        <is>
          <t>Holmen skog AB</t>
        </is>
      </c>
      <c r="G419" t="n">
        <v>4.6</v>
      </c>
      <c r="H419" t="n">
        <v>0</v>
      </c>
      <c r="I419" t="n">
        <v>0</v>
      </c>
      <c r="J419" t="n">
        <v>0</v>
      </c>
      <c r="K419" t="n">
        <v>0</v>
      </c>
      <c r="L419" t="n">
        <v>0</v>
      </c>
      <c r="M419" t="n">
        <v>0</v>
      </c>
      <c r="N419" t="n">
        <v>0</v>
      </c>
      <c r="O419" t="n">
        <v>0</v>
      </c>
      <c r="P419" t="n">
        <v>0</v>
      </c>
      <c r="Q419" t="n">
        <v>0</v>
      </c>
      <c r="R419" s="2" t="inlineStr"/>
    </row>
    <row r="420" ht="15" customHeight="1">
      <c r="A420" t="inlineStr">
        <is>
          <t>A 10772-2023</t>
        </is>
      </c>
      <c r="B420" s="1" t="n">
        <v>44988.93965277778</v>
      </c>
      <c r="C420" s="1" t="n">
        <v>45883</v>
      </c>
      <c r="D420" t="inlineStr">
        <is>
          <t>VÄSTERBOTTENS LÄN</t>
        </is>
      </c>
      <c r="E420" t="inlineStr">
        <is>
          <t>ÅSELE</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15082-2023</t>
        </is>
      </c>
      <c r="B421" s="1" t="n">
        <v>45016</v>
      </c>
      <c r="C421" s="1" t="n">
        <v>45883</v>
      </c>
      <c r="D421" t="inlineStr">
        <is>
          <t>VÄSTERBOTTENS LÄN</t>
        </is>
      </c>
      <c r="E421" t="inlineStr">
        <is>
          <t>ÅSELE</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45475-2024</t>
        </is>
      </c>
      <c r="B422" s="1" t="n">
        <v>45576.82554398148</v>
      </c>
      <c r="C422" s="1" t="n">
        <v>45883</v>
      </c>
      <c r="D422" t="inlineStr">
        <is>
          <t>VÄSTERBOTTENS LÄN</t>
        </is>
      </c>
      <c r="E422" t="inlineStr">
        <is>
          <t>ÅSELE</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48250-2024</t>
        </is>
      </c>
      <c r="B423" s="1" t="n">
        <v>45590</v>
      </c>
      <c r="C423" s="1" t="n">
        <v>45883</v>
      </c>
      <c r="D423" t="inlineStr">
        <is>
          <t>VÄSTERBOTTENS LÄN</t>
        </is>
      </c>
      <c r="E423" t="inlineStr">
        <is>
          <t>ÅSELE</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55657-2024</t>
        </is>
      </c>
      <c r="B424" s="1" t="n">
        <v>45622.63604166666</v>
      </c>
      <c r="C424" s="1" t="n">
        <v>45883</v>
      </c>
      <c r="D424" t="inlineStr">
        <is>
          <t>VÄSTERBOTTENS LÄN</t>
        </is>
      </c>
      <c r="E424" t="inlineStr">
        <is>
          <t>ÅSELE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22114-2024</t>
        </is>
      </c>
      <c r="B425" s="1" t="n">
        <v>45443</v>
      </c>
      <c r="C425" s="1" t="n">
        <v>45883</v>
      </c>
      <c r="D425" t="inlineStr">
        <is>
          <t>VÄSTERBOTTENS LÄN</t>
        </is>
      </c>
      <c r="E425" t="inlineStr">
        <is>
          <t>ÅSELE</t>
        </is>
      </c>
      <c r="F425" t="inlineStr">
        <is>
          <t>SCA</t>
        </is>
      </c>
      <c r="G425" t="n">
        <v>30.2</v>
      </c>
      <c r="H425" t="n">
        <v>0</v>
      </c>
      <c r="I425" t="n">
        <v>0</v>
      </c>
      <c r="J425" t="n">
        <v>0</v>
      </c>
      <c r="K425" t="n">
        <v>0</v>
      </c>
      <c r="L425" t="n">
        <v>0</v>
      </c>
      <c r="M425" t="n">
        <v>0</v>
      </c>
      <c r="N425" t="n">
        <v>0</v>
      </c>
      <c r="O425" t="n">
        <v>0</v>
      </c>
      <c r="P425" t="n">
        <v>0</v>
      </c>
      <c r="Q425" t="n">
        <v>0</v>
      </c>
      <c r="R425" s="2" t="inlineStr"/>
    </row>
    <row r="426" ht="15" customHeight="1">
      <c r="A426" t="inlineStr">
        <is>
          <t>A 8964-2025</t>
        </is>
      </c>
      <c r="B426" s="1" t="n">
        <v>45713</v>
      </c>
      <c r="C426" s="1" t="n">
        <v>45883</v>
      </c>
      <c r="D426" t="inlineStr">
        <is>
          <t>VÄSTERBOTTENS LÄN</t>
        </is>
      </c>
      <c r="E426" t="inlineStr">
        <is>
          <t>ÅSELE</t>
        </is>
      </c>
      <c r="F426" t="inlineStr">
        <is>
          <t>SCA</t>
        </is>
      </c>
      <c r="G426" t="n">
        <v>20.5</v>
      </c>
      <c r="H426" t="n">
        <v>0</v>
      </c>
      <c r="I426" t="n">
        <v>0</v>
      </c>
      <c r="J426" t="n">
        <v>0</v>
      </c>
      <c r="K426" t="n">
        <v>0</v>
      </c>
      <c r="L426" t="n">
        <v>0</v>
      </c>
      <c r="M426" t="n">
        <v>0</v>
      </c>
      <c r="N426" t="n">
        <v>0</v>
      </c>
      <c r="O426" t="n">
        <v>0</v>
      </c>
      <c r="P426" t="n">
        <v>0</v>
      </c>
      <c r="Q426" t="n">
        <v>0</v>
      </c>
      <c r="R426" s="2" t="inlineStr"/>
    </row>
    <row r="427" ht="15" customHeight="1">
      <c r="A427" t="inlineStr">
        <is>
          <t>A 28962-2024</t>
        </is>
      </c>
      <c r="B427" s="1" t="n">
        <v>45481.41788194444</v>
      </c>
      <c r="C427" s="1" t="n">
        <v>45883</v>
      </c>
      <c r="D427" t="inlineStr">
        <is>
          <t>VÄSTERBOTTENS LÄN</t>
        </is>
      </c>
      <c r="E427" t="inlineStr">
        <is>
          <t>ÅSELE</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29511-2024</t>
        </is>
      </c>
      <c r="B428" s="1" t="n">
        <v>45484</v>
      </c>
      <c r="C428" s="1" t="n">
        <v>45883</v>
      </c>
      <c r="D428" t="inlineStr">
        <is>
          <t>VÄSTERBOTTENS LÄN</t>
        </is>
      </c>
      <c r="E428" t="inlineStr">
        <is>
          <t>ÅSELE</t>
        </is>
      </c>
      <c r="G428" t="n">
        <v>0.2</v>
      </c>
      <c r="H428" t="n">
        <v>0</v>
      </c>
      <c r="I428" t="n">
        <v>0</v>
      </c>
      <c r="J428" t="n">
        <v>0</v>
      </c>
      <c r="K428" t="n">
        <v>0</v>
      </c>
      <c r="L428" t="n">
        <v>0</v>
      </c>
      <c r="M428" t="n">
        <v>0</v>
      </c>
      <c r="N428" t="n">
        <v>0</v>
      </c>
      <c r="O428" t="n">
        <v>0</v>
      </c>
      <c r="P428" t="n">
        <v>0</v>
      </c>
      <c r="Q428" t="n">
        <v>0</v>
      </c>
      <c r="R428" s="2" t="inlineStr"/>
    </row>
    <row r="429" ht="15" customHeight="1">
      <c r="A429" t="inlineStr">
        <is>
          <t>A 29517-2024</t>
        </is>
      </c>
      <c r="B429" s="1" t="n">
        <v>45484</v>
      </c>
      <c r="C429" s="1" t="n">
        <v>45883</v>
      </c>
      <c r="D429" t="inlineStr">
        <is>
          <t>VÄSTERBOTTENS LÄN</t>
        </is>
      </c>
      <c r="E429" t="inlineStr">
        <is>
          <t>ÅSELE</t>
        </is>
      </c>
      <c r="G429" t="n">
        <v>0.7</v>
      </c>
      <c r="H429" t="n">
        <v>0</v>
      </c>
      <c r="I429" t="n">
        <v>0</v>
      </c>
      <c r="J429" t="n">
        <v>0</v>
      </c>
      <c r="K429" t="n">
        <v>0</v>
      </c>
      <c r="L429" t="n">
        <v>0</v>
      </c>
      <c r="M429" t="n">
        <v>0</v>
      </c>
      <c r="N429" t="n">
        <v>0</v>
      </c>
      <c r="O429" t="n">
        <v>0</v>
      </c>
      <c r="P429" t="n">
        <v>0</v>
      </c>
      <c r="Q429" t="n">
        <v>0</v>
      </c>
      <c r="R429" s="2" t="inlineStr"/>
    </row>
    <row r="430" ht="15" customHeight="1">
      <c r="A430" t="inlineStr">
        <is>
          <t>A 6283-2025</t>
        </is>
      </c>
      <c r="B430" s="1" t="n">
        <v>45698.63582175926</v>
      </c>
      <c r="C430" s="1" t="n">
        <v>45883</v>
      </c>
      <c r="D430" t="inlineStr">
        <is>
          <t>VÄSTERBOTTENS LÄN</t>
        </is>
      </c>
      <c r="E430" t="inlineStr">
        <is>
          <t>ÅSELE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20397-2025</t>
        </is>
      </c>
      <c r="B431" s="1" t="n">
        <v>45775.45503472222</v>
      </c>
      <c r="C431" s="1" t="n">
        <v>45883</v>
      </c>
      <c r="D431" t="inlineStr">
        <is>
          <t>VÄSTERBOTTENS LÄN</t>
        </is>
      </c>
      <c r="E431" t="inlineStr">
        <is>
          <t>ÅSELE</t>
        </is>
      </c>
      <c r="G431" t="n">
        <v>11.9</v>
      </c>
      <c r="H431" t="n">
        <v>0</v>
      </c>
      <c r="I431" t="n">
        <v>0</v>
      </c>
      <c r="J431" t="n">
        <v>0</v>
      </c>
      <c r="K431" t="n">
        <v>0</v>
      </c>
      <c r="L431" t="n">
        <v>0</v>
      </c>
      <c r="M431" t="n">
        <v>0</v>
      </c>
      <c r="N431" t="n">
        <v>0</v>
      </c>
      <c r="O431" t="n">
        <v>0</v>
      </c>
      <c r="P431" t="n">
        <v>0</v>
      </c>
      <c r="Q431" t="n">
        <v>0</v>
      </c>
      <c r="R431" s="2" t="inlineStr"/>
    </row>
    <row r="432" ht="15" customHeight="1">
      <c r="A432" t="inlineStr">
        <is>
          <t>A 32308-2023</t>
        </is>
      </c>
      <c r="B432" s="1" t="n">
        <v>45120.43883101852</v>
      </c>
      <c r="C432" s="1" t="n">
        <v>45883</v>
      </c>
      <c r="D432" t="inlineStr">
        <is>
          <t>VÄSTERBOTTENS LÄN</t>
        </is>
      </c>
      <c r="E432" t="inlineStr">
        <is>
          <t>ÅSELE</t>
        </is>
      </c>
      <c r="F432" t="inlineStr">
        <is>
          <t>Sveaskog</t>
        </is>
      </c>
      <c r="G432" t="n">
        <v>22.9</v>
      </c>
      <c r="H432" t="n">
        <v>0</v>
      </c>
      <c r="I432" t="n">
        <v>0</v>
      </c>
      <c r="J432" t="n">
        <v>0</v>
      </c>
      <c r="K432" t="n">
        <v>0</v>
      </c>
      <c r="L432" t="n">
        <v>0</v>
      </c>
      <c r="M432" t="n">
        <v>0</v>
      </c>
      <c r="N432" t="n">
        <v>0</v>
      </c>
      <c r="O432" t="n">
        <v>0</v>
      </c>
      <c r="P432" t="n">
        <v>0</v>
      </c>
      <c r="Q432" t="n">
        <v>0</v>
      </c>
      <c r="R432" s="2" t="inlineStr"/>
    </row>
    <row r="433" ht="15" customHeight="1">
      <c r="A433" t="inlineStr">
        <is>
          <t>A 50151-2024</t>
        </is>
      </c>
      <c r="B433" s="1" t="n">
        <v>45600.45456018519</v>
      </c>
      <c r="C433" s="1" t="n">
        <v>45883</v>
      </c>
      <c r="D433" t="inlineStr">
        <is>
          <t>VÄSTERBOTTENS LÄN</t>
        </is>
      </c>
      <c r="E433" t="inlineStr">
        <is>
          <t>ÅSELE</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25553-2024</t>
        </is>
      </c>
      <c r="B434" s="1" t="n">
        <v>45463.57846064815</v>
      </c>
      <c r="C434" s="1" t="n">
        <v>45883</v>
      </c>
      <c r="D434" t="inlineStr">
        <is>
          <t>VÄSTERBOTTENS LÄN</t>
        </is>
      </c>
      <c r="E434" t="inlineStr">
        <is>
          <t>ÅSELE</t>
        </is>
      </c>
      <c r="F434" t="inlineStr">
        <is>
          <t>Sveaskog</t>
        </is>
      </c>
      <c r="G434" t="n">
        <v>13.5</v>
      </c>
      <c r="H434" t="n">
        <v>0</v>
      </c>
      <c r="I434" t="n">
        <v>0</v>
      </c>
      <c r="J434" t="n">
        <v>0</v>
      </c>
      <c r="K434" t="n">
        <v>0</v>
      </c>
      <c r="L434" t="n">
        <v>0</v>
      </c>
      <c r="M434" t="n">
        <v>0</v>
      </c>
      <c r="N434" t="n">
        <v>0</v>
      </c>
      <c r="O434" t="n">
        <v>0</v>
      </c>
      <c r="P434" t="n">
        <v>0</v>
      </c>
      <c r="Q434" t="n">
        <v>0</v>
      </c>
      <c r="R434" s="2" t="inlineStr"/>
    </row>
    <row r="435" ht="15" customHeight="1">
      <c r="A435" t="inlineStr">
        <is>
          <t>A 41402-2024</t>
        </is>
      </c>
      <c r="B435" s="1" t="n">
        <v>45560.33498842592</v>
      </c>
      <c r="C435" s="1" t="n">
        <v>45883</v>
      </c>
      <c r="D435" t="inlineStr">
        <is>
          <t>VÄSTERBOTTENS LÄN</t>
        </is>
      </c>
      <c r="E435" t="inlineStr">
        <is>
          <t>ÅSELE</t>
        </is>
      </c>
      <c r="F435" t="inlineStr">
        <is>
          <t>Holmen skog AB</t>
        </is>
      </c>
      <c r="G435" t="n">
        <v>4.5</v>
      </c>
      <c r="H435" t="n">
        <v>0</v>
      </c>
      <c r="I435" t="n">
        <v>0</v>
      </c>
      <c r="J435" t="n">
        <v>0</v>
      </c>
      <c r="K435" t="n">
        <v>0</v>
      </c>
      <c r="L435" t="n">
        <v>0</v>
      </c>
      <c r="M435" t="n">
        <v>0</v>
      </c>
      <c r="N435" t="n">
        <v>0</v>
      </c>
      <c r="O435" t="n">
        <v>0</v>
      </c>
      <c r="P435" t="n">
        <v>0</v>
      </c>
      <c r="Q435" t="n">
        <v>0</v>
      </c>
      <c r="R435" s="2" t="inlineStr"/>
    </row>
    <row r="436" ht="15" customHeight="1">
      <c r="A436" t="inlineStr">
        <is>
          <t>A 5249-2024</t>
        </is>
      </c>
      <c r="B436" s="1" t="n">
        <v>45330.93196759259</v>
      </c>
      <c r="C436" s="1" t="n">
        <v>45883</v>
      </c>
      <c r="D436" t="inlineStr">
        <is>
          <t>VÄSTERBOTTENS LÄN</t>
        </is>
      </c>
      <c r="E436" t="inlineStr">
        <is>
          <t>ÅSELE</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4084-2023</t>
        </is>
      </c>
      <c r="B437" s="1" t="n">
        <v>44952</v>
      </c>
      <c r="C437" s="1" t="n">
        <v>45883</v>
      </c>
      <c r="D437" t="inlineStr">
        <is>
          <t>VÄSTERBOTTENS LÄN</t>
        </is>
      </c>
      <c r="E437" t="inlineStr">
        <is>
          <t>ÅSELE</t>
        </is>
      </c>
      <c r="G437" t="n">
        <v>4.5</v>
      </c>
      <c r="H437" t="n">
        <v>0</v>
      </c>
      <c r="I437" t="n">
        <v>0</v>
      </c>
      <c r="J437" t="n">
        <v>0</v>
      </c>
      <c r="K437" t="n">
        <v>0</v>
      </c>
      <c r="L437" t="n">
        <v>0</v>
      </c>
      <c r="M437" t="n">
        <v>0</v>
      </c>
      <c r="N437" t="n">
        <v>0</v>
      </c>
      <c r="O437" t="n">
        <v>0</v>
      </c>
      <c r="P437" t="n">
        <v>0</v>
      </c>
      <c r="Q437" t="n">
        <v>0</v>
      </c>
      <c r="R437" s="2" t="inlineStr"/>
    </row>
    <row r="438" ht="15" customHeight="1">
      <c r="A438" t="inlineStr">
        <is>
          <t>A 4921-2024</t>
        </is>
      </c>
      <c r="B438" s="1" t="n">
        <v>45329</v>
      </c>
      <c r="C438" s="1" t="n">
        <v>45883</v>
      </c>
      <c r="D438" t="inlineStr">
        <is>
          <t>VÄSTERBOTTENS LÄN</t>
        </is>
      </c>
      <c r="E438" t="inlineStr">
        <is>
          <t>ÅSELE</t>
        </is>
      </c>
      <c r="F438" t="inlineStr">
        <is>
          <t>Övriga Aktiebolag</t>
        </is>
      </c>
      <c r="G438" t="n">
        <v>7.9</v>
      </c>
      <c r="H438" t="n">
        <v>0</v>
      </c>
      <c r="I438" t="n">
        <v>0</v>
      </c>
      <c r="J438" t="n">
        <v>0</v>
      </c>
      <c r="K438" t="n">
        <v>0</v>
      </c>
      <c r="L438" t="n">
        <v>0</v>
      </c>
      <c r="M438" t="n">
        <v>0</v>
      </c>
      <c r="N438" t="n">
        <v>0</v>
      </c>
      <c r="O438" t="n">
        <v>0</v>
      </c>
      <c r="P438" t="n">
        <v>0</v>
      </c>
      <c r="Q438" t="n">
        <v>0</v>
      </c>
      <c r="R438" s="2" t="inlineStr"/>
    </row>
    <row r="439" ht="15" customHeight="1">
      <c r="A439" t="inlineStr">
        <is>
          <t>A 41300-2024</t>
        </is>
      </c>
      <c r="B439" s="1" t="n">
        <v>45559.61655092592</v>
      </c>
      <c r="C439" s="1" t="n">
        <v>45883</v>
      </c>
      <c r="D439" t="inlineStr">
        <is>
          <t>VÄSTERBOTTENS LÄN</t>
        </is>
      </c>
      <c r="E439" t="inlineStr">
        <is>
          <t>ÅSELE</t>
        </is>
      </c>
      <c r="F439" t="inlineStr">
        <is>
          <t>Naturvårdsverket</t>
        </is>
      </c>
      <c r="G439" t="n">
        <v>3.1</v>
      </c>
      <c r="H439" t="n">
        <v>0</v>
      </c>
      <c r="I439" t="n">
        <v>0</v>
      </c>
      <c r="J439" t="n">
        <v>0</v>
      </c>
      <c r="K439" t="n">
        <v>0</v>
      </c>
      <c r="L439" t="n">
        <v>0</v>
      </c>
      <c r="M439" t="n">
        <v>0</v>
      </c>
      <c r="N439" t="n">
        <v>0</v>
      </c>
      <c r="O439" t="n">
        <v>0</v>
      </c>
      <c r="P439" t="n">
        <v>0</v>
      </c>
      <c r="Q439" t="n">
        <v>0</v>
      </c>
      <c r="R439" s="2" t="inlineStr"/>
    </row>
    <row r="440" ht="15" customHeight="1">
      <c r="A440" t="inlineStr">
        <is>
          <t>A 41321-2024</t>
        </is>
      </c>
      <c r="B440" s="1" t="n">
        <v>45559.64984953704</v>
      </c>
      <c r="C440" s="1" t="n">
        <v>45883</v>
      </c>
      <c r="D440" t="inlineStr">
        <is>
          <t>VÄSTERBOTTENS LÄN</t>
        </is>
      </c>
      <c r="E440" t="inlineStr">
        <is>
          <t>ÅSELE</t>
        </is>
      </c>
      <c r="F440" t="inlineStr">
        <is>
          <t>Naturvårdsverket</t>
        </is>
      </c>
      <c r="G440" t="n">
        <v>1.3</v>
      </c>
      <c r="H440" t="n">
        <v>0</v>
      </c>
      <c r="I440" t="n">
        <v>0</v>
      </c>
      <c r="J440" t="n">
        <v>0</v>
      </c>
      <c r="K440" t="n">
        <v>0</v>
      </c>
      <c r="L440" t="n">
        <v>0</v>
      </c>
      <c r="M440" t="n">
        <v>0</v>
      </c>
      <c r="N440" t="n">
        <v>0</v>
      </c>
      <c r="O440" t="n">
        <v>0</v>
      </c>
      <c r="P440" t="n">
        <v>0</v>
      </c>
      <c r="Q440" t="n">
        <v>0</v>
      </c>
      <c r="R440" s="2" t="inlineStr"/>
    </row>
    <row r="441" ht="15" customHeight="1">
      <c r="A441" t="inlineStr">
        <is>
          <t>A 22486-2025</t>
        </is>
      </c>
      <c r="B441" s="1" t="n">
        <v>45786.64646990741</v>
      </c>
      <c r="C441" s="1" t="n">
        <v>45883</v>
      </c>
      <c r="D441" t="inlineStr">
        <is>
          <t>VÄSTERBOTTENS LÄN</t>
        </is>
      </c>
      <c r="E441" t="inlineStr">
        <is>
          <t>ÅSELE</t>
        </is>
      </c>
      <c r="F441" t="inlineStr">
        <is>
          <t>Holmen skog AB</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8722-2025</t>
        </is>
      </c>
      <c r="B442" s="1" t="n">
        <v>45712.51097222222</v>
      </c>
      <c r="C442" s="1" t="n">
        <v>45883</v>
      </c>
      <c r="D442" t="inlineStr">
        <is>
          <t>VÄSTERBOTTENS LÄN</t>
        </is>
      </c>
      <c r="E442" t="inlineStr">
        <is>
          <t>ÅSELE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27939-2024</t>
        </is>
      </c>
      <c r="B443" s="1" t="n">
        <v>45476</v>
      </c>
      <c r="C443" s="1" t="n">
        <v>45883</v>
      </c>
      <c r="D443" t="inlineStr">
        <is>
          <t>VÄSTERBOTTENS LÄN</t>
        </is>
      </c>
      <c r="E443" t="inlineStr">
        <is>
          <t>ÅSELE</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17672-2023</t>
        </is>
      </c>
      <c r="B444" s="1" t="n">
        <v>45036</v>
      </c>
      <c r="C444" s="1" t="n">
        <v>45883</v>
      </c>
      <c r="D444" t="inlineStr">
        <is>
          <t>VÄSTERBOTTENS LÄN</t>
        </is>
      </c>
      <c r="E444" t="inlineStr">
        <is>
          <t>ÅSELE</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20068-2022</t>
        </is>
      </c>
      <c r="B445" s="1" t="n">
        <v>44697</v>
      </c>
      <c r="C445" s="1" t="n">
        <v>45883</v>
      </c>
      <c r="D445" t="inlineStr">
        <is>
          <t>VÄSTERBOTTENS LÄN</t>
        </is>
      </c>
      <c r="E445" t="inlineStr">
        <is>
          <t>ÅSELE</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17698-2023</t>
        </is>
      </c>
      <c r="B446" s="1" t="n">
        <v>45035</v>
      </c>
      <c r="C446" s="1" t="n">
        <v>45883</v>
      </c>
      <c r="D446" t="inlineStr">
        <is>
          <t>VÄSTERBOTTENS LÄN</t>
        </is>
      </c>
      <c r="E446" t="inlineStr">
        <is>
          <t>ÅSELE</t>
        </is>
      </c>
      <c r="G446" t="n">
        <v>7</v>
      </c>
      <c r="H446" t="n">
        <v>0</v>
      </c>
      <c r="I446" t="n">
        <v>0</v>
      </c>
      <c r="J446" t="n">
        <v>0</v>
      </c>
      <c r="K446" t="n">
        <v>0</v>
      </c>
      <c r="L446" t="n">
        <v>0</v>
      </c>
      <c r="M446" t="n">
        <v>0</v>
      </c>
      <c r="N446" t="n">
        <v>0</v>
      </c>
      <c r="O446" t="n">
        <v>0</v>
      </c>
      <c r="P446" t="n">
        <v>0</v>
      </c>
      <c r="Q446" t="n">
        <v>0</v>
      </c>
      <c r="R446" s="2" t="inlineStr"/>
    </row>
    <row r="447" ht="15" customHeight="1">
      <c r="A447" t="inlineStr">
        <is>
          <t>A 20154-2025</t>
        </is>
      </c>
      <c r="B447" s="1" t="n">
        <v>45772.55646990741</v>
      </c>
      <c r="C447" s="1" t="n">
        <v>45883</v>
      </c>
      <c r="D447" t="inlineStr">
        <is>
          <t>VÄSTERBOTTENS LÄN</t>
        </is>
      </c>
      <c r="E447" t="inlineStr">
        <is>
          <t>ÅSELE</t>
        </is>
      </c>
      <c r="F447" t="inlineStr">
        <is>
          <t>Holmen skog AB</t>
        </is>
      </c>
      <c r="G447" t="n">
        <v>6.3</v>
      </c>
      <c r="H447" t="n">
        <v>0</v>
      </c>
      <c r="I447" t="n">
        <v>0</v>
      </c>
      <c r="J447" t="n">
        <v>0</v>
      </c>
      <c r="K447" t="n">
        <v>0</v>
      </c>
      <c r="L447" t="n">
        <v>0</v>
      </c>
      <c r="M447" t="n">
        <v>0</v>
      </c>
      <c r="N447" t="n">
        <v>0</v>
      </c>
      <c r="O447" t="n">
        <v>0</v>
      </c>
      <c r="P447" t="n">
        <v>0</v>
      </c>
      <c r="Q447" t="n">
        <v>0</v>
      </c>
      <c r="R447" s="2" t="inlineStr"/>
    </row>
    <row r="448" ht="15" customHeight="1">
      <c r="A448" t="inlineStr">
        <is>
          <t>A 73419-2021</t>
        </is>
      </c>
      <c r="B448" s="1" t="n">
        <v>44551</v>
      </c>
      <c r="C448" s="1" t="n">
        <v>45883</v>
      </c>
      <c r="D448" t="inlineStr">
        <is>
          <t>VÄSTERBOTTENS LÄN</t>
        </is>
      </c>
      <c r="E448" t="inlineStr">
        <is>
          <t>ÅSELE</t>
        </is>
      </c>
      <c r="G448" t="n">
        <v>14</v>
      </c>
      <c r="H448" t="n">
        <v>0</v>
      </c>
      <c r="I448" t="n">
        <v>0</v>
      </c>
      <c r="J448" t="n">
        <v>0</v>
      </c>
      <c r="K448" t="n">
        <v>0</v>
      </c>
      <c r="L448" t="n">
        <v>0</v>
      </c>
      <c r="M448" t="n">
        <v>0</v>
      </c>
      <c r="N448" t="n">
        <v>0</v>
      </c>
      <c r="O448" t="n">
        <v>0</v>
      </c>
      <c r="P448" t="n">
        <v>0</v>
      </c>
      <c r="Q448" t="n">
        <v>0</v>
      </c>
      <c r="R448" s="2" t="inlineStr"/>
    </row>
    <row r="449" ht="15" customHeight="1">
      <c r="A449" t="inlineStr">
        <is>
          <t>A 18792-2024</t>
        </is>
      </c>
      <c r="B449" s="1" t="n">
        <v>45426</v>
      </c>
      <c r="C449" s="1" t="n">
        <v>45883</v>
      </c>
      <c r="D449" t="inlineStr">
        <is>
          <t>VÄSTERBOTTENS LÄN</t>
        </is>
      </c>
      <c r="E449" t="inlineStr">
        <is>
          <t>ÅSELE</t>
        </is>
      </c>
      <c r="G449" t="n">
        <v>7.2</v>
      </c>
      <c r="H449" t="n">
        <v>0</v>
      </c>
      <c r="I449" t="n">
        <v>0</v>
      </c>
      <c r="J449" t="n">
        <v>0</v>
      </c>
      <c r="K449" t="n">
        <v>0</v>
      </c>
      <c r="L449" t="n">
        <v>0</v>
      </c>
      <c r="M449" t="n">
        <v>0</v>
      </c>
      <c r="N449" t="n">
        <v>0</v>
      </c>
      <c r="O449" t="n">
        <v>0</v>
      </c>
      <c r="P449" t="n">
        <v>0</v>
      </c>
      <c r="Q449" t="n">
        <v>0</v>
      </c>
      <c r="R449" s="2" t="inlineStr"/>
    </row>
    <row r="450" ht="15" customHeight="1">
      <c r="A450" t="inlineStr">
        <is>
          <t>A 13348-2023</t>
        </is>
      </c>
      <c r="B450" s="1" t="n">
        <v>45005</v>
      </c>
      <c r="C450" s="1" t="n">
        <v>45883</v>
      </c>
      <c r="D450" t="inlineStr">
        <is>
          <t>VÄSTERBOTTENS LÄN</t>
        </is>
      </c>
      <c r="E450" t="inlineStr">
        <is>
          <t>ÅSELE</t>
        </is>
      </c>
      <c r="G450" t="n">
        <v>4.5</v>
      </c>
      <c r="H450" t="n">
        <v>0</v>
      </c>
      <c r="I450" t="n">
        <v>0</v>
      </c>
      <c r="J450" t="n">
        <v>0</v>
      </c>
      <c r="K450" t="n">
        <v>0</v>
      </c>
      <c r="L450" t="n">
        <v>0</v>
      </c>
      <c r="M450" t="n">
        <v>0</v>
      </c>
      <c r="N450" t="n">
        <v>0</v>
      </c>
      <c r="O450" t="n">
        <v>0</v>
      </c>
      <c r="P450" t="n">
        <v>0</v>
      </c>
      <c r="Q450" t="n">
        <v>0</v>
      </c>
      <c r="R450" s="2" t="inlineStr"/>
    </row>
    <row r="451" ht="15" customHeight="1">
      <c r="A451" t="inlineStr">
        <is>
          <t>A 39731-2023</t>
        </is>
      </c>
      <c r="B451" s="1" t="n">
        <v>45167</v>
      </c>
      <c r="C451" s="1" t="n">
        <v>45883</v>
      </c>
      <c r="D451" t="inlineStr">
        <is>
          <t>VÄSTERBOTTENS LÄN</t>
        </is>
      </c>
      <c r="E451" t="inlineStr">
        <is>
          <t>ÅSELE</t>
        </is>
      </c>
      <c r="F451" t="inlineStr">
        <is>
          <t>Sveaskog</t>
        </is>
      </c>
      <c r="G451" t="n">
        <v>17.6</v>
      </c>
      <c r="H451" t="n">
        <v>0</v>
      </c>
      <c r="I451" t="n">
        <v>0</v>
      </c>
      <c r="J451" t="n">
        <v>0</v>
      </c>
      <c r="K451" t="n">
        <v>0</v>
      </c>
      <c r="L451" t="n">
        <v>0</v>
      </c>
      <c r="M451" t="n">
        <v>0</v>
      </c>
      <c r="N451" t="n">
        <v>0</v>
      </c>
      <c r="O451" t="n">
        <v>0</v>
      </c>
      <c r="P451" t="n">
        <v>0</v>
      </c>
      <c r="Q451" t="n">
        <v>0</v>
      </c>
      <c r="R451" s="2" t="inlineStr"/>
    </row>
    <row r="452" ht="15" customHeight="1">
      <c r="A452" t="inlineStr">
        <is>
          <t>A 28087-2023</t>
        </is>
      </c>
      <c r="B452" s="1" t="n">
        <v>45099</v>
      </c>
      <c r="C452" s="1" t="n">
        <v>45883</v>
      </c>
      <c r="D452" t="inlineStr">
        <is>
          <t>VÄSTERBOTTENS LÄN</t>
        </is>
      </c>
      <c r="E452" t="inlineStr">
        <is>
          <t>ÅSELE</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55623-2024</t>
        </is>
      </c>
      <c r="B453" s="1" t="n">
        <v>45622.59480324074</v>
      </c>
      <c r="C453" s="1" t="n">
        <v>45883</v>
      </c>
      <c r="D453" t="inlineStr">
        <is>
          <t>VÄSTERBOTTENS LÄN</t>
        </is>
      </c>
      <c r="E453" t="inlineStr">
        <is>
          <t>ÅSELE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22144-2025</t>
        </is>
      </c>
      <c r="B454" s="1" t="n">
        <v>45785.55258101852</v>
      </c>
      <c r="C454" s="1" t="n">
        <v>45883</v>
      </c>
      <c r="D454" t="inlineStr">
        <is>
          <t>VÄSTERBOTTENS LÄN</t>
        </is>
      </c>
      <c r="E454" t="inlineStr">
        <is>
          <t>ÅSELE</t>
        </is>
      </c>
      <c r="G454" t="n">
        <v>8.4</v>
      </c>
      <c r="H454" t="n">
        <v>0</v>
      </c>
      <c r="I454" t="n">
        <v>0</v>
      </c>
      <c r="J454" t="n">
        <v>0</v>
      </c>
      <c r="K454" t="n">
        <v>0</v>
      </c>
      <c r="L454" t="n">
        <v>0</v>
      </c>
      <c r="M454" t="n">
        <v>0</v>
      </c>
      <c r="N454" t="n">
        <v>0</v>
      </c>
      <c r="O454" t="n">
        <v>0</v>
      </c>
      <c r="P454" t="n">
        <v>0</v>
      </c>
      <c r="Q454" t="n">
        <v>0</v>
      </c>
      <c r="R454" s="2" t="inlineStr"/>
    </row>
    <row r="455" ht="15" customHeight="1">
      <c r="A455" t="inlineStr">
        <is>
          <t>A 39401-2022</t>
        </is>
      </c>
      <c r="B455" s="1" t="n">
        <v>44817.94894675926</v>
      </c>
      <c r="C455" s="1" t="n">
        <v>45883</v>
      </c>
      <c r="D455" t="inlineStr">
        <is>
          <t>VÄSTERBOTTENS LÄN</t>
        </is>
      </c>
      <c r="E455" t="inlineStr">
        <is>
          <t>ÅSELE</t>
        </is>
      </c>
      <c r="F455" t="inlineStr">
        <is>
          <t>SCA</t>
        </is>
      </c>
      <c r="G455" t="n">
        <v>3.2</v>
      </c>
      <c r="H455" t="n">
        <v>0</v>
      </c>
      <c r="I455" t="n">
        <v>0</v>
      </c>
      <c r="J455" t="n">
        <v>0</v>
      </c>
      <c r="K455" t="n">
        <v>0</v>
      </c>
      <c r="L455" t="n">
        <v>0</v>
      </c>
      <c r="M455" t="n">
        <v>0</v>
      </c>
      <c r="N455" t="n">
        <v>0</v>
      </c>
      <c r="O455" t="n">
        <v>0</v>
      </c>
      <c r="P455" t="n">
        <v>0</v>
      </c>
      <c r="Q455" t="n">
        <v>0</v>
      </c>
      <c r="R455" s="2" t="inlineStr"/>
    </row>
    <row r="456" ht="15" customHeight="1">
      <c r="A456" t="inlineStr">
        <is>
          <t>A 28955-2024</t>
        </is>
      </c>
      <c r="B456" s="1" t="n">
        <v>45481</v>
      </c>
      <c r="C456" s="1" t="n">
        <v>45883</v>
      </c>
      <c r="D456" t="inlineStr">
        <is>
          <t>VÄSTERBOTTENS LÄN</t>
        </is>
      </c>
      <c r="E456" t="inlineStr">
        <is>
          <t>ÅSELE</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28960-2024</t>
        </is>
      </c>
      <c r="B457" s="1" t="n">
        <v>45481</v>
      </c>
      <c r="C457" s="1" t="n">
        <v>45883</v>
      </c>
      <c r="D457" t="inlineStr">
        <is>
          <t>VÄSTERBOTTENS LÄN</t>
        </is>
      </c>
      <c r="E457" t="inlineStr">
        <is>
          <t>ÅSELE</t>
        </is>
      </c>
      <c r="F457" t="inlineStr">
        <is>
          <t>Sveaskog</t>
        </is>
      </c>
      <c r="G457" t="n">
        <v>4.3</v>
      </c>
      <c r="H457" t="n">
        <v>0</v>
      </c>
      <c r="I457" t="n">
        <v>0</v>
      </c>
      <c r="J457" t="n">
        <v>0</v>
      </c>
      <c r="K457" t="n">
        <v>0</v>
      </c>
      <c r="L457" t="n">
        <v>0</v>
      </c>
      <c r="M457" t="n">
        <v>0</v>
      </c>
      <c r="N457" t="n">
        <v>0</v>
      </c>
      <c r="O457" t="n">
        <v>0</v>
      </c>
      <c r="P457" t="n">
        <v>0</v>
      </c>
      <c r="Q457" t="n">
        <v>0</v>
      </c>
      <c r="R457" s="2" t="inlineStr"/>
    </row>
    <row r="458" ht="15" customHeight="1">
      <c r="A458" t="inlineStr">
        <is>
          <t>A 28961-2024</t>
        </is>
      </c>
      <c r="B458" s="1" t="n">
        <v>45481</v>
      </c>
      <c r="C458" s="1" t="n">
        <v>45883</v>
      </c>
      <c r="D458" t="inlineStr">
        <is>
          <t>VÄSTERBOTTENS LÄN</t>
        </is>
      </c>
      <c r="E458" t="inlineStr">
        <is>
          <t>ÅSELE</t>
        </is>
      </c>
      <c r="F458" t="inlineStr">
        <is>
          <t>Sveaskog</t>
        </is>
      </c>
      <c r="G458" t="n">
        <v>4.1</v>
      </c>
      <c r="H458" t="n">
        <v>0</v>
      </c>
      <c r="I458" t="n">
        <v>0</v>
      </c>
      <c r="J458" t="n">
        <v>0</v>
      </c>
      <c r="K458" t="n">
        <v>0</v>
      </c>
      <c r="L458" t="n">
        <v>0</v>
      </c>
      <c r="M458" t="n">
        <v>0</v>
      </c>
      <c r="N458" t="n">
        <v>0</v>
      </c>
      <c r="O458" t="n">
        <v>0</v>
      </c>
      <c r="P458" t="n">
        <v>0</v>
      </c>
      <c r="Q458" t="n">
        <v>0</v>
      </c>
      <c r="R458" s="2" t="inlineStr"/>
    </row>
    <row r="459" ht="15" customHeight="1">
      <c r="A459" t="inlineStr">
        <is>
          <t>A 56446-2024</t>
        </is>
      </c>
      <c r="B459" s="1" t="n">
        <v>45625.42743055556</v>
      </c>
      <c r="C459" s="1" t="n">
        <v>45883</v>
      </c>
      <c r="D459" t="inlineStr">
        <is>
          <t>VÄSTERBOTTENS LÄN</t>
        </is>
      </c>
      <c r="E459" t="inlineStr">
        <is>
          <t>ÅSELE</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743-2025</t>
        </is>
      </c>
      <c r="B460" s="1" t="n">
        <v>45665.4312037037</v>
      </c>
      <c r="C460" s="1" t="n">
        <v>45883</v>
      </c>
      <c r="D460" t="inlineStr">
        <is>
          <t>VÄSTERBOTTENS LÄN</t>
        </is>
      </c>
      <c r="E460" t="inlineStr">
        <is>
          <t>ÅSELE</t>
        </is>
      </c>
      <c r="F460" t="inlineStr">
        <is>
          <t>Naturvårdsverket</t>
        </is>
      </c>
      <c r="G460" t="n">
        <v>2</v>
      </c>
      <c r="H460" t="n">
        <v>0</v>
      </c>
      <c r="I460" t="n">
        <v>0</v>
      </c>
      <c r="J460" t="n">
        <v>0</v>
      </c>
      <c r="K460" t="n">
        <v>0</v>
      </c>
      <c r="L460" t="n">
        <v>0</v>
      </c>
      <c r="M460" t="n">
        <v>0</v>
      </c>
      <c r="N460" t="n">
        <v>0</v>
      </c>
      <c r="O460" t="n">
        <v>0</v>
      </c>
      <c r="P460" t="n">
        <v>0</v>
      </c>
      <c r="Q460" t="n">
        <v>0</v>
      </c>
      <c r="R460" s="2" t="inlineStr"/>
    </row>
    <row r="461" ht="15" customHeight="1">
      <c r="A461" t="inlineStr">
        <is>
          <t>A 28889-2024</t>
        </is>
      </c>
      <c r="B461" s="1" t="n">
        <v>45479.9489699074</v>
      </c>
      <c r="C461" s="1" t="n">
        <v>45883</v>
      </c>
      <c r="D461" t="inlineStr">
        <is>
          <t>VÄSTERBOTTENS LÄN</t>
        </is>
      </c>
      <c r="E461" t="inlineStr">
        <is>
          <t>ÅSELE</t>
        </is>
      </c>
      <c r="F461" t="inlineStr">
        <is>
          <t>SCA</t>
        </is>
      </c>
      <c r="G461" t="n">
        <v>10.9</v>
      </c>
      <c r="H461" t="n">
        <v>0</v>
      </c>
      <c r="I461" t="n">
        <v>0</v>
      </c>
      <c r="J461" t="n">
        <v>0</v>
      </c>
      <c r="K461" t="n">
        <v>0</v>
      </c>
      <c r="L461" t="n">
        <v>0</v>
      </c>
      <c r="M461" t="n">
        <v>0</v>
      </c>
      <c r="N461" t="n">
        <v>0</v>
      </c>
      <c r="O461" t="n">
        <v>0</v>
      </c>
      <c r="P461" t="n">
        <v>0</v>
      </c>
      <c r="Q461" t="n">
        <v>0</v>
      </c>
      <c r="R461" s="2" t="inlineStr"/>
    </row>
    <row r="462" ht="15" customHeight="1">
      <c r="A462" t="inlineStr">
        <is>
          <t>A 22908-2025</t>
        </is>
      </c>
      <c r="B462" s="1" t="n">
        <v>45790</v>
      </c>
      <c r="C462" s="1" t="n">
        <v>45883</v>
      </c>
      <c r="D462" t="inlineStr">
        <is>
          <t>VÄSTERBOTTENS LÄN</t>
        </is>
      </c>
      <c r="E462" t="inlineStr">
        <is>
          <t>ÅSELE</t>
        </is>
      </c>
      <c r="G462" t="n">
        <v>7.3</v>
      </c>
      <c r="H462" t="n">
        <v>0</v>
      </c>
      <c r="I462" t="n">
        <v>0</v>
      </c>
      <c r="J462" t="n">
        <v>0</v>
      </c>
      <c r="K462" t="n">
        <v>0</v>
      </c>
      <c r="L462" t="n">
        <v>0</v>
      </c>
      <c r="M462" t="n">
        <v>0</v>
      </c>
      <c r="N462" t="n">
        <v>0</v>
      </c>
      <c r="O462" t="n">
        <v>0</v>
      </c>
      <c r="P462" t="n">
        <v>0</v>
      </c>
      <c r="Q462" t="n">
        <v>0</v>
      </c>
      <c r="R462" s="2" t="inlineStr"/>
    </row>
    <row r="463" ht="15" customHeight="1">
      <c r="A463" t="inlineStr">
        <is>
          <t>A 7512-2023</t>
        </is>
      </c>
      <c r="B463" s="1" t="n">
        <v>44971.93078703704</v>
      </c>
      <c r="C463" s="1" t="n">
        <v>45883</v>
      </c>
      <c r="D463" t="inlineStr">
        <is>
          <t>VÄSTERBOTTENS LÄN</t>
        </is>
      </c>
      <c r="E463" t="inlineStr">
        <is>
          <t>ÅSELE</t>
        </is>
      </c>
      <c r="G463" t="n">
        <v>0.8</v>
      </c>
      <c r="H463" t="n">
        <v>0</v>
      </c>
      <c r="I463" t="n">
        <v>0</v>
      </c>
      <c r="J463" t="n">
        <v>0</v>
      </c>
      <c r="K463" t="n">
        <v>0</v>
      </c>
      <c r="L463" t="n">
        <v>0</v>
      </c>
      <c r="M463" t="n">
        <v>0</v>
      </c>
      <c r="N463" t="n">
        <v>0</v>
      </c>
      <c r="O463" t="n">
        <v>0</v>
      </c>
      <c r="P463" t="n">
        <v>0</v>
      </c>
      <c r="Q463" t="n">
        <v>0</v>
      </c>
      <c r="R463" s="2" t="inlineStr"/>
    </row>
    <row r="464" ht="15" customHeight="1">
      <c r="A464" t="inlineStr">
        <is>
          <t>A 1275-2025</t>
        </is>
      </c>
      <c r="B464" s="1" t="n">
        <v>45666</v>
      </c>
      <c r="C464" s="1" t="n">
        <v>45883</v>
      </c>
      <c r="D464" t="inlineStr">
        <is>
          <t>VÄSTERBOTTENS LÄN</t>
        </is>
      </c>
      <c r="E464" t="inlineStr">
        <is>
          <t>ÅSELE</t>
        </is>
      </c>
      <c r="G464" t="n">
        <v>8.1</v>
      </c>
      <c r="H464" t="n">
        <v>0</v>
      </c>
      <c r="I464" t="n">
        <v>0</v>
      </c>
      <c r="J464" t="n">
        <v>0</v>
      </c>
      <c r="K464" t="n">
        <v>0</v>
      </c>
      <c r="L464" t="n">
        <v>0</v>
      </c>
      <c r="M464" t="n">
        <v>0</v>
      </c>
      <c r="N464" t="n">
        <v>0</v>
      </c>
      <c r="O464" t="n">
        <v>0</v>
      </c>
      <c r="P464" t="n">
        <v>0</v>
      </c>
      <c r="Q464" t="n">
        <v>0</v>
      </c>
      <c r="R464" s="2" t="inlineStr"/>
    </row>
    <row r="465" ht="15" customHeight="1">
      <c r="A465" t="inlineStr">
        <is>
          <t>A 1733-2025</t>
        </is>
      </c>
      <c r="B465" s="1" t="n">
        <v>45671</v>
      </c>
      <c r="C465" s="1" t="n">
        <v>45883</v>
      </c>
      <c r="D465" t="inlineStr">
        <is>
          <t>VÄSTERBOTTENS LÄN</t>
        </is>
      </c>
      <c r="E465" t="inlineStr">
        <is>
          <t>ÅSELE</t>
        </is>
      </c>
      <c r="F465" t="inlineStr">
        <is>
          <t>Sveaskog</t>
        </is>
      </c>
      <c r="G465" t="n">
        <v>18.2</v>
      </c>
      <c r="H465" t="n">
        <v>0</v>
      </c>
      <c r="I465" t="n">
        <v>0</v>
      </c>
      <c r="J465" t="n">
        <v>0</v>
      </c>
      <c r="K465" t="n">
        <v>0</v>
      </c>
      <c r="L465" t="n">
        <v>0</v>
      </c>
      <c r="M465" t="n">
        <v>0</v>
      </c>
      <c r="N465" t="n">
        <v>0</v>
      </c>
      <c r="O465" t="n">
        <v>0</v>
      </c>
      <c r="P465" t="n">
        <v>0</v>
      </c>
      <c r="Q465" t="n">
        <v>0</v>
      </c>
      <c r="R465" s="2" t="inlineStr"/>
    </row>
    <row r="466" ht="15" customHeight="1">
      <c r="A466" t="inlineStr">
        <is>
          <t>A 23170-2025</t>
        </is>
      </c>
      <c r="B466" s="1" t="n">
        <v>45791.42770833334</v>
      </c>
      <c r="C466" s="1" t="n">
        <v>45883</v>
      </c>
      <c r="D466" t="inlineStr">
        <is>
          <t>VÄSTERBOTTENS LÄN</t>
        </is>
      </c>
      <c r="E466" t="inlineStr">
        <is>
          <t>ÅSELE</t>
        </is>
      </c>
      <c r="F466" t="inlineStr">
        <is>
          <t>SCA</t>
        </is>
      </c>
      <c r="G466" t="n">
        <v>6.4</v>
      </c>
      <c r="H466" t="n">
        <v>0</v>
      </c>
      <c r="I466" t="n">
        <v>0</v>
      </c>
      <c r="J466" t="n">
        <v>0</v>
      </c>
      <c r="K466" t="n">
        <v>0</v>
      </c>
      <c r="L466" t="n">
        <v>0</v>
      </c>
      <c r="M466" t="n">
        <v>0</v>
      </c>
      <c r="N466" t="n">
        <v>0</v>
      </c>
      <c r="O466" t="n">
        <v>0</v>
      </c>
      <c r="P466" t="n">
        <v>0</v>
      </c>
      <c r="Q466" t="n">
        <v>0</v>
      </c>
      <c r="R466" s="2" t="inlineStr"/>
    </row>
    <row r="467" ht="15" customHeight="1">
      <c r="A467" t="inlineStr">
        <is>
          <t>A 14925-2023</t>
        </is>
      </c>
      <c r="B467" s="1" t="n">
        <v>45014</v>
      </c>
      <c r="C467" s="1" t="n">
        <v>45883</v>
      </c>
      <c r="D467" t="inlineStr">
        <is>
          <t>VÄSTERBOTTENS LÄN</t>
        </is>
      </c>
      <c r="E467" t="inlineStr">
        <is>
          <t>ÅSELE</t>
        </is>
      </c>
      <c r="G467" t="n">
        <v>9.4</v>
      </c>
      <c r="H467" t="n">
        <v>0</v>
      </c>
      <c r="I467" t="n">
        <v>0</v>
      </c>
      <c r="J467" t="n">
        <v>0</v>
      </c>
      <c r="K467" t="n">
        <v>0</v>
      </c>
      <c r="L467" t="n">
        <v>0</v>
      </c>
      <c r="M467" t="n">
        <v>0</v>
      </c>
      <c r="N467" t="n">
        <v>0</v>
      </c>
      <c r="O467" t="n">
        <v>0</v>
      </c>
      <c r="P467" t="n">
        <v>0</v>
      </c>
      <c r="Q467" t="n">
        <v>0</v>
      </c>
      <c r="R467" s="2" t="inlineStr"/>
    </row>
    <row r="468" ht="15" customHeight="1">
      <c r="A468" t="inlineStr">
        <is>
          <t>A 30618-2023</t>
        </is>
      </c>
      <c r="B468" s="1" t="n">
        <v>45112.41425925926</v>
      </c>
      <c r="C468" s="1" t="n">
        <v>45883</v>
      </c>
      <c r="D468" t="inlineStr">
        <is>
          <t>VÄSTERBOTTENS LÄN</t>
        </is>
      </c>
      <c r="E468" t="inlineStr">
        <is>
          <t>ÅSELE</t>
        </is>
      </c>
      <c r="F468" t="inlineStr">
        <is>
          <t>Sveaskog</t>
        </is>
      </c>
      <c r="G468" t="n">
        <v>18.7</v>
      </c>
      <c r="H468" t="n">
        <v>0</v>
      </c>
      <c r="I468" t="n">
        <v>0</v>
      </c>
      <c r="J468" t="n">
        <v>0</v>
      </c>
      <c r="K468" t="n">
        <v>0</v>
      </c>
      <c r="L468" t="n">
        <v>0</v>
      </c>
      <c r="M468" t="n">
        <v>0</v>
      </c>
      <c r="N468" t="n">
        <v>0</v>
      </c>
      <c r="O468" t="n">
        <v>0</v>
      </c>
      <c r="P468" t="n">
        <v>0</v>
      </c>
      <c r="Q468" t="n">
        <v>0</v>
      </c>
      <c r="R468" s="2" t="inlineStr"/>
    </row>
    <row r="469" ht="15" customHeight="1">
      <c r="A469" t="inlineStr">
        <is>
          <t>A 53679-2024</t>
        </is>
      </c>
      <c r="B469" s="1" t="n">
        <v>45615</v>
      </c>
      <c r="C469" s="1" t="n">
        <v>45883</v>
      </c>
      <c r="D469" t="inlineStr">
        <is>
          <t>VÄSTERBOTTENS LÄN</t>
        </is>
      </c>
      <c r="E469" t="inlineStr">
        <is>
          <t>ÅSELE</t>
        </is>
      </c>
      <c r="F469" t="inlineStr">
        <is>
          <t>SCA</t>
        </is>
      </c>
      <c r="G469" t="n">
        <v>5.2</v>
      </c>
      <c r="H469" t="n">
        <v>0</v>
      </c>
      <c r="I469" t="n">
        <v>0</v>
      </c>
      <c r="J469" t="n">
        <v>0</v>
      </c>
      <c r="K469" t="n">
        <v>0</v>
      </c>
      <c r="L469" t="n">
        <v>0</v>
      </c>
      <c r="M469" t="n">
        <v>0</v>
      </c>
      <c r="N469" t="n">
        <v>0</v>
      </c>
      <c r="O469" t="n">
        <v>0</v>
      </c>
      <c r="P469" t="n">
        <v>0</v>
      </c>
      <c r="Q469" t="n">
        <v>0</v>
      </c>
      <c r="R469" s="2" t="inlineStr"/>
    </row>
    <row r="470" ht="15" customHeight="1">
      <c r="A470" t="inlineStr">
        <is>
          <t>A 1136-2025</t>
        </is>
      </c>
      <c r="B470" s="1" t="n">
        <v>45666</v>
      </c>
      <c r="C470" s="1" t="n">
        <v>45883</v>
      </c>
      <c r="D470" t="inlineStr">
        <is>
          <t>VÄSTERBOTTENS LÄN</t>
        </is>
      </c>
      <c r="E470" t="inlineStr">
        <is>
          <t>ÅSELE</t>
        </is>
      </c>
      <c r="G470" t="n">
        <v>18.6</v>
      </c>
      <c r="H470" t="n">
        <v>0</v>
      </c>
      <c r="I470" t="n">
        <v>0</v>
      </c>
      <c r="J470" t="n">
        <v>0</v>
      </c>
      <c r="K470" t="n">
        <v>0</v>
      </c>
      <c r="L470" t="n">
        <v>0</v>
      </c>
      <c r="M470" t="n">
        <v>0</v>
      </c>
      <c r="N470" t="n">
        <v>0</v>
      </c>
      <c r="O470" t="n">
        <v>0</v>
      </c>
      <c r="P470" t="n">
        <v>0</v>
      </c>
      <c r="Q470" t="n">
        <v>0</v>
      </c>
      <c r="R470" s="2" t="inlineStr"/>
    </row>
    <row r="471" ht="15" customHeight="1">
      <c r="A471" t="inlineStr">
        <is>
          <t>A 42601-2024</t>
        </is>
      </c>
      <c r="B471" s="1" t="n">
        <v>45565</v>
      </c>
      <c r="C471" s="1" t="n">
        <v>45883</v>
      </c>
      <c r="D471" t="inlineStr">
        <is>
          <t>VÄSTERBOTTENS LÄN</t>
        </is>
      </c>
      <c r="E471" t="inlineStr">
        <is>
          <t>ÅSELE</t>
        </is>
      </c>
      <c r="F471" t="inlineStr">
        <is>
          <t>Holmen skog AB</t>
        </is>
      </c>
      <c r="G471" t="n">
        <v>8.6</v>
      </c>
      <c r="H471" t="n">
        <v>0</v>
      </c>
      <c r="I471" t="n">
        <v>0</v>
      </c>
      <c r="J471" t="n">
        <v>0</v>
      </c>
      <c r="K471" t="n">
        <v>0</v>
      </c>
      <c r="L471" t="n">
        <v>0</v>
      </c>
      <c r="M471" t="n">
        <v>0</v>
      </c>
      <c r="N471" t="n">
        <v>0</v>
      </c>
      <c r="O471" t="n">
        <v>0</v>
      </c>
      <c r="P471" t="n">
        <v>0</v>
      </c>
      <c r="Q471" t="n">
        <v>0</v>
      </c>
      <c r="R471" s="2" t="inlineStr"/>
    </row>
    <row r="472" ht="15" customHeight="1">
      <c r="A472" t="inlineStr">
        <is>
          <t>A 31348-2023</t>
        </is>
      </c>
      <c r="B472" s="1" t="n">
        <v>45114.4889699074</v>
      </c>
      <c r="C472" s="1" t="n">
        <v>45883</v>
      </c>
      <c r="D472" t="inlineStr">
        <is>
          <t>VÄSTERBOTTENS LÄN</t>
        </is>
      </c>
      <c r="E472" t="inlineStr">
        <is>
          <t>ÅSELE</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23824-2025</t>
        </is>
      </c>
      <c r="B473" s="1" t="n">
        <v>45793.59431712963</v>
      </c>
      <c r="C473" s="1" t="n">
        <v>45883</v>
      </c>
      <c r="D473" t="inlineStr">
        <is>
          <t>VÄSTERBOTTENS LÄN</t>
        </is>
      </c>
      <c r="E473" t="inlineStr">
        <is>
          <t>ÅSELE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23803-2025</t>
        </is>
      </c>
      <c r="B474" s="1" t="n">
        <v>45793.55854166667</v>
      </c>
      <c r="C474" s="1" t="n">
        <v>45883</v>
      </c>
      <c r="D474" t="inlineStr">
        <is>
          <t>VÄSTERBOTTENS LÄN</t>
        </is>
      </c>
      <c r="E474" t="inlineStr">
        <is>
          <t>ÅSELE</t>
        </is>
      </c>
      <c r="G474" t="n">
        <v>4.1</v>
      </c>
      <c r="H474" t="n">
        <v>0</v>
      </c>
      <c r="I474" t="n">
        <v>0</v>
      </c>
      <c r="J474" t="n">
        <v>0</v>
      </c>
      <c r="K474" t="n">
        <v>0</v>
      </c>
      <c r="L474" t="n">
        <v>0</v>
      </c>
      <c r="M474" t="n">
        <v>0</v>
      </c>
      <c r="N474" t="n">
        <v>0</v>
      </c>
      <c r="O474" t="n">
        <v>0</v>
      </c>
      <c r="P474" t="n">
        <v>0</v>
      </c>
      <c r="Q474" t="n">
        <v>0</v>
      </c>
      <c r="R474" s="2" t="inlineStr"/>
    </row>
    <row r="475" ht="15" customHeight="1">
      <c r="A475" t="inlineStr">
        <is>
          <t>A 20617-2024</t>
        </is>
      </c>
      <c r="B475" s="1" t="n">
        <v>45436</v>
      </c>
      <c r="C475" s="1" t="n">
        <v>45883</v>
      </c>
      <c r="D475" t="inlineStr">
        <is>
          <t>VÄSTERBOTTENS LÄN</t>
        </is>
      </c>
      <c r="E475" t="inlineStr">
        <is>
          <t>ÅSELE</t>
        </is>
      </c>
      <c r="F475" t="inlineStr">
        <is>
          <t>Holmen skog AB</t>
        </is>
      </c>
      <c r="G475" t="n">
        <v>2.6</v>
      </c>
      <c r="H475" t="n">
        <v>0</v>
      </c>
      <c r="I475" t="n">
        <v>0</v>
      </c>
      <c r="J475" t="n">
        <v>0</v>
      </c>
      <c r="K475" t="n">
        <v>0</v>
      </c>
      <c r="L475" t="n">
        <v>0</v>
      </c>
      <c r="M475" t="n">
        <v>0</v>
      </c>
      <c r="N475" t="n">
        <v>0</v>
      </c>
      <c r="O475" t="n">
        <v>0</v>
      </c>
      <c r="P475" t="n">
        <v>0</v>
      </c>
      <c r="Q475" t="n">
        <v>0</v>
      </c>
      <c r="R475" s="2" t="inlineStr"/>
    </row>
    <row r="476" ht="15" customHeight="1">
      <c r="A476" t="inlineStr">
        <is>
          <t>A 23737-2025</t>
        </is>
      </c>
      <c r="B476" s="1" t="n">
        <v>45793.42809027778</v>
      </c>
      <c r="C476" s="1" t="n">
        <v>45883</v>
      </c>
      <c r="D476" t="inlineStr">
        <is>
          <t>VÄSTERBOTTENS LÄN</t>
        </is>
      </c>
      <c r="E476" t="inlineStr">
        <is>
          <t>ÅSELE</t>
        </is>
      </c>
      <c r="F476" t="inlineStr">
        <is>
          <t>SCA</t>
        </is>
      </c>
      <c r="G476" t="n">
        <v>6.5</v>
      </c>
      <c r="H476" t="n">
        <v>0</v>
      </c>
      <c r="I476" t="n">
        <v>0</v>
      </c>
      <c r="J476" t="n">
        <v>0</v>
      </c>
      <c r="K476" t="n">
        <v>0</v>
      </c>
      <c r="L476" t="n">
        <v>0</v>
      </c>
      <c r="M476" t="n">
        <v>0</v>
      </c>
      <c r="N476" t="n">
        <v>0</v>
      </c>
      <c r="O476" t="n">
        <v>0</v>
      </c>
      <c r="P476" t="n">
        <v>0</v>
      </c>
      <c r="Q476" t="n">
        <v>0</v>
      </c>
      <c r="R476" s="2" t="inlineStr"/>
    </row>
    <row r="477" ht="15" customHeight="1">
      <c r="A477" t="inlineStr">
        <is>
          <t>A 16175-2025</t>
        </is>
      </c>
      <c r="B477" s="1" t="n">
        <v>45750.5587962963</v>
      </c>
      <c r="C477" s="1" t="n">
        <v>45883</v>
      </c>
      <c r="D477" t="inlineStr">
        <is>
          <t>VÄSTERBOTTENS LÄN</t>
        </is>
      </c>
      <c r="E477" t="inlineStr">
        <is>
          <t>ÅSELE</t>
        </is>
      </c>
      <c r="G477" t="n">
        <v>15.4</v>
      </c>
      <c r="H477" t="n">
        <v>0</v>
      </c>
      <c r="I477" t="n">
        <v>0</v>
      </c>
      <c r="J477" t="n">
        <v>0</v>
      </c>
      <c r="K477" t="n">
        <v>0</v>
      </c>
      <c r="L477" t="n">
        <v>0</v>
      </c>
      <c r="M477" t="n">
        <v>0</v>
      </c>
      <c r="N477" t="n">
        <v>0</v>
      </c>
      <c r="O477" t="n">
        <v>0</v>
      </c>
      <c r="P477" t="n">
        <v>0</v>
      </c>
      <c r="Q477" t="n">
        <v>0</v>
      </c>
      <c r="R477" s="2" t="inlineStr"/>
    </row>
    <row r="478" ht="15" customHeight="1">
      <c r="A478" t="inlineStr">
        <is>
          <t>A 31184-2023</t>
        </is>
      </c>
      <c r="B478" s="1" t="n">
        <v>45113</v>
      </c>
      <c r="C478" s="1" t="n">
        <v>45883</v>
      </c>
      <c r="D478" t="inlineStr">
        <is>
          <t>VÄSTERBOTTENS LÄN</t>
        </is>
      </c>
      <c r="E478" t="inlineStr">
        <is>
          <t>ÅSELE</t>
        </is>
      </c>
      <c r="F478" t="inlineStr">
        <is>
          <t>SCA</t>
        </is>
      </c>
      <c r="G478" t="n">
        <v>7.2</v>
      </c>
      <c r="H478" t="n">
        <v>0</v>
      </c>
      <c r="I478" t="n">
        <v>0</v>
      </c>
      <c r="J478" t="n">
        <v>0</v>
      </c>
      <c r="K478" t="n">
        <v>0</v>
      </c>
      <c r="L478" t="n">
        <v>0</v>
      </c>
      <c r="M478" t="n">
        <v>0</v>
      </c>
      <c r="N478" t="n">
        <v>0</v>
      </c>
      <c r="O478" t="n">
        <v>0</v>
      </c>
      <c r="P478" t="n">
        <v>0</v>
      </c>
      <c r="Q478" t="n">
        <v>0</v>
      </c>
      <c r="R478" s="2" t="inlineStr"/>
    </row>
    <row r="479" ht="15" customHeight="1">
      <c r="A479" t="inlineStr">
        <is>
          <t>A 917-2025</t>
        </is>
      </c>
      <c r="B479" s="1" t="n">
        <v>45665.77418981482</v>
      </c>
      <c r="C479" s="1" t="n">
        <v>45883</v>
      </c>
      <c r="D479" t="inlineStr">
        <is>
          <t>VÄSTERBOTTENS LÄN</t>
        </is>
      </c>
      <c r="E479" t="inlineStr">
        <is>
          <t>ÅSELE</t>
        </is>
      </c>
      <c r="G479" t="n">
        <v>1.8</v>
      </c>
      <c r="H479" t="n">
        <v>0</v>
      </c>
      <c r="I479" t="n">
        <v>0</v>
      </c>
      <c r="J479" t="n">
        <v>0</v>
      </c>
      <c r="K479" t="n">
        <v>0</v>
      </c>
      <c r="L479" t="n">
        <v>0</v>
      </c>
      <c r="M479" t="n">
        <v>0</v>
      </c>
      <c r="N479" t="n">
        <v>0</v>
      </c>
      <c r="O479" t="n">
        <v>0</v>
      </c>
      <c r="P479" t="n">
        <v>0</v>
      </c>
      <c r="Q479" t="n">
        <v>0</v>
      </c>
      <c r="R479" s="2" t="inlineStr"/>
    </row>
    <row r="480" ht="15" customHeight="1">
      <c r="A480" t="inlineStr">
        <is>
          <t>A 23996-2025</t>
        </is>
      </c>
      <c r="B480" s="1" t="n">
        <v>45796.4191087963</v>
      </c>
      <c r="C480" s="1" t="n">
        <v>45883</v>
      </c>
      <c r="D480" t="inlineStr">
        <is>
          <t>VÄSTERBOTTENS LÄN</t>
        </is>
      </c>
      <c r="E480" t="inlineStr">
        <is>
          <t>ÅSELE</t>
        </is>
      </c>
      <c r="F480" t="inlineStr">
        <is>
          <t>Holmen skog AB</t>
        </is>
      </c>
      <c r="G480" t="n">
        <v>19.7</v>
      </c>
      <c r="H480" t="n">
        <v>0</v>
      </c>
      <c r="I480" t="n">
        <v>0</v>
      </c>
      <c r="J480" t="n">
        <v>0</v>
      </c>
      <c r="K480" t="n">
        <v>0</v>
      </c>
      <c r="L480" t="n">
        <v>0</v>
      </c>
      <c r="M480" t="n">
        <v>0</v>
      </c>
      <c r="N480" t="n">
        <v>0</v>
      </c>
      <c r="O480" t="n">
        <v>0</v>
      </c>
      <c r="P480" t="n">
        <v>0</v>
      </c>
      <c r="Q480" t="n">
        <v>0</v>
      </c>
      <c r="R480" s="2" t="inlineStr"/>
    </row>
    <row r="481" ht="15" customHeight="1">
      <c r="A481" t="inlineStr">
        <is>
          <t>A 58807-2024</t>
        </is>
      </c>
      <c r="B481" s="1" t="n">
        <v>45636</v>
      </c>
      <c r="C481" s="1" t="n">
        <v>45883</v>
      </c>
      <c r="D481" t="inlineStr">
        <is>
          <t>VÄSTERBOTTENS LÄN</t>
        </is>
      </c>
      <c r="E481" t="inlineStr">
        <is>
          <t>ÅSELE</t>
        </is>
      </c>
      <c r="F481" t="inlineStr">
        <is>
          <t>SCA</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26030-2021</t>
        </is>
      </c>
      <c r="B482" s="1" t="n">
        <v>44344</v>
      </c>
      <c r="C482" s="1" t="n">
        <v>45883</v>
      </c>
      <c r="D482" t="inlineStr">
        <is>
          <t>VÄSTERBOTTENS LÄN</t>
        </is>
      </c>
      <c r="E482" t="inlineStr">
        <is>
          <t>ÅSELE</t>
        </is>
      </c>
      <c r="G482" t="n">
        <v>1.1</v>
      </c>
      <c r="H482" t="n">
        <v>0</v>
      </c>
      <c r="I482" t="n">
        <v>0</v>
      </c>
      <c r="J482" t="n">
        <v>0</v>
      </c>
      <c r="K482" t="n">
        <v>0</v>
      </c>
      <c r="L482" t="n">
        <v>0</v>
      </c>
      <c r="M482" t="n">
        <v>0</v>
      </c>
      <c r="N482" t="n">
        <v>0</v>
      </c>
      <c r="O482" t="n">
        <v>0</v>
      </c>
      <c r="P482" t="n">
        <v>0</v>
      </c>
      <c r="Q482" t="n">
        <v>0</v>
      </c>
      <c r="R482" s="2" t="inlineStr"/>
    </row>
    <row r="483" ht="15" customHeight="1">
      <c r="A483" t="inlineStr">
        <is>
          <t>A 21935-2021</t>
        </is>
      </c>
      <c r="B483" s="1" t="n">
        <v>44322.93407407407</v>
      </c>
      <c r="C483" s="1" t="n">
        <v>45883</v>
      </c>
      <c r="D483" t="inlineStr">
        <is>
          <t>VÄSTERBOTTENS LÄN</t>
        </is>
      </c>
      <c r="E483" t="inlineStr">
        <is>
          <t>ÅSELE</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24208-2025</t>
        </is>
      </c>
      <c r="B484" s="1" t="n">
        <v>45797.34456018519</v>
      </c>
      <c r="C484" s="1" t="n">
        <v>45883</v>
      </c>
      <c r="D484" t="inlineStr">
        <is>
          <t>VÄSTERBOTTENS LÄN</t>
        </is>
      </c>
      <c r="E484" t="inlineStr">
        <is>
          <t>ÅSELE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24654-2025</t>
        </is>
      </c>
      <c r="B485" s="1" t="n">
        <v>45798</v>
      </c>
      <c r="C485" s="1" t="n">
        <v>45883</v>
      </c>
      <c r="D485" t="inlineStr">
        <is>
          <t>VÄSTERBOTTENS LÄN</t>
        </is>
      </c>
      <c r="E485" t="inlineStr">
        <is>
          <t>ÅSELE</t>
        </is>
      </c>
      <c r="G485" t="n">
        <v>2.4</v>
      </c>
      <c r="H485" t="n">
        <v>0</v>
      </c>
      <c r="I485" t="n">
        <v>0</v>
      </c>
      <c r="J485" t="n">
        <v>0</v>
      </c>
      <c r="K485" t="n">
        <v>0</v>
      </c>
      <c r="L485" t="n">
        <v>0</v>
      </c>
      <c r="M485" t="n">
        <v>0</v>
      </c>
      <c r="N485" t="n">
        <v>0</v>
      </c>
      <c r="O485" t="n">
        <v>0</v>
      </c>
      <c r="P485" t="n">
        <v>0</v>
      </c>
      <c r="Q485" t="n">
        <v>0</v>
      </c>
      <c r="R485" s="2" t="inlineStr"/>
    </row>
    <row r="486" ht="15" customHeight="1">
      <c r="A486" t="inlineStr">
        <is>
          <t>A 44801-2023</t>
        </is>
      </c>
      <c r="B486" s="1" t="n">
        <v>45190.47796296296</v>
      </c>
      <c r="C486" s="1" t="n">
        <v>45883</v>
      </c>
      <c r="D486" t="inlineStr">
        <is>
          <t>VÄSTERBOTTENS LÄN</t>
        </is>
      </c>
      <c r="E486" t="inlineStr">
        <is>
          <t>ÅSELE</t>
        </is>
      </c>
      <c r="F486" t="inlineStr">
        <is>
          <t>Naturvårdsverket</t>
        </is>
      </c>
      <c r="G486" t="n">
        <v>2.4</v>
      </c>
      <c r="H486" t="n">
        <v>0</v>
      </c>
      <c r="I486" t="n">
        <v>0</v>
      </c>
      <c r="J486" t="n">
        <v>0</v>
      </c>
      <c r="K486" t="n">
        <v>0</v>
      </c>
      <c r="L486" t="n">
        <v>0</v>
      </c>
      <c r="M486" t="n">
        <v>0</v>
      </c>
      <c r="N486" t="n">
        <v>0</v>
      </c>
      <c r="O486" t="n">
        <v>0</v>
      </c>
      <c r="P486" t="n">
        <v>0</v>
      </c>
      <c r="Q486" t="n">
        <v>0</v>
      </c>
      <c r="R486" s="2" t="inlineStr"/>
    </row>
    <row r="487" ht="15" customHeight="1">
      <c r="A487" t="inlineStr">
        <is>
          <t>A 58596-2024</t>
        </is>
      </c>
      <c r="B487" s="1" t="n">
        <v>45635</v>
      </c>
      <c r="C487" s="1" t="n">
        <v>45883</v>
      </c>
      <c r="D487" t="inlineStr">
        <is>
          <t>VÄSTERBOTTENS LÄN</t>
        </is>
      </c>
      <c r="E487" t="inlineStr">
        <is>
          <t>ÅSELE</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61330-2024</t>
        </is>
      </c>
      <c r="B488" s="1" t="n">
        <v>45645</v>
      </c>
      <c r="C488" s="1" t="n">
        <v>45883</v>
      </c>
      <c r="D488" t="inlineStr">
        <is>
          <t>VÄSTERBOTTENS LÄN</t>
        </is>
      </c>
      <c r="E488" t="inlineStr">
        <is>
          <t>ÅSELE</t>
        </is>
      </c>
      <c r="F488" t="inlineStr">
        <is>
          <t>Sveaskog</t>
        </is>
      </c>
      <c r="G488" t="n">
        <v>8.6</v>
      </c>
      <c r="H488" t="n">
        <v>0</v>
      </c>
      <c r="I488" t="n">
        <v>0</v>
      </c>
      <c r="J488" t="n">
        <v>0</v>
      </c>
      <c r="K488" t="n">
        <v>0</v>
      </c>
      <c r="L488" t="n">
        <v>0</v>
      </c>
      <c r="M488" t="n">
        <v>0</v>
      </c>
      <c r="N488" t="n">
        <v>0</v>
      </c>
      <c r="O488" t="n">
        <v>0</v>
      </c>
      <c r="P488" t="n">
        <v>0</v>
      </c>
      <c r="Q488" t="n">
        <v>0</v>
      </c>
      <c r="R488" s="2" t="inlineStr"/>
    </row>
    <row r="489" ht="15" customHeight="1">
      <c r="A489" t="inlineStr">
        <is>
          <t>A 25377-2025</t>
        </is>
      </c>
      <c r="B489" s="1" t="n">
        <v>45800.63631944444</v>
      </c>
      <c r="C489" s="1" t="n">
        <v>45883</v>
      </c>
      <c r="D489" t="inlineStr">
        <is>
          <t>VÄSTERBOTTENS LÄN</t>
        </is>
      </c>
      <c r="E489" t="inlineStr">
        <is>
          <t>ÅSELE</t>
        </is>
      </c>
      <c r="F489" t="inlineStr">
        <is>
          <t>SCA</t>
        </is>
      </c>
      <c r="G489" t="n">
        <v>4.3</v>
      </c>
      <c r="H489" t="n">
        <v>0</v>
      </c>
      <c r="I489" t="n">
        <v>0</v>
      </c>
      <c r="J489" t="n">
        <v>0</v>
      </c>
      <c r="K489" t="n">
        <v>0</v>
      </c>
      <c r="L489" t="n">
        <v>0</v>
      </c>
      <c r="M489" t="n">
        <v>0</v>
      </c>
      <c r="N489" t="n">
        <v>0</v>
      </c>
      <c r="O489" t="n">
        <v>0</v>
      </c>
      <c r="P489" t="n">
        <v>0</v>
      </c>
      <c r="Q489" t="n">
        <v>0</v>
      </c>
      <c r="R489" s="2" t="inlineStr"/>
    </row>
    <row r="490" ht="15" customHeight="1">
      <c r="A490" t="inlineStr">
        <is>
          <t>A 31119-2023</t>
        </is>
      </c>
      <c r="B490" s="1" t="n">
        <v>45099</v>
      </c>
      <c r="C490" s="1" t="n">
        <v>45883</v>
      </c>
      <c r="D490" t="inlineStr">
        <is>
          <t>VÄSTERBOTTENS LÄN</t>
        </is>
      </c>
      <c r="E490" t="inlineStr">
        <is>
          <t>ÅSELE</t>
        </is>
      </c>
      <c r="G490" t="n">
        <v>5</v>
      </c>
      <c r="H490" t="n">
        <v>0</v>
      </c>
      <c r="I490" t="n">
        <v>0</v>
      </c>
      <c r="J490" t="n">
        <v>0</v>
      </c>
      <c r="K490" t="n">
        <v>0</v>
      </c>
      <c r="L490" t="n">
        <v>0</v>
      </c>
      <c r="M490" t="n">
        <v>0</v>
      </c>
      <c r="N490" t="n">
        <v>0</v>
      </c>
      <c r="O490" t="n">
        <v>0</v>
      </c>
      <c r="P490" t="n">
        <v>0</v>
      </c>
      <c r="Q490" t="n">
        <v>0</v>
      </c>
      <c r="R490" s="2" t="inlineStr"/>
    </row>
    <row r="491" ht="15" customHeight="1">
      <c r="A491" t="inlineStr">
        <is>
          <t>A 31659-2024</t>
        </is>
      </c>
      <c r="B491" s="1" t="n">
        <v>45506</v>
      </c>
      <c r="C491" s="1" t="n">
        <v>45883</v>
      </c>
      <c r="D491" t="inlineStr">
        <is>
          <t>VÄSTERBOTTENS LÄN</t>
        </is>
      </c>
      <c r="E491" t="inlineStr">
        <is>
          <t>ÅSELE</t>
        </is>
      </c>
      <c r="G491" t="n">
        <v>41.1</v>
      </c>
      <c r="H491" t="n">
        <v>0</v>
      </c>
      <c r="I491" t="n">
        <v>0</v>
      </c>
      <c r="J491" t="n">
        <v>0</v>
      </c>
      <c r="K491" t="n">
        <v>0</v>
      </c>
      <c r="L491" t="n">
        <v>0</v>
      </c>
      <c r="M491" t="n">
        <v>0</v>
      </c>
      <c r="N491" t="n">
        <v>0</v>
      </c>
      <c r="O491" t="n">
        <v>0</v>
      </c>
      <c r="P491" t="n">
        <v>0</v>
      </c>
      <c r="Q491" t="n">
        <v>0</v>
      </c>
      <c r="R491" s="2" t="inlineStr"/>
    </row>
    <row r="492" ht="15" customHeight="1">
      <c r="A492" t="inlineStr">
        <is>
          <t>A 29736-2024</t>
        </is>
      </c>
      <c r="B492" s="1" t="n">
        <v>45485.38484953704</v>
      </c>
      <c r="C492" s="1" t="n">
        <v>45883</v>
      </c>
      <c r="D492" t="inlineStr">
        <is>
          <t>VÄSTERBOTTENS LÄN</t>
        </is>
      </c>
      <c r="E492" t="inlineStr">
        <is>
          <t>ÅSELE</t>
        </is>
      </c>
      <c r="G492" t="n">
        <v>0.2</v>
      </c>
      <c r="H492" t="n">
        <v>0</v>
      </c>
      <c r="I492" t="n">
        <v>0</v>
      </c>
      <c r="J492" t="n">
        <v>0</v>
      </c>
      <c r="K492" t="n">
        <v>0</v>
      </c>
      <c r="L492" t="n">
        <v>0</v>
      </c>
      <c r="M492" t="n">
        <v>0</v>
      </c>
      <c r="N492" t="n">
        <v>0</v>
      </c>
      <c r="O492" t="n">
        <v>0</v>
      </c>
      <c r="P492" t="n">
        <v>0</v>
      </c>
      <c r="Q492" t="n">
        <v>0</v>
      </c>
      <c r="R492" s="2" t="inlineStr"/>
    </row>
    <row r="493" ht="15" customHeight="1">
      <c r="A493" t="inlineStr">
        <is>
          <t>A 25417-2025</t>
        </is>
      </c>
      <c r="B493" s="1" t="n">
        <v>45800.67762731481</v>
      </c>
      <c r="C493" s="1" t="n">
        <v>45883</v>
      </c>
      <c r="D493" t="inlineStr">
        <is>
          <t>VÄSTERBOTTENS LÄN</t>
        </is>
      </c>
      <c r="E493" t="inlineStr">
        <is>
          <t>ÅSELE</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55615-2024</t>
        </is>
      </c>
      <c r="B494" s="1" t="n">
        <v>45622.58969907407</v>
      </c>
      <c r="C494" s="1" t="n">
        <v>45883</v>
      </c>
      <c r="D494" t="inlineStr">
        <is>
          <t>VÄSTERBOTTENS LÄN</t>
        </is>
      </c>
      <c r="E494" t="inlineStr">
        <is>
          <t>ÅSELE</t>
        </is>
      </c>
      <c r="G494" t="n">
        <v>1.2</v>
      </c>
      <c r="H494" t="n">
        <v>0</v>
      </c>
      <c r="I494" t="n">
        <v>0</v>
      </c>
      <c r="J494" t="n">
        <v>0</v>
      </c>
      <c r="K494" t="n">
        <v>0</v>
      </c>
      <c r="L494" t="n">
        <v>0</v>
      </c>
      <c r="M494" t="n">
        <v>0</v>
      </c>
      <c r="N494" t="n">
        <v>0</v>
      </c>
      <c r="O494" t="n">
        <v>0</v>
      </c>
      <c r="P494" t="n">
        <v>0</v>
      </c>
      <c r="Q494" t="n">
        <v>0</v>
      </c>
      <c r="R494" s="2" t="inlineStr"/>
    </row>
    <row r="495" ht="15" customHeight="1">
      <c r="A495" t="inlineStr">
        <is>
          <t>A 25411-2025</t>
        </is>
      </c>
      <c r="B495" s="1" t="n">
        <v>45800.66145833334</v>
      </c>
      <c r="C495" s="1" t="n">
        <v>45883</v>
      </c>
      <c r="D495" t="inlineStr">
        <is>
          <t>VÄSTERBOTTENS LÄN</t>
        </is>
      </c>
      <c r="E495" t="inlineStr">
        <is>
          <t>ÅSELE</t>
        </is>
      </c>
      <c r="F495" t="inlineStr">
        <is>
          <t>Sveaskog</t>
        </is>
      </c>
      <c r="G495" t="n">
        <v>7</v>
      </c>
      <c r="H495" t="n">
        <v>0</v>
      </c>
      <c r="I495" t="n">
        <v>0</v>
      </c>
      <c r="J495" t="n">
        <v>0</v>
      </c>
      <c r="K495" t="n">
        <v>0</v>
      </c>
      <c r="L495" t="n">
        <v>0</v>
      </c>
      <c r="M495" t="n">
        <v>0</v>
      </c>
      <c r="N495" t="n">
        <v>0</v>
      </c>
      <c r="O495" t="n">
        <v>0</v>
      </c>
      <c r="P495" t="n">
        <v>0</v>
      </c>
      <c r="Q495" t="n">
        <v>0</v>
      </c>
      <c r="R495" s="2" t="inlineStr"/>
    </row>
    <row r="496" ht="15" customHeight="1">
      <c r="A496" t="inlineStr">
        <is>
          <t>A 24762-2025</t>
        </is>
      </c>
      <c r="B496" s="1" t="n">
        <v>45799.38585648148</v>
      </c>
      <c r="C496" s="1" t="n">
        <v>45883</v>
      </c>
      <c r="D496" t="inlineStr">
        <is>
          <t>VÄSTERBOTTENS LÄN</t>
        </is>
      </c>
      <c r="E496" t="inlineStr">
        <is>
          <t>ÅSELE</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3059-2024</t>
        </is>
      </c>
      <c r="B497" s="1" t="n">
        <v>45316</v>
      </c>
      <c r="C497" s="1" t="n">
        <v>45883</v>
      </c>
      <c r="D497" t="inlineStr">
        <is>
          <t>VÄSTERBOTTENS LÄN</t>
        </is>
      </c>
      <c r="E497" t="inlineStr">
        <is>
          <t>ÅSELE</t>
        </is>
      </c>
      <c r="G497" t="n">
        <v>0.7</v>
      </c>
      <c r="H497" t="n">
        <v>0</v>
      </c>
      <c r="I497" t="n">
        <v>0</v>
      </c>
      <c r="J497" t="n">
        <v>0</v>
      </c>
      <c r="K497" t="n">
        <v>0</v>
      </c>
      <c r="L497" t="n">
        <v>0</v>
      </c>
      <c r="M497" t="n">
        <v>0</v>
      </c>
      <c r="N497" t="n">
        <v>0</v>
      </c>
      <c r="O497" t="n">
        <v>0</v>
      </c>
      <c r="P497" t="n">
        <v>0</v>
      </c>
      <c r="Q497" t="n">
        <v>0</v>
      </c>
      <c r="R497" s="2" t="inlineStr"/>
    </row>
    <row r="498" ht="15" customHeight="1">
      <c r="A498" t="inlineStr">
        <is>
          <t>A 25394-2025</t>
        </is>
      </c>
      <c r="B498" s="1" t="n">
        <v>45800.64912037037</v>
      </c>
      <c r="C498" s="1" t="n">
        <v>45883</v>
      </c>
      <c r="D498" t="inlineStr">
        <is>
          <t>VÄSTERBOTTENS LÄN</t>
        </is>
      </c>
      <c r="E498" t="inlineStr">
        <is>
          <t>ÅSELE</t>
        </is>
      </c>
      <c r="F498" t="inlineStr">
        <is>
          <t>Sveaskog</t>
        </is>
      </c>
      <c r="G498" t="n">
        <v>10.9</v>
      </c>
      <c r="H498" t="n">
        <v>0</v>
      </c>
      <c r="I498" t="n">
        <v>0</v>
      </c>
      <c r="J498" t="n">
        <v>0</v>
      </c>
      <c r="K498" t="n">
        <v>0</v>
      </c>
      <c r="L498" t="n">
        <v>0</v>
      </c>
      <c r="M498" t="n">
        <v>0</v>
      </c>
      <c r="N498" t="n">
        <v>0</v>
      </c>
      <c r="O498" t="n">
        <v>0</v>
      </c>
      <c r="P498" t="n">
        <v>0</v>
      </c>
      <c r="Q498" t="n">
        <v>0</v>
      </c>
      <c r="R498" s="2" t="inlineStr"/>
    </row>
    <row r="499" ht="15" customHeight="1">
      <c r="A499" t="inlineStr">
        <is>
          <t>A 42304-2024</t>
        </is>
      </c>
      <c r="B499" s="1" t="n">
        <v>45562</v>
      </c>
      <c r="C499" s="1" t="n">
        <v>45883</v>
      </c>
      <c r="D499" t="inlineStr">
        <is>
          <t>VÄSTERBOTTENS LÄN</t>
        </is>
      </c>
      <c r="E499" t="inlineStr">
        <is>
          <t>ÅSELE</t>
        </is>
      </c>
      <c r="F499" t="inlineStr">
        <is>
          <t>Holmen skog AB</t>
        </is>
      </c>
      <c r="G499" t="n">
        <v>1</v>
      </c>
      <c r="H499" t="n">
        <v>0</v>
      </c>
      <c r="I499" t="n">
        <v>0</v>
      </c>
      <c r="J499" t="n">
        <v>0</v>
      </c>
      <c r="K499" t="n">
        <v>0</v>
      </c>
      <c r="L499" t="n">
        <v>0</v>
      </c>
      <c r="M499" t="n">
        <v>0</v>
      </c>
      <c r="N499" t="n">
        <v>0</v>
      </c>
      <c r="O499" t="n">
        <v>0</v>
      </c>
      <c r="P499" t="n">
        <v>0</v>
      </c>
      <c r="Q499" t="n">
        <v>0</v>
      </c>
      <c r="R499" s="2" t="inlineStr"/>
    </row>
    <row r="500" ht="15" customHeight="1">
      <c r="A500" t="inlineStr">
        <is>
          <t>A 33788-2025</t>
        </is>
      </c>
      <c r="B500" s="1" t="n">
        <v>45842</v>
      </c>
      <c r="C500" s="1" t="n">
        <v>45883</v>
      </c>
      <c r="D500" t="inlineStr">
        <is>
          <t>VÄSTERBOTTENS LÄN</t>
        </is>
      </c>
      <c r="E500" t="inlineStr">
        <is>
          <t>ÅSELE</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33711-2025</t>
        </is>
      </c>
      <c r="B501" s="1" t="n">
        <v>45841.83383101852</v>
      </c>
      <c r="C501" s="1" t="n">
        <v>45883</v>
      </c>
      <c r="D501" t="inlineStr">
        <is>
          <t>VÄSTERBOTTENS LÄN</t>
        </is>
      </c>
      <c r="E501" t="inlineStr">
        <is>
          <t>ÅSELE</t>
        </is>
      </c>
      <c r="G501" t="n">
        <v>7.7</v>
      </c>
      <c r="H501" t="n">
        <v>0</v>
      </c>
      <c r="I501" t="n">
        <v>0</v>
      </c>
      <c r="J501" t="n">
        <v>0</v>
      </c>
      <c r="K501" t="n">
        <v>0</v>
      </c>
      <c r="L501" t="n">
        <v>0</v>
      </c>
      <c r="M501" t="n">
        <v>0</v>
      </c>
      <c r="N501" t="n">
        <v>0</v>
      </c>
      <c r="O501" t="n">
        <v>0</v>
      </c>
      <c r="P501" t="n">
        <v>0</v>
      </c>
      <c r="Q501" t="n">
        <v>0</v>
      </c>
      <c r="R501" s="2" t="inlineStr"/>
    </row>
    <row r="502" ht="15" customHeight="1">
      <c r="A502" t="inlineStr">
        <is>
          <t>A 33710-2025</t>
        </is>
      </c>
      <c r="B502" s="1" t="n">
        <v>45841.83299768518</v>
      </c>
      <c r="C502" s="1" t="n">
        <v>45883</v>
      </c>
      <c r="D502" t="inlineStr">
        <is>
          <t>VÄSTERBOTTENS LÄN</t>
        </is>
      </c>
      <c r="E502" t="inlineStr">
        <is>
          <t>ÅSELE</t>
        </is>
      </c>
      <c r="G502" t="n">
        <v>13.7</v>
      </c>
      <c r="H502" t="n">
        <v>0</v>
      </c>
      <c r="I502" t="n">
        <v>0</v>
      </c>
      <c r="J502" t="n">
        <v>0</v>
      </c>
      <c r="K502" t="n">
        <v>0</v>
      </c>
      <c r="L502" t="n">
        <v>0</v>
      </c>
      <c r="M502" t="n">
        <v>0</v>
      </c>
      <c r="N502" t="n">
        <v>0</v>
      </c>
      <c r="O502" t="n">
        <v>0</v>
      </c>
      <c r="P502" t="n">
        <v>0</v>
      </c>
      <c r="Q502" t="n">
        <v>0</v>
      </c>
      <c r="R502" s="2" t="inlineStr"/>
    </row>
    <row r="503" ht="15" customHeight="1">
      <c r="A503" t="inlineStr">
        <is>
          <t>A 24744-2025</t>
        </is>
      </c>
      <c r="B503" s="1" t="n">
        <v>45799</v>
      </c>
      <c r="C503" s="1" t="n">
        <v>45883</v>
      </c>
      <c r="D503" t="inlineStr">
        <is>
          <t>VÄSTERBOTTENS LÄN</t>
        </is>
      </c>
      <c r="E503" t="inlineStr">
        <is>
          <t>ÅSELE</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44894-2024</t>
        </is>
      </c>
      <c r="B504" s="1" t="n">
        <v>45575.36512731481</v>
      </c>
      <c r="C504" s="1" t="n">
        <v>45883</v>
      </c>
      <c r="D504" t="inlineStr">
        <is>
          <t>VÄSTERBOTTENS LÄN</t>
        </is>
      </c>
      <c r="E504" t="inlineStr">
        <is>
          <t>ÅSELE</t>
        </is>
      </c>
      <c r="F504" t="inlineStr">
        <is>
          <t>SCA</t>
        </is>
      </c>
      <c r="G504" t="n">
        <v>4.3</v>
      </c>
      <c r="H504" t="n">
        <v>0</v>
      </c>
      <c r="I504" t="n">
        <v>0</v>
      </c>
      <c r="J504" t="n">
        <v>0</v>
      </c>
      <c r="K504" t="n">
        <v>0</v>
      </c>
      <c r="L504" t="n">
        <v>0</v>
      </c>
      <c r="M504" t="n">
        <v>0</v>
      </c>
      <c r="N504" t="n">
        <v>0</v>
      </c>
      <c r="O504" t="n">
        <v>0</v>
      </c>
      <c r="P504" t="n">
        <v>0</v>
      </c>
      <c r="Q504" t="n">
        <v>0</v>
      </c>
      <c r="R504" s="2" t="inlineStr"/>
    </row>
    <row r="505" ht="15" customHeight="1">
      <c r="A505" t="inlineStr">
        <is>
          <t>A 16570-2023</t>
        </is>
      </c>
      <c r="B505" s="1" t="n">
        <v>45029.94212962963</v>
      </c>
      <c r="C505" s="1" t="n">
        <v>45883</v>
      </c>
      <c r="D505" t="inlineStr">
        <is>
          <t>VÄSTERBOTTENS LÄN</t>
        </is>
      </c>
      <c r="E505" t="inlineStr">
        <is>
          <t>ÅSELE</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5641-2022</t>
        </is>
      </c>
      <c r="B506" s="1" t="n">
        <v>44595.92319444445</v>
      </c>
      <c r="C506" s="1" t="n">
        <v>45883</v>
      </c>
      <c r="D506" t="inlineStr">
        <is>
          <t>VÄSTERBOTTENS LÄN</t>
        </is>
      </c>
      <c r="E506" t="inlineStr">
        <is>
          <t>ÅSELE</t>
        </is>
      </c>
      <c r="G506" t="n">
        <v>0.9</v>
      </c>
      <c r="H506" t="n">
        <v>0</v>
      </c>
      <c r="I506" t="n">
        <v>0</v>
      </c>
      <c r="J506" t="n">
        <v>0</v>
      </c>
      <c r="K506" t="n">
        <v>0</v>
      </c>
      <c r="L506" t="n">
        <v>0</v>
      </c>
      <c r="M506" t="n">
        <v>0</v>
      </c>
      <c r="N506" t="n">
        <v>0</v>
      </c>
      <c r="O506" t="n">
        <v>0</v>
      </c>
      <c r="P506" t="n">
        <v>0</v>
      </c>
      <c r="Q506" t="n">
        <v>0</v>
      </c>
      <c r="R506" s="2" t="inlineStr"/>
    </row>
    <row r="507" ht="15" customHeight="1">
      <c r="A507" t="inlineStr">
        <is>
          <t>A 49879-2024</t>
        </is>
      </c>
      <c r="B507" s="1" t="n">
        <v>45597.49931712963</v>
      </c>
      <c r="C507" s="1" t="n">
        <v>45883</v>
      </c>
      <c r="D507" t="inlineStr">
        <is>
          <t>VÄSTERBOTTENS LÄN</t>
        </is>
      </c>
      <c r="E507" t="inlineStr">
        <is>
          <t>ÅSELE</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34684-2023</t>
        </is>
      </c>
      <c r="B508" s="1" t="n">
        <v>45140</v>
      </c>
      <c r="C508" s="1" t="n">
        <v>45883</v>
      </c>
      <c r="D508" t="inlineStr">
        <is>
          <t>VÄSTERBOTTENS LÄN</t>
        </is>
      </c>
      <c r="E508" t="inlineStr">
        <is>
          <t>ÅSELE</t>
        </is>
      </c>
      <c r="G508" t="n">
        <v>5.9</v>
      </c>
      <c r="H508" t="n">
        <v>0</v>
      </c>
      <c r="I508" t="n">
        <v>0</v>
      </c>
      <c r="J508" t="n">
        <v>0</v>
      </c>
      <c r="K508" t="n">
        <v>0</v>
      </c>
      <c r="L508" t="n">
        <v>0</v>
      </c>
      <c r="M508" t="n">
        <v>0</v>
      </c>
      <c r="N508" t="n">
        <v>0</v>
      </c>
      <c r="O508" t="n">
        <v>0</v>
      </c>
      <c r="P508" t="n">
        <v>0</v>
      </c>
      <c r="Q508" t="n">
        <v>0</v>
      </c>
      <c r="R508" s="2" t="inlineStr"/>
    </row>
    <row r="509" ht="15" customHeight="1">
      <c r="A509" t="inlineStr">
        <is>
          <t>A 43401-2023</t>
        </is>
      </c>
      <c r="B509" s="1" t="n">
        <v>45183.9218287037</v>
      </c>
      <c r="C509" s="1" t="n">
        <v>45883</v>
      </c>
      <c r="D509" t="inlineStr">
        <is>
          <t>VÄSTERBOTTENS LÄN</t>
        </is>
      </c>
      <c r="E509" t="inlineStr">
        <is>
          <t>ÅSELE</t>
        </is>
      </c>
      <c r="G509" t="n">
        <v>1.3</v>
      </c>
      <c r="H509" t="n">
        <v>0</v>
      </c>
      <c r="I509" t="n">
        <v>0</v>
      </c>
      <c r="J509" t="n">
        <v>0</v>
      </c>
      <c r="K509" t="n">
        <v>0</v>
      </c>
      <c r="L509" t="n">
        <v>0</v>
      </c>
      <c r="M509" t="n">
        <v>0</v>
      </c>
      <c r="N509" t="n">
        <v>0</v>
      </c>
      <c r="O509" t="n">
        <v>0</v>
      </c>
      <c r="P509" t="n">
        <v>0</v>
      </c>
      <c r="Q509" t="n">
        <v>0</v>
      </c>
      <c r="R509" s="2" t="inlineStr"/>
    </row>
    <row r="510" ht="15" customHeight="1">
      <c r="A510" t="inlineStr">
        <is>
          <t>A 32942-2024</t>
        </is>
      </c>
      <c r="B510" s="1" t="n">
        <v>45517</v>
      </c>
      <c r="C510" s="1" t="n">
        <v>45883</v>
      </c>
      <c r="D510" t="inlineStr">
        <is>
          <t>VÄSTERBOTTENS LÄN</t>
        </is>
      </c>
      <c r="E510" t="inlineStr">
        <is>
          <t>ÅSELE</t>
        </is>
      </c>
      <c r="G510" t="n">
        <v>1.1</v>
      </c>
      <c r="H510" t="n">
        <v>0</v>
      </c>
      <c r="I510" t="n">
        <v>0</v>
      </c>
      <c r="J510" t="n">
        <v>0</v>
      </c>
      <c r="K510" t="n">
        <v>0</v>
      </c>
      <c r="L510" t="n">
        <v>0</v>
      </c>
      <c r="M510" t="n">
        <v>0</v>
      </c>
      <c r="N510" t="n">
        <v>0</v>
      </c>
      <c r="O510" t="n">
        <v>0</v>
      </c>
      <c r="P510" t="n">
        <v>0</v>
      </c>
      <c r="Q510" t="n">
        <v>0</v>
      </c>
      <c r="R510" s="2" t="inlineStr"/>
    </row>
    <row r="511" ht="15" customHeight="1">
      <c r="A511" t="inlineStr">
        <is>
          <t>A 34295-2025</t>
        </is>
      </c>
      <c r="B511" s="1" t="n">
        <v>45846.34438657408</v>
      </c>
      <c r="C511" s="1" t="n">
        <v>45883</v>
      </c>
      <c r="D511" t="inlineStr">
        <is>
          <t>VÄSTERBOTTENS LÄN</t>
        </is>
      </c>
      <c r="E511" t="inlineStr">
        <is>
          <t>ÅSELE</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61530-2024</t>
        </is>
      </c>
      <c r="B512" s="1" t="n">
        <v>45645</v>
      </c>
      <c r="C512" s="1" t="n">
        <v>45883</v>
      </c>
      <c r="D512" t="inlineStr">
        <is>
          <t>VÄSTERBOTTENS LÄN</t>
        </is>
      </c>
      <c r="E512" t="inlineStr">
        <is>
          <t>ÅSELE</t>
        </is>
      </c>
      <c r="G512" t="n">
        <v>1.2</v>
      </c>
      <c r="H512" t="n">
        <v>0</v>
      </c>
      <c r="I512" t="n">
        <v>0</v>
      </c>
      <c r="J512" t="n">
        <v>0</v>
      </c>
      <c r="K512" t="n">
        <v>0</v>
      </c>
      <c r="L512" t="n">
        <v>0</v>
      </c>
      <c r="M512" t="n">
        <v>0</v>
      </c>
      <c r="N512" t="n">
        <v>0</v>
      </c>
      <c r="O512" t="n">
        <v>0</v>
      </c>
      <c r="P512" t="n">
        <v>0</v>
      </c>
      <c r="Q512" t="n">
        <v>0</v>
      </c>
      <c r="R512" s="2" t="inlineStr"/>
    </row>
    <row r="513" ht="15" customHeight="1">
      <c r="A513" t="inlineStr">
        <is>
          <t>A 60493-2024</t>
        </is>
      </c>
      <c r="B513" s="1" t="n">
        <v>45643.65672453704</v>
      </c>
      <c r="C513" s="1" t="n">
        <v>45883</v>
      </c>
      <c r="D513" t="inlineStr">
        <is>
          <t>VÄSTERBOTTENS LÄN</t>
        </is>
      </c>
      <c r="E513" t="inlineStr">
        <is>
          <t>ÅSELE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61534-2024</t>
        </is>
      </c>
      <c r="B514" s="1" t="n">
        <v>45645</v>
      </c>
      <c r="C514" s="1" t="n">
        <v>45883</v>
      </c>
      <c r="D514" t="inlineStr">
        <is>
          <t>VÄSTERBOTTENS LÄN</t>
        </is>
      </c>
      <c r="E514" t="inlineStr">
        <is>
          <t>ÅSELE</t>
        </is>
      </c>
      <c r="G514" t="n">
        <v>0.9</v>
      </c>
      <c r="H514" t="n">
        <v>0</v>
      </c>
      <c r="I514" t="n">
        <v>0</v>
      </c>
      <c r="J514" t="n">
        <v>0</v>
      </c>
      <c r="K514" t="n">
        <v>0</v>
      </c>
      <c r="L514" t="n">
        <v>0</v>
      </c>
      <c r="M514" t="n">
        <v>0</v>
      </c>
      <c r="N514" t="n">
        <v>0</v>
      </c>
      <c r="O514" t="n">
        <v>0</v>
      </c>
      <c r="P514" t="n">
        <v>0</v>
      </c>
      <c r="Q514" t="n">
        <v>0</v>
      </c>
      <c r="R514" s="2" t="inlineStr"/>
    </row>
    <row r="515" ht="15" customHeight="1">
      <c r="A515" t="inlineStr">
        <is>
          <t>A 26113-2025</t>
        </is>
      </c>
      <c r="B515" s="1" t="n">
        <v>45805.36946759259</v>
      </c>
      <c r="C515" s="1" t="n">
        <v>45883</v>
      </c>
      <c r="D515" t="inlineStr">
        <is>
          <t>VÄSTERBOTTENS LÄN</t>
        </is>
      </c>
      <c r="E515" t="inlineStr">
        <is>
          <t>ÅSELE</t>
        </is>
      </c>
      <c r="F515" t="inlineStr">
        <is>
          <t>Sveaskog</t>
        </is>
      </c>
      <c r="G515" t="n">
        <v>45.5</v>
      </c>
      <c r="H515" t="n">
        <v>0</v>
      </c>
      <c r="I515" t="n">
        <v>0</v>
      </c>
      <c r="J515" t="n">
        <v>0</v>
      </c>
      <c r="K515" t="n">
        <v>0</v>
      </c>
      <c r="L515" t="n">
        <v>0</v>
      </c>
      <c r="M515" t="n">
        <v>0</v>
      </c>
      <c r="N515" t="n">
        <v>0</v>
      </c>
      <c r="O515" t="n">
        <v>0</v>
      </c>
      <c r="P515" t="n">
        <v>0</v>
      </c>
      <c r="Q515" t="n">
        <v>0</v>
      </c>
      <c r="R515" s="2" t="inlineStr"/>
    </row>
    <row r="516" ht="15" customHeight="1">
      <c r="A516" t="inlineStr">
        <is>
          <t>A 34301-2025</t>
        </is>
      </c>
      <c r="B516" s="1" t="n">
        <v>45846.34537037037</v>
      </c>
      <c r="C516" s="1" t="n">
        <v>45883</v>
      </c>
      <c r="D516" t="inlineStr">
        <is>
          <t>VÄSTERBOTTENS LÄN</t>
        </is>
      </c>
      <c r="E516" t="inlineStr">
        <is>
          <t>ÅSELE</t>
        </is>
      </c>
      <c r="F516" t="inlineStr">
        <is>
          <t>SCA</t>
        </is>
      </c>
      <c r="G516" t="n">
        <v>27.4</v>
      </c>
      <c r="H516" t="n">
        <v>0</v>
      </c>
      <c r="I516" t="n">
        <v>0</v>
      </c>
      <c r="J516" t="n">
        <v>0</v>
      </c>
      <c r="K516" t="n">
        <v>0</v>
      </c>
      <c r="L516" t="n">
        <v>0</v>
      </c>
      <c r="M516" t="n">
        <v>0</v>
      </c>
      <c r="N516" t="n">
        <v>0</v>
      </c>
      <c r="O516" t="n">
        <v>0</v>
      </c>
      <c r="P516" t="n">
        <v>0</v>
      </c>
      <c r="Q516" t="n">
        <v>0</v>
      </c>
      <c r="R516" s="2" t="inlineStr"/>
    </row>
    <row r="517" ht="15" customHeight="1">
      <c r="A517" t="inlineStr">
        <is>
          <t>A 26159-2025</t>
        </is>
      </c>
      <c r="B517" s="1" t="n">
        <v>45805.44869212963</v>
      </c>
      <c r="C517" s="1" t="n">
        <v>45883</v>
      </c>
      <c r="D517" t="inlineStr">
        <is>
          <t>VÄSTERBOTTENS LÄN</t>
        </is>
      </c>
      <c r="E517" t="inlineStr">
        <is>
          <t>ÅSELE</t>
        </is>
      </c>
      <c r="F517" t="inlineStr">
        <is>
          <t>SCA</t>
        </is>
      </c>
      <c r="G517" t="n">
        <v>3.2</v>
      </c>
      <c r="H517" t="n">
        <v>0</v>
      </c>
      <c r="I517" t="n">
        <v>0</v>
      </c>
      <c r="J517" t="n">
        <v>0</v>
      </c>
      <c r="K517" t="n">
        <v>0</v>
      </c>
      <c r="L517" t="n">
        <v>0</v>
      </c>
      <c r="M517" t="n">
        <v>0</v>
      </c>
      <c r="N517" t="n">
        <v>0</v>
      </c>
      <c r="O517" t="n">
        <v>0</v>
      </c>
      <c r="P517" t="n">
        <v>0</v>
      </c>
      <c r="Q517" t="n">
        <v>0</v>
      </c>
      <c r="R517" s="2" t="inlineStr"/>
    </row>
    <row r="518" ht="15" customHeight="1">
      <c r="A518" t="inlineStr">
        <is>
          <t>A 42037-2023</t>
        </is>
      </c>
      <c r="B518" s="1" t="n">
        <v>45177.50853009259</v>
      </c>
      <c r="C518" s="1" t="n">
        <v>45883</v>
      </c>
      <c r="D518" t="inlineStr">
        <is>
          <t>VÄSTERBOTTENS LÄN</t>
        </is>
      </c>
      <c r="E518" t="inlineStr">
        <is>
          <t>ÅSELE</t>
        </is>
      </c>
      <c r="F518" t="inlineStr">
        <is>
          <t>Holmen skog AB</t>
        </is>
      </c>
      <c r="G518" t="n">
        <v>4.7</v>
      </c>
      <c r="H518" t="n">
        <v>0</v>
      </c>
      <c r="I518" t="n">
        <v>0</v>
      </c>
      <c r="J518" t="n">
        <v>0</v>
      </c>
      <c r="K518" t="n">
        <v>0</v>
      </c>
      <c r="L518" t="n">
        <v>0</v>
      </c>
      <c r="M518" t="n">
        <v>0</v>
      </c>
      <c r="N518" t="n">
        <v>0</v>
      </c>
      <c r="O518" t="n">
        <v>0</v>
      </c>
      <c r="P518" t="n">
        <v>0</v>
      </c>
      <c r="Q518" t="n">
        <v>0</v>
      </c>
      <c r="R518" s="2" t="inlineStr"/>
    </row>
    <row r="519" ht="15" customHeight="1">
      <c r="A519" t="inlineStr">
        <is>
          <t>A 29616-2023</t>
        </is>
      </c>
      <c r="B519" s="1" t="n">
        <v>45106</v>
      </c>
      <c r="C519" s="1" t="n">
        <v>45883</v>
      </c>
      <c r="D519" t="inlineStr">
        <is>
          <t>VÄSTERBOTTENS LÄN</t>
        </is>
      </c>
      <c r="E519" t="inlineStr">
        <is>
          <t>ÅSELE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29617-2023</t>
        </is>
      </c>
      <c r="B520" s="1" t="n">
        <v>45106.94461805555</v>
      </c>
      <c r="C520" s="1" t="n">
        <v>45883</v>
      </c>
      <c r="D520" t="inlineStr">
        <is>
          <t>VÄSTERBOTTENS LÄN</t>
        </is>
      </c>
      <c r="E520" t="inlineStr">
        <is>
          <t>ÅSELE</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26104-2025</t>
        </is>
      </c>
      <c r="B521" s="1" t="n">
        <v>45805.36008101852</v>
      </c>
      <c r="C521" s="1" t="n">
        <v>45883</v>
      </c>
      <c r="D521" t="inlineStr">
        <is>
          <t>VÄSTERBOTTENS LÄN</t>
        </is>
      </c>
      <c r="E521" t="inlineStr">
        <is>
          <t>ÅSELE</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26075-2025</t>
        </is>
      </c>
      <c r="B522" s="1" t="n">
        <v>45805.32921296296</v>
      </c>
      <c r="C522" s="1" t="n">
        <v>45883</v>
      </c>
      <c r="D522" t="inlineStr">
        <is>
          <t>VÄSTERBOTTENS LÄN</t>
        </is>
      </c>
      <c r="E522" t="inlineStr">
        <is>
          <t>ÅSELE</t>
        </is>
      </c>
      <c r="F522" t="inlineStr">
        <is>
          <t>Sveaskog</t>
        </is>
      </c>
      <c r="G522" t="n">
        <v>10</v>
      </c>
      <c r="H522" t="n">
        <v>0</v>
      </c>
      <c r="I522" t="n">
        <v>0</v>
      </c>
      <c r="J522" t="n">
        <v>0</v>
      </c>
      <c r="K522" t="n">
        <v>0</v>
      </c>
      <c r="L522" t="n">
        <v>0</v>
      </c>
      <c r="M522" t="n">
        <v>0</v>
      </c>
      <c r="N522" t="n">
        <v>0</v>
      </c>
      <c r="O522" t="n">
        <v>0</v>
      </c>
      <c r="P522" t="n">
        <v>0</v>
      </c>
      <c r="Q522" t="n">
        <v>0</v>
      </c>
      <c r="R522" s="2" t="inlineStr"/>
    </row>
    <row r="523" ht="15" customHeight="1">
      <c r="A523" t="inlineStr">
        <is>
          <t>A 26078-2025</t>
        </is>
      </c>
      <c r="B523" s="1" t="n">
        <v>45805.3371412037</v>
      </c>
      <c r="C523" s="1" t="n">
        <v>45883</v>
      </c>
      <c r="D523" t="inlineStr">
        <is>
          <t>VÄSTERBOTTENS LÄN</t>
        </is>
      </c>
      <c r="E523" t="inlineStr">
        <is>
          <t>ÅSELE</t>
        </is>
      </c>
      <c r="F523" t="inlineStr">
        <is>
          <t>Sveaskog</t>
        </is>
      </c>
      <c r="G523" t="n">
        <v>15.4</v>
      </c>
      <c r="H523" t="n">
        <v>0</v>
      </c>
      <c r="I523" t="n">
        <v>0</v>
      </c>
      <c r="J523" t="n">
        <v>0</v>
      </c>
      <c r="K523" t="n">
        <v>0</v>
      </c>
      <c r="L523" t="n">
        <v>0</v>
      </c>
      <c r="M523" t="n">
        <v>0</v>
      </c>
      <c r="N523" t="n">
        <v>0</v>
      </c>
      <c r="O523" t="n">
        <v>0</v>
      </c>
      <c r="P523" t="n">
        <v>0</v>
      </c>
      <c r="Q523" t="n">
        <v>0</v>
      </c>
      <c r="R523" s="2" t="inlineStr"/>
    </row>
    <row r="524" ht="15" customHeight="1">
      <c r="A524" t="inlineStr">
        <is>
          <t>A 26245-2025</t>
        </is>
      </c>
      <c r="B524" s="1" t="n">
        <v>45805</v>
      </c>
      <c r="C524" s="1" t="n">
        <v>45883</v>
      </c>
      <c r="D524" t="inlineStr">
        <is>
          <t>VÄSTERBOTTENS LÄN</t>
        </is>
      </c>
      <c r="E524" t="inlineStr">
        <is>
          <t>ÅSELE</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34659-2025</t>
        </is>
      </c>
      <c r="B525" s="1" t="n">
        <v>45848.36859953704</v>
      </c>
      <c r="C525" s="1" t="n">
        <v>45883</v>
      </c>
      <c r="D525" t="inlineStr">
        <is>
          <t>VÄSTERBOTTENS LÄN</t>
        </is>
      </c>
      <c r="E525" t="inlineStr">
        <is>
          <t>ÅSELE</t>
        </is>
      </c>
      <c r="G525" t="n">
        <v>2.6</v>
      </c>
      <c r="H525" t="n">
        <v>0</v>
      </c>
      <c r="I525" t="n">
        <v>0</v>
      </c>
      <c r="J525" t="n">
        <v>0</v>
      </c>
      <c r="K525" t="n">
        <v>0</v>
      </c>
      <c r="L525" t="n">
        <v>0</v>
      </c>
      <c r="M525" t="n">
        <v>0</v>
      </c>
      <c r="N525" t="n">
        <v>0</v>
      </c>
      <c r="O525" t="n">
        <v>0</v>
      </c>
      <c r="P525" t="n">
        <v>0</v>
      </c>
      <c r="Q525" t="n">
        <v>0</v>
      </c>
      <c r="R525" s="2" t="inlineStr"/>
    </row>
    <row r="526" ht="15" customHeight="1">
      <c r="A526" t="inlineStr">
        <is>
          <t>A 34667-2025</t>
        </is>
      </c>
      <c r="B526" s="1" t="n">
        <v>45848.38278935185</v>
      </c>
      <c r="C526" s="1" t="n">
        <v>45883</v>
      </c>
      <c r="D526" t="inlineStr">
        <is>
          <t>VÄSTERBOTTENS LÄN</t>
        </is>
      </c>
      <c r="E526" t="inlineStr">
        <is>
          <t>ÅSELE</t>
        </is>
      </c>
      <c r="F526" t="inlineStr">
        <is>
          <t>Holmen skog AB</t>
        </is>
      </c>
      <c r="G526" t="n">
        <v>3.8</v>
      </c>
      <c r="H526" t="n">
        <v>0</v>
      </c>
      <c r="I526" t="n">
        <v>0</v>
      </c>
      <c r="J526" t="n">
        <v>0</v>
      </c>
      <c r="K526" t="n">
        <v>0</v>
      </c>
      <c r="L526" t="n">
        <v>0</v>
      </c>
      <c r="M526" t="n">
        <v>0</v>
      </c>
      <c r="N526" t="n">
        <v>0</v>
      </c>
      <c r="O526" t="n">
        <v>0</v>
      </c>
      <c r="P526" t="n">
        <v>0</v>
      </c>
      <c r="Q526" t="n">
        <v>0</v>
      </c>
      <c r="R526" s="2" t="inlineStr"/>
    </row>
    <row r="527" ht="15" customHeight="1">
      <c r="A527" t="inlineStr">
        <is>
          <t>A 33571-2021</t>
        </is>
      </c>
      <c r="B527" s="1" t="n">
        <v>44377</v>
      </c>
      <c r="C527" s="1" t="n">
        <v>45883</v>
      </c>
      <c r="D527" t="inlineStr">
        <is>
          <t>VÄSTERBOTTENS LÄN</t>
        </is>
      </c>
      <c r="E527" t="inlineStr">
        <is>
          <t>ÅSELE</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26115-2025</t>
        </is>
      </c>
      <c r="B528" s="1" t="n">
        <v>45805.37388888889</v>
      </c>
      <c r="C528" s="1" t="n">
        <v>45883</v>
      </c>
      <c r="D528" t="inlineStr">
        <is>
          <t>VÄSTERBOTTENS LÄN</t>
        </is>
      </c>
      <c r="E528" t="inlineStr">
        <is>
          <t>ÅSELE</t>
        </is>
      </c>
      <c r="F528" t="inlineStr">
        <is>
          <t>Sveaskog</t>
        </is>
      </c>
      <c r="G528" t="n">
        <v>4.6</v>
      </c>
      <c r="H528" t="n">
        <v>0</v>
      </c>
      <c r="I528" t="n">
        <v>0</v>
      </c>
      <c r="J528" t="n">
        <v>0</v>
      </c>
      <c r="K528" t="n">
        <v>0</v>
      </c>
      <c r="L528" t="n">
        <v>0</v>
      </c>
      <c r="M528" t="n">
        <v>0</v>
      </c>
      <c r="N528" t="n">
        <v>0</v>
      </c>
      <c r="O528" t="n">
        <v>0</v>
      </c>
      <c r="P528" t="n">
        <v>0</v>
      </c>
      <c r="Q528" t="n">
        <v>0</v>
      </c>
      <c r="R528" s="2" t="inlineStr"/>
    </row>
    <row r="529" ht="15" customHeight="1">
      <c r="A529" t="inlineStr">
        <is>
          <t>A 19614-2025</t>
        </is>
      </c>
      <c r="B529" s="1" t="n">
        <v>45770.61505787037</v>
      </c>
      <c r="C529" s="1" t="n">
        <v>45883</v>
      </c>
      <c r="D529" t="inlineStr">
        <is>
          <t>VÄSTERBOTTENS LÄN</t>
        </is>
      </c>
      <c r="E529" t="inlineStr">
        <is>
          <t>ÅSELE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49926-2023</t>
        </is>
      </c>
      <c r="B530" s="1" t="n">
        <v>45214.87300925926</v>
      </c>
      <c r="C530" s="1" t="n">
        <v>45883</v>
      </c>
      <c r="D530" t="inlineStr">
        <is>
          <t>VÄSTERBOTTENS LÄN</t>
        </is>
      </c>
      <c r="E530" t="inlineStr">
        <is>
          <t>ÅSELE</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49928-2023</t>
        </is>
      </c>
      <c r="B531" s="1" t="n">
        <v>45214.93665509259</v>
      </c>
      <c r="C531" s="1" t="n">
        <v>45883</v>
      </c>
      <c r="D531" t="inlineStr">
        <is>
          <t>VÄSTERBOTTENS LÄN</t>
        </is>
      </c>
      <c r="E531" t="inlineStr">
        <is>
          <t>ÅSELE</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27868-2023</t>
        </is>
      </c>
      <c r="B532" s="1" t="n">
        <v>45098</v>
      </c>
      <c r="C532" s="1" t="n">
        <v>45883</v>
      </c>
      <c r="D532" t="inlineStr">
        <is>
          <t>VÄSTERBOTTENS LÄN</t>
        </is>
      </c>
      <c r="E532" t="inlineStr">
        <is>
          <t>ÅSELE</t>
        </is>
      </c>
      <c r="F532" t="inlineStr">
        <is>
          <t>Sveaskog</t>
        </is>
      </c>
      <c r="G532" t="n">
        <v>2.3</v>
      </c>
      <c r="H532" t="n">
        <v>0</v>
      </c>
      <c r="I532" t="n">
        <v>0</v>
      </c>
      <c r="J532" t="n">
        <v>0</v>
      </c>
      <c r="K532" t="n">
        <v>0</v>
      </c>
      <c r="L532" t="n">
        <v>0</v>
      </c>
      <c r="M532" t="n">
        <v>0</v>
      </c>
      <c r="N532" t="n">
        <v>0</v>
      </c>
      <c r="O532" t="n">
        <v>0</v>
      </c>
      <c r="P532" t="n">
        <v>0</v>
      </c>
      <c r="Q532" t="n">
        <v>0</v>
      </c>
      <c r="R532" s="2" t="inlineStr"/>
    </row>
    <row r="533" ht="15" customHeight="1">
      <c r="A533" t="inlineStr">
        <is>
          <t>A 2893-2025</t>
        </is>
      </c>
      <c r="B533" s="1" t="n">
        <v>45677</v>
      </c>
      <c r="C533" s="1" t="n">
        <v>45883</v>
      </c>
      <c r="D533" t="inlineStr">
        <is>
          <t>VÄSTERBOTTENS LÄN</t>
        </is>
      </c>
      <c r="E533" t="inlineStr">
        <is>
          <t>ÅSELE</t>
        </is>
      </c>
      <c r="G533" t="n">
        <v>2.9</v>
      </c>
      <c r="H533" t="n">
        <v>0</v>
      </c>
      <c r="I533" t="n">
        <v>0</v>
      </c>
      <c r="J533" t="n">
        <v>0</v>
      </c>
      <c r="K533" t="n">
        <v>0</v>
      </c>
      <c r="L533" t="n">
        <v>0</v>
      </c>
      <c r="M533" t="n">
        <v>0</v>
      </c>
      <c r="N533" t="n">
        <v>0</v>
      </c>
      <c r="O533" t="n">
        <v>0</v>
      </c>
      <c r="P533" t="n">
        <v>0</v>
      </c>
      <c r="Q533" t="n">
        <v>0</v>
      </c>
      <c r="R533" s="2" t="inlineStr"/>
    </row>
    <row r="534" ht="15" customHeight="1">
      <c r="A534" t="inlineStr">
        <is>
          <t>A 54957-2024</t>
        </is>
      </c>
      <c r="B534" s="1" t="n">
        <v>45619</v>
      </c>
      <c r="C534" s="1" t="n">
        <v>45883</v>
      </c>
      <c r="D534" t="inlineStr">
        <is>
          <t>VÄSTERBOTTENS LÄN</t>
        </is>
      </c>
      <c r="E534" t="inlineStr">
        <is>
          <t>ÅSELE</t>
        </is>
      </c>
      <c r="F534" t="inlineStr">
        <is>
          <t>SCA</t>
        </is>
      </c>
      <c r="G534" t="n">
        <v>17.4</v>
      </c>
      <c r="H534" t="n">
        <v>0</v>
      </c>
      <c r="I534" t="n">
        <v>0</v>
      </c>
      <c r="J534" t="n">
        <v>0</v>
      </c>
      <c r="K534" t="n">
        <v>0</v>
      </c>
      <c r="L534" t="n">
        <v>0</v>
      </c>
      <c r="M534" t="n">
        <v>0</v>
      </c>
      <c r="N534" t="n">
        <v>0</v>
      </c>
      <c r="O534" t="n">
        <v>0</v>
      </c>
      <c r="P534" t="n">
        <v>0</v>
      </c>
      <c r="Q534" t="n">
        <v>0</v>
      </c>
      <c r="R534" s="2" t="inlineStr"/>
    </row>
    <row r="535" ht="15" customHeight="1">
      <c r="A535" t="inlineStr">
        <is>
          <t>A 34900-2025</t>
        </is>
      </c>
      <c r="B535" s="1" t="n">
        <v>45849.5046875</v>
      </c>
      <c r="C535" s="1" t="n">
        <v>45883</v>
      </c>
      <c r="D535" t="inlineStr">
        <is>
          <t>VÄSTERBOTTENS LÄN</t>
        </is>
      </c>
      <c r="E535" t="inlineStr">
        <is>
          <t>ÅSELE</t>
        </is>
      </c>
      <c r="G535" t="n">
        <v>1.4</v>
      </c>
      <c r="H535" t="n">
        <v>0</v>
      </c>
      <c r="I535" t="n">
        <v>0</v>
      </c>
      <c r="J535" t="n">
        <v>0</v>
      </c>
      <c r="K535" t="n">
        <v>0</v>
      </c>
      <c r="L535" t="n">
        <v>0</v>
      </c>
      <c r="M535" t="n">
        <v>0</v>
      </c>
      <c r="N535" t="n">
        <v>0</v>
      </c>
      <c r="O535" t="n">
        <v>0</v>
      </c>
      <c r="P535" t="n">
        <v>0</v>
      </c>
      <c r="Q535" t="n">
        <v>0</v>
      </c>
      <c r="R535" s="2" t="inlineStr"/>
    </row>
    <row r="536" ht="15" customHeight="1">
      <c r="A536" t="inlineStr">
        <is>
          <t>A 34883-2025</t>
        </is>
      </c>
      <c r="B536" s="1" t="n">
        <v>45849.46943287037</v>
      </c>
      <c r="C536" s="1" t="n">
        <v>45883</v>
      </c>
      <c r="D536" t="inlineStr">
        <is>
          <t>VÄSTERBOTTENS LÄN</t>
        </is>
      </c>
      <c r="E536" t="inlineStr">
        <is>
          <t>ÅSELE</t>
        </is>
      </c>
      <c r="F536" t="inlineStr">
        <is>
          <t>SCA</t>
        </is>
      </c>
      <c r="G536" t="n">
        <v>13.3</v>
      </c>
      <c r="H536" t="n">
        <v>0</v>
      </c>
      <c r="I536" t="n">
        <v>0</v>
      </c>
      <c r="J536" t="n">
        <v>0</v>
      </c>
      <c r="K536" t="n">
        <v>0</v>
      </c>
      <c r="L536" t="n">
        <v>0</v>
      </c>
      <c r="M536" t="n">
        <v>0</v>
      </c>
      <c r="N536" t="n">
        <v>0</v>
      </c>
      <c r="O536" t="n">
        <v>0</v>
      </c>
      <c r="P536" t="n">
        <v>0</v>
      </c>
      <c r="Q536" t="n">
        <v>0</v>
      </c>
      <c r="R536" s="2" t="inlineStr"/>
    </row>
    <row r="537" ht="15" customHeight="1">
      <c r="A537" t="inlineStr">
        <is>
          <t>A 56258-2023</t>
        </is>
      </c>
      <c r="B537" s="1" t="n">
        <v>45240.94754629629</v>
      </c>
      <c r="C537" s="1" t="n">
        <v>45883</v>
      </c>
      <c r="D537" t="inlineStr">
        <is>
          <t>VÄSTERBOTTENS LÄN</t>
        </is>
      </c>
      <c r="E537" t="inlineStr">
        <is>
          <t>ÅSELE</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34904-2025</t>
        </is>
      </c>
      <c r="B538" s="1" t="n">
        <v>45849.51297453704</v>
      </c>
      <c r="C538" s="1" t="n">
        <v>45883</v>
      </c>
      <c r="D538" t="inlineStr">
        <is>
          <t>VÄSTERBOTTENS LÄN</t>
        </is>
      </c>
      <c r="E538" t="inlineStr">
        <is>
          <t>ÅSELE</t>
        </is>
      </c>
      <c r="G538" t="n">
        <v>1.6</v>
      </c>
      <c r="H538" t="n">
        <v>0</v>
      </c>
      <c r="I538" t="n">
        <v>0</v>
      </c>
      <c r="J538" t="n">
        <v>0</v>
      </c>
      <c r="K538" t="n">
        <v>0</v>
      </c>
      <c r="L538" t="n">
        <v>0</v>
      </c>
      <c r="M538" t="n">
        <v>0</v>
      </c>
      <c r="N538" t="n">
        <v>0</v>
      </c>
      <c r="O538" t="n">
        <v>0</v>
      </c>
      <c r="P538" t="n">
        <v>0</v>
      </c>
      <c r="Q538" t="n">
        <v>0</v>
      </c>
      <c r="R538" s="2" t="inlineStr"/>
    </row>
    <row r="539" ht="15" customHeight="1">
      <c r="A539" t="inlineStr">
        <is>
          <t>A 26782-2025</t>
        </is>
      </c>
      <c r="B539" s="1" t="n">
        <v>45810</v>
      </c>
      <c r="C539" s="1" t="n">
        <v>45883</v>
      </c>
      <c r="D539" t="inlineStr">
        <is>
          <t>VÄSTERBOTTENS LÄN</t>
        </is>
      </c>
      <c r="E539" t="inlineStr">
        <is>
          <t>ÅSELE</t>
        </is>
      </c>
      <c r="G539" t="n">
        <v>3.3</v>
      </c>
      <c r="H539" t="n">
        <v>0</v>
      </c>
      <c r="I539" t="n">
        <v>0</v>
      </c>
      <c r="J539" t="n">
        <v>0</v>
      </c>
      <c r="K539" t="n">
        <v>0</v>
      </c>
      <c r="L539" t="n">
        <v>0</v>
      </c>
      <c r="M539" t="n">
        <v>0</v>
      </c>
      <c r="N539" t="n">
        <v>0</v>
      </c>
      <c r="O539" t="n">
        <v>0</v>
      </c>
      <c r="P539" t="n">
        <v>0</v>
      </c>
      <c r="Q539" t="n">
        <v>0</v>
      </c>
      <c r="R539" s="2" t="inlineStr"/>
    </row>
    <row r="540" ht="15" customHeight="1">
      <c r="A540" t="inlineStr">
        <is>
          <t>A 36042-2023</t>
        </is>
      </c>
      <c r="B540" s="1" t="n">
        <v>45149</v>
      </c>
      <c r="C540" s="1" t="n">
        <v>45883</v>
      </c>
      <c r="D540" t="inlineStr">
        <is>
          <t>VÄSTERBOTTENS LÄN</t>
        </is>
      </c>
      <c r="E540" t="inlineStr">
        <is>
          <t>ÅSELE</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26774-2025</t>
        </is>
      </c>
      <c r="B541" s="1" t="n">
        <v>45810.57378472222</v>
      </c>
      <c r="C541" s="1" t="n">
        <v>45883</v>
      </c>
      <c r="D541" t="inlineStr">
        <is>
          <t>VÄSTERBOTTENS LÄN</t>
        </is>
      </c>
      <c r="E541" t="inlineStr">
        <is>
          <t>ÅSELE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35861-2023</t>
        </is>
      </c>
      <c r="B542" s="1" t="n">
        <v>45147</v>
      </c>
      <c r="C542" s="1" t="n">
        <v>45883</v>
      </c>
      <c r="D542" t="inlineStr">
        <is>
          <t>VÄSTERBOTTENS LÄN</t>
        </is>
      </c>
      <c r="E542" t="inlineStr">
        <is>
          <t>ÅSELE</t>
        </is>
      </c>
      <c r="G542" t="n">
        <v>0.6</v>
      </c>
      <c r="H542" t="n">
        <v>0</v>
      </c>
      <c r="I542" t="n">
        <v>0</v>
      </c>
      <c r="J542" t="n">
        <v>0</v>
      </c>
      <c r="K542" t="n">
        <v>0</v>
      </c>
      <c r="L542" t="n">
        <v>0</v>
      </c>
      <c r="M542" t="n">
        <v>0</v>
      </c>
      <c r="N542" t="n">
        <v>0</v>
      </c>
      <c r="O542" t="n">
        <v>0</v>
      </c>
      <c r="P542" t="n">
        <v>0</v>
      </c>
      <c r="Q542" t="n">
        <v>0</v>
      </c>
      <c r="R542" s="2" t="inlineStr"/>
    </row>
    <row r="543" ht="15" customHeight="1">
      <c r="A543" t="inlineStr">
        <is>
          <t>A 20140-2022</t>
        </is>
      </c>
      <c r="B543" s="1" t="n">
        <v>44698</v>
      </c>
      <c r="C543" s="1" t="n">
        <v>45883</v>
      </c>
      <c r="D543" t="inlineStr">
        <is>
          <t>VÄSTERBOTTENS LÄN</t>
        </is>
      </c>
      <c r="E543" t="inlineStr">
        <is>
          <t>ÅSELE</t>
        </is>
      </c>
      <c r="F543" t="inlineStr">
        <is>
          <t>Holmen skog AB</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20455-2025</t>
        </is>
      </c>
      <c r="B544" s="1" t="n">
        <v>45775</v>
      </c>
      <c r="C544" s="1" t="n">
        <v>45883</v>
      </c>
      <c r="D544" t="inlineStr">
        <is>
          <t>VÄSTERBOTTENS LÄN</t>
        </is>
      </c>
      <c r="E544" t="inlineStr">
        <is>
          <t>ÅSELE</t>
        </is>
      </c>
      <c r="F544" t="inlineStr">
        <is>
          <t>SCA</t>
        </is>
      </c>
      <c r="G544" t="n">
        <v>18.4</v>
      </c>
      <c r="H544" t="n">
        <v>0</v>
      </c>
      <c r="I544" t="n">
        <v>0</v>
      </c>
      <c r="J544" t="n">
        <v>0</v>
      </c>
      <c r="K544" t="n">
        <v>0</v>
      </c>
      <c r="L544" t="n">
        <v>0</v>
      </c>
      <c r="M544" t="n">
        <v>0</v>
      </c>
      <c r="N544" t="n">
        <v>0</v>
      </c>
      <c r="O544" t="n">
        <v>0</v>
      </c>
      <c r="P544" t="n">
        <v>0</v>
      </c>
      <c r="Q544" t="n">
        <v>0</v>
      </c>
      <c r="R544" s="2" t="inlineStr"/>
    </row>
    <row r="545" ht="15" customHeight="1">
      <c r="A545" t="inlineStr">
        <is>
          <t>A 26832-2025</t>
        </is>
      </c>
      <c r="B545" s="1" t="n">
        <v>45810.65690972222</v>
      </c>
      <c r="C545" s="1" t="n">
        <v>45883</v>
      </c>
      <c r="D545" t="inlineStr">
        <is>
          <t>VÄSTERBOTTENS LÄN</t>
        </is>
      </c>
      <c r="E545" t="inlineStr">
        <is>
          <t>ÅSELE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26474-2025</t>
        </is>
      </c>
      <c r="B546" s="1" t="n">
        <v>45807</v>
      </c>
      <c r="C546" s="1" t="n">
        <v>45883</v>
      </c>
      <c r="D546" t="inlineStr">
        <is>
          <t>VÄSTERBOTTENS LÄN</t>
        </is>
      </c>
      <c r="E546" t="inlineStr">
        <is>
          <t>ÅSELE</t>
        </is>
      </c>
      <c r="F546" t="inlineStr">
        <is>
          <t>SCA</t>
        </is>
      </c>
      <c r="G546" t="n">
        <v>11.5</v>
      </c>
      <c r="H546" t="n">
        <v>0</v>
      </c>
      <c r="I546" t="n">
        <v>0</v>
      </c>
      <c r="J546" t="n">
        <v>0</v>
      </c>
      <c r="K546" t="n">
        <v>0</v>
      </c>
      <c r="L546" t="n">
        <v>0</v>
      </c>
      <c r="M546" t="n">
        <v>0</v>
      </c>
      <c r="N546" t="n">
        <v>0</v>
      </c>
      <c r="O546" t="n">
        <v>0</v>
      </c>
      <c r="P546" t="n">
        <v>0</v>
      </c>
      <c r="Q546" t="n">
        <v>0</v>
      </c>
      <c r="R546" s="2" t="inlineStr"/>
    </row>
    <row r="547" ht="15" customHeight="1">
      <c r="A547" t="inlineStr">
        <is>
          <t>A 34843-2025</t>
        </is>
      </c>
      <c r="B547" s="1" t="n">
        <v>45849.40900462963</v>
      </c>
      <c r="C547" s="1" t="n">
        <v>45883</v>
      </c>
      <c r="D547" t="inlineStr">
        <is>
          <t>VÄSTERBOTTENS LÄN</t>
        </is>
      </c>
      <c r="E547" t="inlineStr">
        <is>
          <t>ÅSELE</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20302-2025</t>
        </is>
      </c>
      <c r="B548" s="1" t="n">
        <v>45774.7928587963</v>
      </c>
      <c r="C548" s="1" t="n">
        <v>45883</v>
      </c>
      <c r="D548" t="inlineStr">
        <is>
          <t>VÄSTERBOTTENS LÄN</t>
        </is>
      </c>
      <c r="E548" t="inlineStr">
        <is>
          <t>ÅSELE</t>
        </is>
      </c>
      <c r="G548" t="n">
        <v>12.7</v>
      </c>
      <c r="H548" t="n">
        <v>0</v>
      </c>
      <c r="I548" t="n">
        <v>0</v>
      </c>
      <c r="J548" t="n">
        <v>0</v>
      </c>
      <c r="K548" t="n">
        <v>0</v>
      </c>
      <c r="L548" t="n">
        <v>0</v>
      </c>
      <c r="M548" t="n">
        <v>0</v>
      </c>
      <c r="N548" t="n">
        <v>0</v>
      </c>
      <c r="O548" t="n">
        <v>0</v>
      </c>
      <c r="P548" t="n">
        <v>0</v>
      </c>
      <c r="Q548" t="n">
        <v>0</v>
      </c>
      <c r="R548" s="2" t="inlineStr"/>
    </row>
    <row r="549" ht="15" customHeight="1">
      <c r="A549" t="inlineStr">
        <is>
          <t>A 20303-2025</t>
        </is>
      </c>
      <c r="B549" s="1" t="n">
        <v>45774.80667824074</v>
      </c>
      <c r="C549" s="1" t="n">
        <v>45883</v>
      </c>
      <c r="D549" t="inlineStr">
        <is>
          <t>VÄSTERBOTTENS LÄN</t>
        </is>
      </c>
      <c r="E549" t="inlineStr">
        <is>
          <t>ÅSELE</t>
        </is>
      </c>
      <c r="G549" t="n">
        <v>4.1</v>
      </c>
      <c r="H549" t="n">
        <v>0</v>
      </c>
      <c r="I549" t="n">
        <v>0</v>
      </c>
      <c r="J549" t="n">
        <v>0</v>
      </c>
      <c r="K549" t="n">
        <v>0</v>
      </c>
      <c r="L549" t="n">
        <v>0</v>
      </c>
      <c r="M549" t="n">
        <v>0</v>
      </c>
      <c r="N549" t="n">
        <v>0</v>
      </c>
      <c r="O549" t="n">
        <v>0</v>
      </c>
      <c r="P549" t="n">
        <v>0</v>
      </c>
      <c r="Q549" t="n">
        <v>0</v>
      </c>
      <c r="R549" s="2" t="inlineStr"/>
    </row>
    <row r="550" ht="15" customHeight="1">
      <c r="A550" t="inlineStr">
        <is>
          <t>A 41861-2024</t>
        </is>
      </c>
      <c r="B550" s="1" t="n">
        <v>45561</v>
      </c>
      <c r="C550" s="1" t="n">
        <v>45883</v>
      </c>
      <c r="D550" t="inlineStr">
        <is>
          <t>VÄSTERBOTTENS LÄN</t>
        </is>
      </c>
      <c r="E550" t="inlineStr">
        <is>
          <t>ÅSELE</t>
        </is>
      </c>
      <c r="G550" t="n">
        <v>0.3</v>
      </c>
      <c r="H550" t="n">
        <v>0</v>
      </c>
      <c r="I550" t="n">
        <v>0</v>
      </c>
      <c r="J550" t="n">
        <v>0</v>
      </c>
      <c r="K550" t="n">
        <v>0</v>
      </c>
      <c r="L550" t="n">
        <v>0</v>
      </c>
      <c r="M550" t="n">
        <v>0</v>
      </c>
      <c r="N550" t="n">
        <v>0</v>
      </c>
      <c r="O550" t="n">
        <v>0</v>
      </c>
      <c r="P550" t="n">
        <v>0</v>
      </c>
      <c r="Q550" t="n">
        <v>0</v>
      </c>
      <c r="R550" s="2" t="inlineStr"/>
    </row>
    <row r="551" ht="15" customHeight="1">
      <c r="A551" t="inlineStr">
        <is>
          <t>A 34852-2025</t>
        </is>
      </c>
      <c r="B551" s="1" t="n">
        <v>45849.42777777778</v>
      </c>
      <c r="C551" s="1" t="n">
        <v>45883</v>
      </c>
      <c r="D551" t="inlineStr">
        <is>
          <t>VÄSTERBOTTENS LÄN</t>
        </is>
      </c>
      <c r="E551" t="inlineStr">
        <is>
          <t>ÅSELE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34808-2025</t>
        </is>
      </c>
      <c r="B552" s="1" t="n">
        <v>45849.34042824074</v>
      </c>
      <c r="C552" s="1" t="n">
        <v>45883</v>
      </c>
      <c r="D552" t="inlineStr">
        <is>
          <t>VÄSTERBOTTENS LÄN</t>
        </is>
      </c>
      <c r="E552" t="inlineStr">
        <is>
          <t>ÅSELE</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37576-2024</t>
        </is>
      </c>
      <c r="B553" s="1" t="n">
        <v>45541</v>
      </c>
      <c r="C553" s="1" t="n">
        <v>45883</v>
      </c>
      <c r="D553" t="inlineStr">
        <is>
          <t>VÄSTERBOTTENS LÄN</t>
        </is>
      </c>
      <c r="E553" t="inlineStr">
        <is>
          <t>ÅSELE</t>
        </is>
      </c>
      <c r="F553" t="inlineStr">
        <is>
          <t>Holmen skog AB</t>
        </is>
      </c>
      <c r="G553" t="n">
        <v>17</v>
      </c>
      <c r="H553" t="n">
        <v>0</v>
      </c>
      <c r="I553" t="n">
        <v>0</v>
      </c>
      <c r="J553" t="n">
        <v>0</v>
      </c>
      <c r="K553" t="n">
        <v>0</v>
      </c>
      <c r="L553" t="n">
        <v>0</v>
      </c>
      <c r="M553" t="n">
        <v>0</v>
      </c>
      <c r="N553" t="n">
        <v>0</v>
      </c>
      <c r="O553" t="n">
        <v>0</v>
      </c>
      <c r="P553" t="n">
        <v>0</v>
      </c>
      <c r="Q553" t="n">
        <v>0</v>
      </c>
      <c r="R553" s="2" t="inlineStr"/>
    </row>
    <row r="554" ht="15" customHeight="1">
      <c r="A554" t="inlineStr">
        <is>
          <t>A 3199-2025</t>
        </is>
      </c>
      <c r="B554" s="1" t="n">
        <v>45679</v>
      </c>
      <c r="C554" s="1" t="n">
        <v>45883</v>
      </c>
      <c r="D554" t="inlineStr">
        <is>
          <t>VÄSTERBOTTENS LÄN</t>
        </is>
      </c>
      <c r="E554" t="inlineStr">
        <is>
          <t>ÅSELE</t>
        </is>
      </c>
      <c r="G554" t="n">
        <v>7</v>
      </c>
      <c r="H554" t="n">
        <v>0</v>
      </c>
      <c r="I554" t="n">
        <v>0</v>
      </c>
      <c r="J554" t="n">
        <v>0</v>
      </c>
      <c r="K554" t="n">
        <v>0</v>
      </c>
      <c r="L554" t="n">
        <v>0</v>
      </c>
      <c r="M554" t="n">
        <v>0</v>
      </c>
      <c r="N554" t="n">
        <v>0</v>
      </c>
      <c r="O554" t="n">
        <v>0</v>
      </c>
      <c r="P554" t="n">
        <v>0</v>
      </c>
      <c r="Q554" t="n">
        <v>0</v>
      </c>
      <c r="R554" s="2" t="inlineStr"/>
    </row>
    <row r="555" ht="15" customHeight="1">
      <c r="A555" t="inlineStr">
        <is>
          <t>A 27168-2025</t>
        </is>
      </c>
      <c r="B555" s="1" t="n">
        <v>45812.34475694445</v>
      </c>
      <c r="C555" s="1" t="n">
        <v>45883</v>
      </c>
      <c r="D555" t="inlineStr">
        <is>
          <t>VÄSTERBOTTENS LÄN</t>
        </is>
      </c>
      <c r="E555" t="inlineStr">
        <is>
          <t>ÅSELE</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28728-2023</t>
        </is>
      </c>
      <c r="B556" s="1" t="n">
        <v>45103</v>
      </c>
      <c r="C556" s="1" t="n">
        <v>45883</v>
      </c>
      <c r="D556" t="inlineStr">
        <is>
          <t>VÄSTERBOTTENS LÄN</t>
        </is>
      </c>
      <c r="E556" t="inlineStr">
        <is>
          <t>ÅSELE</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28731-2023</t>
        </is>
      </c>
      <c r="B557" s="1" t="n">
        <v>45103</v>
      </c>
      <c r="C557" s="1" t="n">
        <v>45883</v>
      </c>
      <c r="D557" t="inlineStr">
        <is>
          <t>VÄSTERBOTTENS LÄN</t>
        </is>
      </c>
      <c r="E557" t="inlineStr">
        <is>
          <t>ÅSELE</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45800-2023</t>
        </is>
      </c>
      <c r="B558" s="1" t="n">
        <v>45189</v>
      </c>
      <c r="C558" s="1" t="n">
        <v>45883</v>
      </c>
      <c r="D558" t="inlineStr">
        <is>
          <t>VÄSTERBOTTENS LÄN</t>
        </is>
      </c>
      <c r="E558" t="inlineStr">
        <is>
          <t>ÅSELE</t>
        </is>
      </c>
      <c r="G558" t="n">
        <v>42.1</v>
      </c>
      <c r="H558" t="n">
        <v>0</v>
      </c>
      <c r="I558" t="n">
        <v>0</v>
      </c>
      <c r="J558" t="n">
        <v>0</v>
      </c>
      <c r="K558" t="n">
        <v>0</v>
      </c>
      <c r="L558" t="n">
        <v>0</v>
      </c>
      <c r="M558" t="n">
        <v>0</v>
      </c>
      <c r="N558" t="n">
        <v>0</v>
      </c>
      <c r="O558" t="n">
        <v>0</v>
      </c>
      <c r="P558" t="n">
        <v>0</v>
      </c>
      <c r="Q558" t="n">
        <v>0</v>
      </c>
      <c r="R558" s="2" t="inlineStr"/>
    </row>
    <row r="559" ht="15" customHeight="1">
      <c r="A559" t="inlineStr">
        <is>
          <t>A 55920-2023</t>
        </is>
      </c>
      <c r="B559" s="1" t="n">
        <v>45239.96893518518</v>
      </c>
      <c r="C559" s="1" t="n">
        <v>45883</v>
      </c>
      <c r="D559" t="inlineStr">
        <is>
          <t>VÄSTERBOTTENS LÄN</t>
        </is>
      </c>
      <c r="E559" t="inlineStr">
        <is>
          <t>ÅSELE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38076-2023</t>
        </is>
      </c>
      <c r="B560" s="1" t="n">
        <v>45160</v>
      </c>
      <c r="C560" s="1" t="n">
        <v>45883</v>
      </c>
      <c r="D560" t="inlineStr">
        <is>
          <t>VÄSTERBOTTENS LÄN</t>
        </is>
      </c>
      <c r="E560" t="inlineStr">
        <is>
          <t>ÅSELE</t>
        </is>
      </c>
      <c r="G560" t="n">
        <v>3.1</v>
      </c>
      <c r="H560" t="n">
        <v>0</v>
      </c>
      <c r="I560" t="n">
        <v>0</v>
      </c>
      <c r="J560" t="n">
        <v>0</v>
      </c>
      <c r="K560" t="n">
        <v>0</v>
      </c>
      <c r="L560" t="n">
        <v>0</v>
      </c>
      <c r="M560" t="n">
        <v>0</v>
      </c>
      <c r="N560" t="n">
        <v>0</v>
      </c>
      <c r="O560" t="n">
        <v>0</v>
      </c>
      <c r="P560" t="n">
        <v>0</v>
      </c>
      <c r="Q560" t="n">
        <v>0</v>
      </c>
      <c r="R560" s="2" t="inlineStr"/>
    </row>
    <row r="561" ht="15" customHeight="1">
      <c r="A561" t="inlineStr">
        <is>
          <t>A 54746-2023</t>
        </is>
      </c>
      <c r="B561" s="1" t="n">
        <v>45236.4175</v>
      </c>
      <c r="C561" s="1" t="n">
        <v>45883</v>
      </c>
      <c r="D561" t="inlineStr">
        <is>
          <t>VÄSTERBOTTENS LÄN</t>
        </is>
      </c>
      <c r="E561" t="inlineStr">
        <is>
          <t>ÅSELE</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54765-2023</t>
        </is>
      </c>
      <c r="B562" s="1" t="n">
        <v>45236.45083333334</v>
      </c>
      <c r="C562" s="1" t="n">
        <v>45883</v>
      </c>
      <c r="D562" t="inlineStr">
        <is>
          <t>VÄSTERBOTTENS LÄN</t>
        </is>
      </c>
      <c r="E562" t="inlineStr">
        <is>
          <t>ÅSELE</t>
        </is>
      </c>
      <c r="F562" t="inlineStr">
        <is>
          <t>Sveaskog</t>
        </is>
      </c>
      <c r="G562" t="n">
        <v>18.9</v>
      </c>
      <c r="H562" t="n">
        <v>0</v>
      </c>
      <c r="I562" t="n">
        <v>0</v>
      </c>
      <c r="J562" t="n">
        <v>0</v>
      </c>
      <c r="K562" t="n">
        <v>0</v>
      </c>
      <c r="L562" t="n">
        <v>0</v>
      </c>
      <c r="M562" t="n">
        <v>0</v>
      </c>
      <c r="N562" t="n">
        <v>0</v>
      </c>
      <c r="O562" t="n">
        <v>0</v>
      </c>
      <c r="P562" t="n">
        <v>0</v>
      </c>
      <c r="Q562" t="n">
        <v>0</v>
      </c>
      <c r="R562" s="2" t="inlineStr"/>
    </row>
    <row r="563" ht="15" customHeight="1">
      <c r="A563" t="inlineStr">
        <is>
          <t>A 27698-2025</t>
        </is>
      </c>
      <c r="B563" s="1" t="n">
        <v>45813.67741898148</v>
      </c>
      <c r="C563" s="1" t="n">
        <v>45883</v>
      </c>
      <c r="D563" t="inlineStr">
        <is>
          <t>VÄSTERBOTTENS LÄN</t>
        </is>
      </c>
      <c r="E563" t="inlineStr">
        <is>
          <t>ÅSELE</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27722-2025</t>
        </is>
      </c>
      <c r="B564" s="1" t="n">
        <v>45814</v>
      </c>
      <c r="C564" s="1" t="n">
        <v>45883</v>
      </c>
      <c r="D564" t="inlineStr">
        <is>
          <t>VÄSTERBOTTENS LÄN</t>
        </is>
      </c>
      <c r="E564" t="inlineStr">
        <is>
          <t>ÅSELE</t>
        </is>
      </c>
      <c r="G564" t="n">
        <v>11</v>
      </c>
      <c r="H564" t="n">
        <v>0</v>
      </c>
      <c r="I564" t="n">
        <v>0</v>
      </c>
      <c r="J564" t="n">
        <v>0</v>
      </c>
      <c r="K564" t="n">
        <v>0</v>
      </c>
      <c r="L564" t="n">
        <v>0</v>
      </c>
      <c r="M564" t="n">
        <v>0</v>
      </c>
      <c r="N564" t="n">
        <v>0</v>
      </c>
      <c r="O564" t="n">
        <v>0</v>
      </c>
      <c r="P564" t="n">
        <v>0</v>
      </c>
      <c r="Q564" t="n">
        <v>0</v>
      </c>
      <c r="R564" s="2" t="inlineStr"/>
    </row>
    <row r="565" ht="15" customHeight="1">
      <c r="A565" t="inlineStr">
        <is>
          <t>A 27720-2025</t>
        </is>
      </c>
      <c r="B565" s="1" t="n">
        <v>45814</v>
      </c>
      <c r="C565" s="1" t="n">
        <v>45883</v>
      </c>
      <c r="D565" t="inlineStr">
        <is>
          <t>VÄSTERBOTTENS LÄN</t>
        </is>
      </c>
      <c r="E565" t="inlineStr">
        <is>
          <t>ÅSELE</t>
        </is>
      </c>
      <c r="G565" t="n">
        <v>4.7</v>
      </c>
      <c r="H565" t="n">
        <v>0</v>
      </c>
      <c r="I565" t="n">
        <v>0</v>
      </c>
      <c r="J565" t="n">
        <v>0</v>
      </c>
      <c r="K565" t="n">
        <v>0</v>
      </c>
      <c r="L565" t="n">
        <v>0</v>
      </c>
      <c r="M565" t="n">
        <v>0</v>
      </c>
      <c r="N565" t="n">
        <v>0</v>
      </c>
      <c r="O565" t="n">
        <v>0</v>
      </c>
      <c r="P565" t="n">
        <v>0</v>
      </c>
      <c r="Q565" t="n">
        <v>0</v>
      </c>
      <c r="R565" s="2" t="inlineStr"/>
    </row>
    <row r="566" ht="15" customHeight="1">
      <c r="A566" t="inlineStr">
        <is>
          <t>A 35556-2025</t>
        </is>
      </c>
      <c r="B566" s="1" t="n">
        <v>45856.52092592593</v>
      </c>
      <c r="C566" s="1" t="n">
        <v>45883</v>
      </c>
      <c r="D566" t="inlineStr">
        <is>
          <t>VÄSTERBOTTENS LÄN</t>
        </is>
      </c>
      <c r="E566" t="inlineStr">
        <is>
          <t>ÅSELE</t>
        </is>
      </c>
      <c r="F566" t="inlineStr">
        <is>
          <t>Naturvårdsverket</t>
        </is>
      </c>
      <c r="G566" t="n">
        <v>8.9</v>
      </c>
      <c r="H566" t="n">
        <v>0</v>
      </c>
      <c r="I566" t="n">
        <v>0</v>
      </c>
      <c r="J566" t="n">
        <v>0</v>
      </c>
      <c r="K566" t="n">
        <v>0</v>
      </c>
      <c r="L566" t="n">
        <v>0</v>
      </c>
      <c r="M566" t="n">
        <v>0</v>
      </c>
      <c r="N566" t="n">
        <v>0</v>
      </c>
      <c r="O566" t="n">
        <v>0</v>
      </c>
      <c r="P566" t="n">
        <v>0</v>
      </c>
      <c r="Q566" t="n">
        <v>0</v>
      </c>
      <c r="R566" s="2" t="inlineStr"/>
    </row>
    <row r="567" ht="15" customHeight="1">
      <c r="A567" t="inlineStr">
        <is>
          <t>A 34661-2025</t>
        </is>
      </c>
      <c r="B567" s="1" t="n">
        <v>45848.3715625</v>
      </c>
      <c r="C567" s="1" t="n">
        <v>45883</v>
      </c>
      <c r="D567" t="inlineStr">
        <is>
          <t>VÄSTERBOTTENS LÄN</t>
        </is>
      </c>
      <c r="E567" t="inlineStr">
        <is>
          <t>ÅSELE</t>
        </is>
      </c>
      <c r="G567" t="n">
        <v>0.6</v>
      </c>
      <c r="H567" t="n">
        <v>0</v>
      </c>
      <c r="I567" t="n">
        <v>0</v>
      </c>
      <c r="J567" t="n">
        <v>0</v>
      </c>
      <c r="K567" t="n">
        <v>0</v>
      </c>
      <c r="L567" t="n">
        <v>0</v>
      </c>
      <c r="M567" t="n">
        <v>0</v>
      </c>
      <c r="N567" t="n">
        <v>0</v>
      </c>
      <c r="O567" t="n">
        <v>0</v>
      </c>
      <c r="P567" t="n">
        <v>0</v>
      </c>
      <c r="Q567" t="n">
        <v>0</v>
      </c>
      <c r="R567" s="2" t="inlineStr"/>
    </row>
    <row r="568" ht="15" customHeight="1">
      <c r="A568" t="inlineStr">
        <is>
          <t>A 43768-2023</t>
        </is>
      </c>
      <c r="B568" s="1" t="n">
        <v>45187.50721064815</v>
      </c>
      <c r="C568" s="1" t="n">
        <v>45883</v>
      </c>
      <c r="D568" t="inlineStr">
        <is>
          <t>VÄSTERBOTTENS LÄN</t>
        </is>
      </c>
      <c r="E568" t="inlineStr">
        <is>
          <t>ÅSELE</t>
        </is>
      </c>
      <c r="G568" t="n">
        <v>1.7</v>
      </c>
      <c r="H568" t="n">
        <v>0</v>
      </c>
      <c r="I568" t="n">
        <v>0</v>
      </c>
      <c r="J568" t="n">
        <v>0</v>
      </c>
      <c r="K568" t="n">
        <v>0</v>
      </c>
      <c r="L568" t="n">
        <v>0</v>
      </c>
      <c r="M568" t="n">
        <v>0</v>
      </c>
      <c r="N568" t="n">
        <v>0</v>
      </c>
      <c r="O568" t="n">
        <v>0</v>
      </c>
      <c r="P568" t="n">
        <v>0</v>
      </c>
      <c r="Q568" t="n">
        <v>0</v>
      </c>
      <c r="R568" s="2" t="inlineStr"/>
    </row>
    <row r="569" ht="15" customHeight="1">
      <c r="A569" t="inlineStr">
        <is>
          <t>A 41411-2023</t>
        </is>
      </c>
      <c r="B569" s="1" t="n">
        <v>45174.93942129629</v>
      </c>
      <c r="C569" s="1" t="n">
        <v>45883</v>
      </c>
      <c r="D569" t="inlineStr">
        <is>
          <t>VÄSTERBOTTENS LÄN</t>
        </is>
      </c>
      <c r="E569" t="inlineStr">
        <is>
          <t>ÅSELE</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31402-2022</t>
        </is>
      </c>
      <c r="B570" s="1" t="n">
        <v>44774</v>
      </c>
      <c r="C570" s="1" t="n">
        <v>45883</v>
      </c>
      <c r="D570" t="inlineStr">
        <is>
          <t>VÄSTERBOTTENS LÄN</t>
        </is>
      </c>
      <c r="E570" t="inlineStr">
        <is>
          <t>ÅSELE</t>
        </is>
      </c>
      <c r="G570" t="n">
        <v>7.7</v>
      </c>
      <c r="H570" t="n">
        <v>0</v>
      </c>
      <c r="I570" t="n">
        <v>0</v>
      </c>
      <c r="J570" t="n">
        <v>0</v>
      </c>
      <c r="K570" t="n">
        <v>0</v>
      </c>
      <c r="L570" t="n">
        <v>0</v>
      </c>
      <c r="M570" t="n">
        <v>0</v>
      </c>
      <c r="N570" t="n">
        <v>0</v>
      </c>
      <c r="O570" t="n">
        <v>0</v>
      </c>
      <c r="P570" t="n">
        <v>0</v>
      </c>
      <c r="Q570" t="n">
        <v>0</v>
      </c>
      <c r="R570" s="2" t="inlineStr"/>
    </row>
    <row r="571" ht="15" customHeight="1">
      <c r="A571" t="inlineStr">
        <is>
          <t>A 27721-2025</t>
        </is>
      </c>
      <c r="B571" s="1" t="n">
        <v>45814</v>
      </c>
      <c r="C571" s="1" t="n">
        <v>45883</v>
      </c>
      <c r="D571" t="inlineStr">
        <is>
          <t>VÄSTERBOTTENS LÄN</t>
        </is>
      </c>
      <c r="E571" t="inlineStr">
        <is>
          <t>ÅSELE</t>
        </is>
      </c>
      <c r="G571" t="n">
        <v>3.7</v>
      </c>
      <c r="H571" t="n">
        <v>0</v>
      </c>
      <c r="I571" t="n">
        <v>0</v>
      </c>
      <c r="J571" t="n">
        <v>0</v>
      </c>
      <c r="K571" t="n">
        <v>0</v>
      </c>
      <c r="L571" t="n">
        <v>0</v>
      </c>
      <c r="M571" t="n">
        <v>0</v>
      </c>
      <c r="N571" t="n">
        <v>0</v>
      </c>
      <c r="O571" t="n">
        <v>0</v>
      </c>
      <c r="P571" t="n">
        <v>0</v>
      </c>
      <c r="Q571" t="n">
        <v>0</v>
      </c>
      <c r="R571" s="2" t="inlineStr"/>
    </row>
    <row r="572" ht="15" customHeight="1">
      <c r="A572" t="inlineStr">
        <is>
          <t>A 27723-2025</t>
        </is>
      </c>
      <c r="B572" s="1" t="n">
        <v>45814.39700231481</v>
      </c>
      <c r="C572" s="1" t="n">
        <v>45883</v>
      </c>
      <c r="D572" t="inlineStr">
        <is>
          <t>VÄSTERBOTTENS LÄN</t>
        </is>
      </c>
      <c r="E572" t="inlineStr">
        <is>
          <t>ÅSELE</t>
        </is>
      </c>
      <c r="G572" t="n">
        <v>3.6</v>
      </c>
      <c r="H572" t="n">
        <v>0</v>
      </c>
      <c r="I572" t="n">
        <v>0</v>
      </c>
      <c r="J572" t="n">
        <v>0</v>
      </c>
      <c r="K572" t="n">
        <v>0</v>
      </c>
      <c r="L572" t="n">
        <v>0</v>
      </c>
      <c r="M572" t="n">
        <v>0</v>
      </c>
      <c r="N572" t="n">
        <v>0</v>
      </c>
      <c r="O572" t="n">
        <v>0</v>
      </c>
      <c r="P572" t="n">
        <v>0</v>
      </c>
      <c r="Q572" t="n">
        <v>0</v>
      </c>
      <c r="R572" s="2" t="inlineStr"/>
    </row>
    <row r="573" ht="15" customHeight="1">
      <c r="A573" t="inlineStr">
        <is>
          <t>A 35549-2025</t>
        </is>
      </c>
      <c r="B573" s="1" t="n">
        <v>45856.49295138889</v>
      </c>
      <c r="C573" s="1" t="n">
        <v>45883</v>
      </c>
      <c r="D573" t="inlineStr">
        <is>
          <t>VÄSTERBOTTENS LÄN</t>
        </is>
      </c>
      <c r="E573" t="inlineStr">
        <is>
          <t>ÅSELE</t>
        </is>
      </c>
      <c r="F573" t="inlineStr">
        <is>
          <t>Naturvårdsverket</t>
        </is>
      </c>
      <c r="G573" t="n">
        <v>2.4</v>
      </c>
      <c r="H573" t="n">
        <v>0</v>
      </c>
      <c r="I573" t="n">
        <v>0</v>
      </c>
      <c r="J573" t="n">
        <v>0</v>
      </c>
      <c r="K573" t="n">
        <v>0</v>
      </c>
      <c r="L573" t="n">
        <v>0</v>
      </c>
      <c r="M573" t="n">
        <v>0</v>
      </c>
      <c r="N573" t="n">
        <v>0</v>
      </c>
      <c r="O573" t="n">
        <v>0</v>
      </c>
      <c r="P573" t="n">
        <v>0</v>
      </c>
      <c r="Q573" t="n">
        <v>0</v>
      </c>
      <c r="R573" s="2" t="inlineStr"/>
    </row>
    <row r="574" ht="15" customHeight="1">
      <c r="A574" t="inlineStr">
        <is>
          <t>A 27464-2025</t>
        </is>
      </c>
      <c r="B574" s="1" t="n">
        <v>45813</v>
      </c>
      <c r="C574" s="1" t="n">
        <v>45883</v>
      </c>
      <c r="D574" t="inlineStr">
        <is>
          <t>VÄSTERBOTTENS LÄN</t>
        </is>
      </c>
      <c r="E574" t="inlineStr">
        <is>
          <t>ÅSELE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30491-2022</t>
        </is>
      </c>
      <c r="B575" s="1" t="n">
        <v>44761</v>
      </c>
      <c r="C575" s="1" t="n">
        <v>45883</v>
      </c>
      <c r="D575" t="inlineStr">
        <is>
          <t>VÄSTERBOTTENS LÄN</t>
        </is>
      </c>
      <c r="E575" t="inlineStr">
        <is>
          <t>ÅSELE</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18578-2022</t>
        </is>
      </c>
      <c r="B576" s="1" t="n">
        <v>44687.30193287037</v>
      </c>
      <c r="C576" s="1" t="n">
        <v>45883</v>
      </c>
      <c r="D576" t="inlineStr">
        <is>
          <t>VÄSTERBOTTENS LÄN</t>
        </is>
      </c>
      <c r="E576" t="inlineStr">
        <is>
          <t>ÅSELE</t>
        </is>
      </c>
      <c r="F576" t="inlineStr">
        <is>
          <t>Holmen skog AB</t>
        </is>
      </c>
      <c r="G576" t="n">
        <v>1.6</v>
      </c>
      <c r="H576" t="n">
        <v>0</v>
      </c>
      <c r="I576" t="n">
        <v>0</v>
      </c>
      <c r="J576" t="n">
        <v>0</v>
      </c>
      <c r="K576" t="n">
        <v>0</v>
      </c>
      <c r="L576" t="n">
        <v>0</v>
      </c>
      <c r="M576" t="n">
        <v>0</v>
      </c>
      <c r="N576" t="n">
        <v>0</v>
      </c>
      <c r="O576" t="n">
        <v>0</v>
      </c>
      <c r="P576" t="n">
        <v>0</v>
      </c>
      <c r="Q576" t="n">
        <v>0</v>
      </c>
      <c r="R576" s="2" t="inlineStr"/>
    </row>
    <row r="577" ht="15" customHeight="1">
      <c r="A577" t="inlineStr">
        <is>
          <t>A 6011-2021</t>
        </is>
      </c>
      <c r="B577" s="1" t="n">
        <v>44231</v>
      </c>
      <c r="C577" s="1" t="n">
        <v>45883</v>
      </c>
      <c r="D577" t="inlineStr">
        <is>
          <t>VÄSTERBOTTENS LÄN</t>
        </is>
      </c>
      <c r="E577" t="inlineStr">
        <is>
          <t>ÅSELE</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6023-2021</t>
        </is>
      </c>
      <c r="B578" s="1" t="n">
        <v>44231</v>
      </c>
      <c r="C578" s="1" t="n">
        <v>45883</v>
      </c>
      <c r="D578" t="inlineStr">
        <is>
          <t>VÄSTERBOTTENS LÄN</t>
        </is>
      </c>
      <c r="E578" t="inlineStr">
        <is>
          <t>ÅSELE</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21194-2025</t>
        </is>
      </c>
      <c r="B579" s="1" t="n">
        <v>45779</v>
      </c>
      <c r="C579" s="1" t="n">
        <v>45883</v>
      </c>
      <c r="D579" t="inlineStr">
        <is>
          <t>VÄSTERBOTTENS LÄN</t>
        </is>
      </c>
      <c r="E579" t="inlineStr">
        <is>
          <t>ÅSELE</t>
        </is>
      </c>
      <c r="F579" t="inlineStr">
        <is>
          <t>Allmännings- och besparingsskogar</t>
        </is>
      </c>
      <c r="G579" t="n">
        <v>26.2</v>
      </c>
      <c r="H579" t="n">
        <v>0</v>
      </c>
      <c r="I579" t="n">
        <v>0</v>
      </c>
      <c r="J579" t="n">
        <v>0</v>
      </c>
      <c r="K579" t="n">
        <v>0</v>
      </c>
      <c r="L579" t="n">
        <v>0</v>
      </c>
      <c r="M579" t="n">
        <v>0</v>
      </c>
      <c r="N579" t="n">
        <v>0</v>
      </c>
      <c r="O579" t="n">
        <v>0</v>
      </c>
      <c r="P579" t="n">
        <v>0</v>
      </c>
      <c r="Q579" t="n">
        <v>0</v>
      </c>
      <c r="R579" s="2" t="inlineStr"/>
    </row>
    <row r="580" ht="15" customHeight="1">
      <c r="A580" t="inlineStr">
        <is>
          <t>A 28066-2025</t>
        </is>
      </c>
      <c r="B580" s="1" t="n">
        <v>45817</v>
      </c>
      <c r="C580" s="1" t="n">
        <v>45883</v>
      </c>
      <c r="D580" t="inlineStr">
        <is>
          <t>VÄSTERBOTTENS LÄN</t>
        </is>
      </c>
      <c r="E580" t="inlineStr">
        <is>
          <t>ÅSELE</t>
        </is>
      </c>
      <c r="F580" t="inlineStr">
        <is>
          <t>Sveaskog</t>
        </is>
      </c>
      <c r="G580" t="n">
        <v>7.1</v>
      </c>
      <c r="H580" t="n">
        <v>0</v>
      </c>
      <c r="I580" t="n">
        <v>0</v>
      </c>
      <c r="J580" t="n">
        <v>0</v>
      </c>
      <c r="K580" t="n">
        <v>0</v>
      </c>
      <c r="L580" t="n">
        <v>0</v>
      </c>
      <c r="M580" t="n">
        <v>0</v>
      </c>
      <c r="N580" t="n">
        <v>0</v>
      </c>
      <c r="O580" t="n">
        <v>0</v>
      </c>
      <c r="P580" t="n">
        <v>0</v>
      </c>
      <c r="Q580" t="n">
        <v>0</v>
      </c>
      <c r="R580" s="2" t="inlineStr"/>
    </row>
    <row r="581" ht="15" customHeight="1">
      <c r="A581" t="inlineStr">
        <is>
          <t>A 28495-2025</t>
        </is>
      </c>
      <c r="B581" s="1" t="n">
        <v>45818</v>
      </c>
      <c r="C581" s="1" t="n">
        <v>45883</v>
      </c>
      <c r="D581" t="inlineStr">
        <is>
          <t>VÄSTERBOTTENS LÄN</t>
        </is>
      </c>
      <c r="E581" t="inlineStr">
        <is>
          <t>ÅSELE</t>
        </is>
      </c>
      <c r="G581" t="n">
        <v>37.6</v>
      </c>
      <c r="H581" t="n">
        <v>0</v>
      </c>
      <c r="I581" t="n">
        <v>0</v>
      </c>
      <c r="J581" t="n">
        <v>0</v>
      </c>
      <c r="K581" t="n">
        <v>0</v>
      </c>
      <c r="L581" t="n">
        <v>0</v>
      </c>
      <c r="M581" t="n">
        <v>0</v>
      </c>
      <c r="N581" t="n">
        <v>0</v>
      </c>
      <c r="O581" t="n">
        <v>0</v>
      </c>
      <c r="P581" t="n">
        <v>0</v>
      </c>
      <c r="Q581" t="n">
        <v>0</v>
      </c>
      <c r="R581" s="2" t="inlineStr"/>
    </row>
    <row r="582" ht="15" customHeight="1">
      <c r="A582" t="inlineStr">
        <is>
          <t>A 59282-2024</t>
        </is>
      </c>
      <c r="B582" s="1" t="n">
        <v>45637</v>
      </c>
      <c r="C582" s="1" t="n">
        <v>45883</v>
      </c>
      <c r="D582" t="inlineStr">
        <is>
          <t>VÄSTERBOTTENS LÄN</t>
        </is>
      </c>
      <c r="E582" t="inlineStr">
        <is>
          <t>ÅSELE</t>
        </is>
      </c>
      <c r="G582" t="n">
        <v>6.9</v>
      </c>
      <c r="H582" t="n">
        <v>0</v>
      </c>
      <c r="I582" t="n">
        <v>0</v>
      </c>
      <c r="J582" t="n">
        <v>0</v>
      </c>
      <c r="K582" t="n">
        <v>0</v>
      </c>
      <c r="L582" t="n">
        <v>0</v>
      </c>
      <c r="M582" t="n">
        <v>0</v>
      </c>
      <c r="N582" t="n">
        <v>0</v>
      </c>
      <c r="O582" t="n">
        <v>0</v>
      </c>
      <c r="P582" t="n">
        <v>0</v>
      </c>
      <c r="Q582" t="n">
        <v>0</v>
      </c>
      <c r="R582" s="2" t="inlineStr"/>
    </row>
    <row r="583" ht="15" customHeight="1">
      <c r="A583" t="inlineStr">
        <is>
          <t>A 46693-2023</t>
        </is>
      </c>
      <c r="B583" s="1" t="n">
        <v>45198</v>
      </c>
      <c r="C583" s="1" t="n">
        <v>45883</v>
      </c>
      <c r="D583" t="inlineStr">
        <is>
          <t>VÄSTERBOTTENS LÄN</t>
        </is>
      </c>
      <c r="E583" t="inlineStr">
        <is>
          <t>ÅSELE</t>
        </is>
      </c>
      <c r="F583" t="inlineStr">
        <is>
          <t>Sveaskog</t>
        </is>
      </c>
      <c r="G583" t="n">
        <v>14.8</v>
      </c>
      <c r="H583" t="n">
        <v>0</v>
      </c>
      <c r="I583" t="n">
        <v>0</v>
      </c>
      <c r="J583" t="n">
        <v>0</v>
      </c>
      <c r="K583" t="n">
        <v>0</v>
      </c>
      <c r="L583" t="n">
        <v>0</v>
      </c>
      <c r="M583" t="n">
        <v>0</v>
      </c>
      <c r="N583" t="n">
        <v>0</v>
      </c>
      <c r="O583" t="n">
        <v>0</v>
      </c>
      <c r="P583" t="n">
        <v>0</v>
      </c>
      <c r="Q583" t="n">
        <v>0</v>
      </c>
      <c r="R583" s="2" t="inlineStr"/>
    </row>
    <row r="584" ht="15" customHeight="1">
      <c r="A584" t="inlineStr">
        <is>
          <t>A 16527-2022</t>
        </is>
      </c>
      <c r="B584" s="1" t="n">
        <v>44671.94822916666</v>
      </c>
      <c r="C584" s="1" t="n">
        <v>45883</v>
      </c>
      <c r="D584" t="inlineStr">
        <is>
          <t>VÄSTERBOTTENS LÄN</t>
        </is>
      </c>
      <c r="E584" t="inlineStr">
        <is>
          <t>ÅSELE</t>
        </is>
      </c>
      <c r="G584" t="n">
        <v>6.6</v>
      </c>
      <c r="H584" t="n">
        <v>0</v>
      </c>
      <c r="I584" t="n">
        <v>0</v>
      </c>
      <c r="J584" t="n">
        <v>0</v>
      </c>
      <c r="K584" t="n">
        <v>0</v>
      </c>
      <c r="L584" t="n">
        <v>0</v>
      </c>
      <c r="M584" t="n">
        <v>0</v>
      </c>
      <c r="N584" t="n">
        <v>0</v>
      </c>
      <c r="O584" t="n">
        <v>0</v>
      </c>
      <c r="P584" t="n">
        <v>0</v>
      </c>
      <c r="Q584" t="n">
        <v>0</v>
      </c>
      <c r="R584" s="2" t="inlineStr"/>
    </row>
    <row r="585" ht="15" customHeight="1">
      <c r="A585" t="inlineStr">
        <is>
          <t>A 3566-2021</t>
        </is>
      </c>
      <c r="B585" s="1" t="n">
        <v>44218.92077546296</v>
      </c>
      <c r="C585" s="1" t="n">
        <v>45883</v>
      </c>
      <c r="D585" t="inlineStr">
        <is>
          <t>VÄSTERBOTTENS LÄN</t>
        </is>
      </c>
      <c r="E585" t="inlineStr">
        <is>
          <t>ÅSELE</t>
        </is>
      </c>
      <c r="G585" t="n">
        <v>13.3</v>
      </c>
      <c r="H585" t="n">
        <v>0</v>
      </c>
      <c r="I585" t="n">
        <v>0</v>
      </c>
      <c r="J585" t="n">
        <v>0</v>
      </c>
      <c r="K585" t="n">
        <v>0</v>
      </c>
      <c r="L585" t="n">
        <v>0</v>
      </c>
      <c r="M585" t="n">
        <v>0</v>
      </c>
      <c r="N585" t="n">
        <v>0</v>
      </c>
      <c r="O585" t="n">
        <v>0</v>
      </c>
      <c r="P585" t="n">
        <v>0</v>
      </c>
      <c r="Q585" t="n">
        <v>0</v>
      </c>
      <c r="R585" s="2" t="inlineStr"/>
    </row>
    <row r="586" ht="15" customHeight="1">
      <c r="A586" t="inlineStr">
        <is>
          <t>A 28929-2025</t>
        </is>
      </c>
      <c r="B586" s="1" t="n">
        <v>45820.6775</v>
      </c>
      <c r="C586" s="1" t="n">
        <v>45883</v>
      </c>
      <c r="D586" t="inlineStr">
        <is>
          <t>VÄSTERBOTTENS LÄN</t>
        </is>
      </c>
      <c r="E586" t="inlineStr">
        <is>
          <t>ÅSELE</t>
        </is>
      </c>
      <c r="F586" t="inlineStr">
        <is>
          <t>SCA</t>
        </is>
      </c>
      <c r="G586" t="n">
        <v>11.4</v>
      </c>
      <c r="H586" t="n">
        <v>0</v>
      </c>
      <c r="I586" t="n">
        <v>0</v>
      </c>
      <c r="J586" t="n">
        <v>0</v>
      </c>
      <c r="K586" t="n">
        <v>0</v>
      </c>
      <c r="L586" t="n">
        <v>0</v>
      </c>
      <c r="M586" t="n">
        <v>0</v>
      </c>
      <c r="N586" t="n">
        <v>0</v>
      </c>
      <c r="O586" t="n">
        <v>0</v>
      </c>
      <c r="P586" t="n">
        <v>0</v>
      </c>
      <c r="Q586" t="n">
        <v>0</v>
      </c>
      <c r="R586" s="2" t="inlineStr"/>
    </row>
    <row r="587" ht="15" customHeight="1">
      <c r="A587" t="inlineStr">
        <is>
          <t>A 41468-2022</t>
        </is>
      </c>
      <c r="B587" s="1" t="n">
        <v>44826</v>
      </c>
      <c r="C587" s="1" t="n">
        <v>45883</v>
      </c>
      <c r="D587" t="inlineStr">
        <is>
          <t>VÄSTERBOTTENS LÄN</t>
        </is>
      </c>
      <c r="E587" t="inlineStr">
        <is>
          <t>ÅSELE</t>
        </is>
      </c>
      <c r="F587" t="inlineStr">
        <is>
          <t>SCA</t>
        </is>
      </c>
      <c r="G587" t="n">
        <v>5.8</v>
      </c>
      <c r="H587" t="n">
        <v>0</v>
      </c>
      <c r="I587" t="n">
        <v>0</v>
      </c>
      <c r="J587" t="n">
        <v>0</v>
      </c>
      <c r="K587" t="n">
        <v>0</v>
      </c>
      <c r="L587" t="n">
        <v>0</v>
      </c>
      <c r="M587" t="n">
        <v>0</v>
      </c>
      <c r="N587" t="n">
        <v>0</v>
      </c>
      <c r="O587" t="n">
        <v>0</v>
      </c>
      <c r="P587" t="n">
        <v>0</v>
      </c>
      <c r="Q587" t="n">
        <v>0</v>
      </c>
      <c r="R587" s="2" t="inlineStr"/>
    </row>
    <row r="588" ht="15" customHeight="1">
      <c r="A588" t="inlineStr">
        <is>
          <t>A 28581-2025</t>
        </is>
      </c>
      <c r="B588" s="1" t="n">
        <v>45819</v>
      </c>
      <c r="C588" s="1" t="n">
        <v>45883</v>
      </c>
      <c r="D588" t="inlineStr">
        <is>
          <t>VÄSTERBOTTENS LÄN</t>
        </is>
      </c>
      <c r="E588" t="inlineStr">
        <is>
          <t>ÅSELE</t>
        </is>
      </c>
      <c r="G588" t="n">
        <v>3.9</v>
      </c>
      <c r="H588" t="n">
        <v>0</v>
      </c>
      <c r="I588" t="n">
        <v>0</v>
      </c>
      <c r="J588" t="n">
        <v>0</v>
      </c>
      <c r="K588" t="n">
        <v>0</v>
      </c>
      <c r="L588" t="n">
        <v>0</v>
      </c>
      <c r="M588" t="n">
        <v>0</v>
      </c>
      <c r="N588" t="n">
        <v>0</v>
      </c>
      <c r="O588" t="n">
        <v>0</v>
      </c>
      <c r="P588" t="n">
        <v>0</v>
      </c>
      <c r="Q588" t="n">
        <v>0</v>
      </c>
      <c r="R588" s="2" t="inlineStr"/>
    </row>
    <row r="589" ht="15" customHeight="1">
      <c r="A589" t="inlineStr">
        <is>
          <t>A 18034-2025</t>
        </is>
      </c>
      <c r="B589" s="1" t="n">
        <v>45761</v>
      </c>
      <c r="C589" s="1" t="n">
        <v>45883</v>
      </c>
      <c r="D589" t="inlineStr">
        <is>
          <t>VÄSTERBOTTENS LÄN</t>
        </is>
      </c>
      <c r="E589" t="inlineStr">
        <is>
          <t>ÅSELE</t>
        </is>
      </c>
      <c r="G589" t="n">
        <v>6.7</v>
      </c>
      <c r="H589" t="n">
        <v>0</v>
      </c>
      <c r="I589" t="n">
        <v>0</v>
      </c>
      <c r="J589" t="n">
        <v>0</v>
      </c>
      <c r="K589" t="n">
        <v>0</v>
      </c>
      <c r="L589" t="n">
        <v>0</v>
      </c>
      <c r="M589" t="n">
        <v>0</v>
      </c>
      <c r="N589" t="n">
        <v>0</v>
      </c>
      <c r="O589" t="n">
        <v>0</v>
      </c>
      <c r="P589" t="n">
        <v>0</v>
      </c>
      <c r="Q589" t="n">
        <v>0</v>
      </c>
      <c r="R589" s="2" t="inlineStr"/>
    </row>
    <row r="590" ht="15" customHeight="1">
      <c r="A590" t="inlineStr">
        <is>
          <t>A 35983-2025</t>
        </is>
      </c>
      <c r="B590" s="1" t="n">
        <v>45863.44965277778</v>
      </c>
      <c r="C590" s="1" t="n">
        <v>45883</v>
      </c>
      <c r="D590" t="inlineStr">
        <is>
          <t>VÄSTERBOTTENS LÄN</t>
        </is>
      </c>
      <c r="E590" t="inlineStr">
        <is>
          <t>ÅSELE</t>
        </is>
      </c>
      <c r="F590" t="inlineStr">
        <is>
          <t>Holmen skog AB</t>
        </is>
      </c>
      <c r="G590" t="n">
        <v>4.8</v>
      </c>
      <c r="H590" t="n">
        <v>0</v>
      </c>
      <c r="I590" t="n">
        <v>0</v>
      </c>
      <c r="J590" t="n">
        <v>0</v>
      </c>
      <c r="K590" t="n">
        <v>0</v>
      </c>
      <c r="L590" t="n">
        <v>0</v>
      </c>
      <c r="M590" t="n">
        <v>0</v>
      </c>
      <c r="N590" t="n">
        <v>0</v>
      </c>
      <c r="O590" t="n">
        <v>0</v>
      </c>
      <c r="P590" t="n">
        <v>0</v>
      </c>
      <c r="Q590" t="n">
        <v>0</v>
      </c>
      <c r="R590" s="2" t="inlineStr"/>
    </row>
    <row r="591" ht="15" customHeight="1">
      <c r="A591" t="inlineStr">
        <is>
          <t>A 61801-2023</t>
        </is>
      </c>
      <c r="B591" s="1" t="n">
        <v>45265.95881944444</v>
      </c>
      <c r="C591" s="1" t="n">
        <v>45883</v>
      </c>
      <c r="D591" t="inlineStr">
        <is>
          <t>VÄSTERBOTTENS LÄN</t>
        </is>
      </c>
      <c r="E591" t="inlineStr">
        <is>
          <t>ÅSELE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17842-2025</t>
        </is>
      </c>
      <c r="B592" s="1" t="n">
        <v>45758.59420138889</v>
      </c>
      <c r="C592" s="1" t="n">
        <v>45883</v>
      </c>
      <c r="D592" t="inlineStr">
        <is>
          <t>VÄSTERBOTTENS LÄN</t>
        </is>
      </c>
      <c r="E592" t="inlineStr">
        <is>
          <t>ÅSELE</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35976-2025</t>
        </is>
      </c>
      <c r="B593" s="1" t="n">
        <v>45863.44001157407</v>
      </c>
      <c r="C593" s="1" t="n">
        <v>45883</v>
      </c>
      <c r="D593" t="inlineStr">
        <is>
          <t>VÄSTERBOTTENS LÄN</t>
        </is>
      </c>
      <c r="E593" t="inlineStr">
        <is>
          <t>ÅSELE</t>
        </is>
      </c>
      <c r="F593" t="inlineStr">
        <is>
          <t>Holmen skog AB</t>
        </is>
      </c>
      <c r="G593" t="n">
        <v>4.1</v>
      </c>
      <c r="H593" t="n">
        <v>0</v>
      </c>
      <c r="I593" t="n">
        <v>0</v>
      </c>
      <c r="J593" t="n">
        <v>0</v>
      </c>
      <c r="K593" t="n">
        <v>0</v>
      </c>
      <c r="L593" t="n">
        <v>0</v>
      </c>
      <c r="M593" t="n">
        <v>0</v>
      </c>
      <c r="N593" t="n">
        <v>0</v>
      </c>
      <c r="O593" t="n">
        <v>0</v>
      </c>
      <c r="P593" t="n">
        <v>0</v>
      </c>
      <c r="Q593" t="n">
        <v>0</v>
      </c>
      <c r="R593" s="2" t="inlineStr"/>
    </row>
    <row r="594" ht="15" customHeight="1">
      <c r="A594" t="inlineStr">
        <is>
          <t>A 15059-2025</t>
        </is>
      </c>
      <c r="B594" s="1" t="n">
        <v>45743</v>
      </c>
      <c r="C594" s="1" t="n">
        <v>45883</v>
      </c>
      <c r="D594" t="inlineStr">
        <is>
          <t>VÄSTERBOTTENS LÄN</t>
        </is>
      </c>
      <c r="E594" t="inlineStr">
        <is>
          <t>ÅSELE</t>
        </is>
      </c>
      <c r="F594" t="inlineStr">
        <is>
          <t>Holmen skog AB</t>
        </is>
      </c>
      <c r="G594" t="n">
        <v>13.7</v>
      </c>
      <c r="H594" t="n">
        <v>0</v>
      </c>
      <c r="I594" t="n">
        <v>0</v>
      </c>
      <c r="J594" t="n">
        <v>0</v>
      </c>
      <c r="K594" t="n">
        <v>0</v>
      </c>
      <c r="L594" t="n">
        <v>0</v>
      </c>
      <c r="M594" t="n">
        <v>0</v>
      </c>
      <c r="N594" t="n">
        <v>0</v>
      </c>
      <c r="O594" t="n">
        <v>0</v>
      </c>
      <c r="P594" t="n">
        <v>0</v>
      </c>
      <c r="Q594" t="n">
        <v>0</v>
      </c>
      <c r="R594" s="2" t="inlineStr"/>
    </row>
    <row r="595" ht="15" customHeight="1">
      <c r="A595" t="inlineStr">
        <is>
          <t>A 10109-2025</t>
        </is>
      </c>
      <c r="B595" s="1" t="n">
        <v>45719</v>
      </c>
      <c r="C595" s="1" t="n">
        <v>45883</v>
      </c>
      <c r="D595" t="inlineStr">
        <is>
          <t>VÄSTERBOTTENS LÄN</t>
        </is>
      </c>
      <c r="E595" t="inlineStr">
        <is>
          <t>ÅSELE</t>
        </is>
      </c>
      <c r="G595" t="n">
        <v>3.6</v>
      </c>
      <c r="H595" t="n">
        <v>0</v>
      </c>
      <c r="I595" t="n">
        <v>0</v>
      </c>
      <c r="J595" t="n">
        <v>0</v>
      </c>
      <c r="K595" t="n">
        <v>0</v>
      </c>
      <c r="L595" t="n">
        <v>0</v>
      </c>
      <c r="M595" t="n">
        <v>0</v>
      </c>
      <c r="N595" t="n">
        <v>0</v>
      </c>
      <c r="O595" t="n">
        <v>0</v>
      </c>
      <c r="P595" t="n">
        <v>0</v>
      </c>
      <c r="Q595" t="n">
        <v>0</v>
      </c>
      <c r="R595" s="2" t="inlineStr"/>
    </row>
    <row r="596" ht="15" customHeight="1">
      <c r="A596" t="inlineStr">
        <is>
          <t>A 2608-2024</t>
        </is>
      </c>
      <c r="B596" s="1" t="n">
        <v>45313.76722222222</v>
      </c>
      <c r="C596" s="1" t="n">
        <v>45883</v>
      </c>
      <c r="D596" t="inlineStr">
        <is>
          <t>VÄSTERBOTTENS LÄN</t>
        </is>
      </c>
      <c r="E596" t="inlineStr">
        <is>
          <t>ÅSELE</t>
        </is>
      </c>
      <c r="F596" t="inlineStr">
        <is>
          <t>Övriga Aktiebolag</t>
        </is>
      </c>
      <c r="G596" t="n">
        <v>20.6</v>
      </c>
      <c r="H596" t="n">
        <v>0</v>
      </c>
      <c r="I596" t="n">
        <v>0</v>
      </c>
      <c r="J596" t="n">
        <v>0</v>
      </c>
      <c r="K596" t="n">
        <v>0</v>
      </c>
      <c r="L596" t="n">
        <v>0</v>
      </c>
      <c r="M596" t="n">
        <v>0</v>
      </c>
      <c r="N596" t="n">
        <v>0</v>
      </c>
      <c r="O596" t="n">
        <v>0</v>
      </c>
      <c r="P596" t="n">
        <v>0</v>
      </c>
      <c r="Q596" t="n">
        <v>0</v>
      </c>
      <c r="R596" s="2" t="inlineStr"/>
    </row>
    <row r="597" ht="15" customHeight="1">
      <c r="A597" t="inlineStr">
        <is>
          <t>A 36296-2025</t>
        </is>
      </c>
      <c r="B597" s="1" t="n">
        <v>45867.68413194444</v>
      </c>
      <c r="C597" s="1" t="n">
        <v>45883</v>
      </c>
      <c r="D597" t="inlineStr">
        <is>
          <t>VÄSTERBOTTENS LÄN</t>
        </is>
      </c>
      <c r="E597" t="inlineStr">
        <is>
          <t>ÅSELE</t>
        </is>
      </c>
      <c r="F597" t="inlineStr">
        <is>
          <t>Holmen skog AB</t>
        </is>
      </c>
      <c r="G597" t="n">
        <v>3.4</v>
      </c>
      <c r="H597" t="n">
        <v>0</v>
      </c>
      <c r="I597" t="n">
        <v>0</v>
      </c>
      <c r="J597" t="n">
        <v>0</v>
      </c>
      <c r="K597" t="n">
        <v>0</v>
      </c>
      <c r="L597" t="n">
        <v>0</v>
      </c>
      <c r="M597" t="n">
        <v>0</v>
      </c>
      <c r="N597" t="n">
        <v>0</v>
      </c>
      <c r="O597" t="n">
        <v>0</v>
      </c>
      <c r="P597" t="n">
        <v>0</v>
      </c>
      <c r="Q597" t="n">
        <v>0</v>
      </c>
      <c r="R597" s="2" t="inlineStr"/>
    </row>
    <row r="598" ht="15" customHeight="1">
      <c r="A598" t="inlineStr">
        <is>
          <t>A 61874-2023</t>
        </is>
      </c>
      <c r="B598" s="1" t="n">
        <v>45266</v>
      </c>
      <c r="C598" s="1" t="n">
        <v>45883</v>
      </c>
      <c r="D598" t="inlineStr">
        <is>
          <t>VÄSTERBOTTENS LÄN</t>
        </is>
      </c>
      <c r="E598" t="inlineStr">
        <is>
          <t>ÅSELE</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61876-2023</t>
        </is>
      </c>
      <c r="B599" s="1" t="n">
        <v>45266</v>
      </c>
      <c r="C599" s="1" t="n">
        <v>45883</v>
      </c>
      <c r="D599" t="inlineStr">
        <is>
          <t>VÄSTERBOTTENS LÄN</t>
        </is>
      </c>
      <c r="E599" t="inlineStr">
        <is>
          <t>ÅSELE</t>
        </is>
      </c>
      <c r="F599" t="inlineStr">
        <is>
          <t>Sveaskog</t>
        </is>
      </c>
      <c r="G599" t="n">
        <v>6.3</v>
      </c>
      <c r="H599" t="n">
        <v>0</v>
      </c>
      <c r="I599" t="n">
        <v>0</v>
      </c>
      <c r="J599" t="n">
        <v>0</v>
      </c>
      <c r="K599" t="n">
        <v>0</v>
      </c>
      <c r="L599" t="n">
        <v>0</v>
      </c>
      <c r="M599" t="n">
        <v>0</v>
      </c>
      <c r="N599" t="n">
        <v>0</v>
      </c>
      <c r="O599" t="n">
        <v>0</v>
      </c>
      <c r="P599" t="n">
        <v>0</v>
      </c>
      <c r="Q599" t="n">
        <v>0</v>
      </c>
      <c r="R599" s="2" t="inlineStr"/>
    </row>
    <row r="600" ht="15" customHeight="1">
      <c r="A600" t="inlineStr">
        <is>
          <t>A 36301-2025</t>
        </is>
      </c>
      <c r="B600" s="1" t="n">
        <v>45867.70578703703</v>
      </c>
      <c r="C600" s="1" t="n">
        <v>45883</v>
      </c>
      <c r="D600" t="inlineStr">
        <is>
          <t>VÄSTERBOTTENS LÄN</t>
        </is>
      </c>
      <c r="E600" t="inlineStr">
        <is>
          <t>ÅSELE</t>
        </is>
      </c>
      <c r="F600" t="inlineStr">
        <is>
          <t>Holmen skog AB</t>
        </is>
      </c>
      <c r="G600" t="n">
        <v>3.5</v>
      </c>
      <c r="H600" t="n">
        <v>0</v>
      </c>
      <c r="I600" t="n">
        <v>0</v>
      </c>
      <c r="J600" t="n">
        <v>0</v>
      </c>
      <c r="K600" t="n">
        <v>0</v>
      </c>
      <c r="L600" t="n">
        <v>0</v>
      </c>
      <c r="M600" t="n">
        <v>0</v>
      </c>
      <c r="N600" t="n">
        <v>0</v>
      </c>
      <c r="O600" t="n">
        <v>0</v>
      </c>
      <c r="P600" t="n">
        <v>0</v>
      </c>
      <c r="Q600" t="n">
        <v>0</v>
      </c>
      <c r="R600" s="2" t="inlineStr"/>
    </row>
    <row r="601" ht="15" customHeight="1">
      <c r="A601" t="inlineStr">
        <is>
          <t>A 29983-2025</t>
        </is>
      </c>
      <c r="B601" s="1" t="n">
        <v>45826.49555555556</v>
      </c>
      <c r="C601" s="1" t="n">
        <v>45883</v>
      </c>
      <c r="D601" t="inlineStr">
        <is>
          <t>VÄSTERBOTTENS LÄN</t>
        </is>
      </c>
      <c r="E601" t="inlineStr">
        <is>
          <t>ÅSELE</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29963-2025</t>
        </is>
      </c>
      <c r="B602" s="1" t="n">
        <v>45826.48354166667</v>
      </c>
      <c r="C602" s="1" t="n">
        <v>45883</v>
      </c>
      <c r="D602" t="inlineStr">
        <is>
          <t>VÄSTERBOTTENS LÄN</t>
        </is>
      </c>
      <c r="E602" t="inlineStr">
        <is>
          <t>ÅSELE</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30043-2025</t>
        </is>
      </c>
      <c r="B603" s="1" t="n">
        <v>45826</v>
      </c>
      <c r="C603" s="1" t="n">
        <v>45883</v>
      </c>
      <c r="D603" t="inlineStr">
        <is>
          <t>VÄSTERBOTTENS LÄN</t>
        </is>
      </c>
      <c r="E603" t="inlineStr">
        <is>
          <t>ÅSELE</t>
        </is>
      </c>
      <c r="F603" t="inlineStr">
        <is>
          <t>Sveaskog</t>
        </is>
      </c>
      <c r="G603" t="n">
        <v>4</v>
      </c>
      <c r="H603" t="n">
        <v>0</v>
      </c>
      <c r="I603" t="n">
        <v>0</v>
      </c>
      <c r="J603" t="n">
        <v>0</v>
      </c>
      <c r="K603" t="n">
        <v>0</v>
      </c>
      <c r="L603" t="n">
        <v>0</v>
      </c>
      <c r="M603" t="n">
        <v>0</v>
      </c>
      <c r="N603" t="n">
        <v>0</v>
      </c>
      <c r="O603" t="n">
        <v>0</v>
      </c>
      <c r="P603" t="n">
        <v>0</v>
      </c>
      <c r="Q603" t="n">
        <v>0</v>
      </c>
      <c r="R603" s="2" t="inlineStr"/>
    </row>
    <row r="604" ht="15" customHeight="1">
      <c r="A604" t="inlineStr">
        <is>
          <t>A 36198-2025</t>
        </is>
      </c>
      <c r="B604" s="1" t="n">
        <v>45867.43743055555</v>
      </c>
      <c r="C604" s="1" t="n">
        <v>45883</v>
      </c>
      <c r="D604" t="inlineStr">
        <is>
          <t>VÄSTERBOTTENS LÄN</t>
        </is>
      </c>
      <c r="E604" t="inlineStr">
        <is>
          <t>ÅSELE</t>
        </is>
      </c>
      <c r="F604" t="inlineStr">
        <is>
          <t>Holmen skog AB</t>
        </is>
      </c>
      <c r="G604" t="n">
        <v>14.9</v>
      </c>
      <c r="H604" t="n">
        <v>0</v>
      </c>
      <c r="I604" t="n">
        <v>0</v>
      </c>
      <c r="J604" t="n">
        <v>0</v>
      </c>
      <c r="K604" t="n">
        <v>0</v>
      </c>
      <c r="L604" t="n">
        <v>0</v>
      </c>
      <c r="M604" t="n">
        <v>0</v>
      </c>
      <c r="N604" t="n">
        <v>0</v>
      </c>
      <c r="O604" t="n">
        <v>0</v>
      </c>
      <c r="P604" t="n">
        <v>0</v>
      </c>
      <c r="Q604" t="n">
        <v>0</v>
      </c>
      <c r="R604" s="2" t="inlineStr"/>
    </row>
    <row r="605" ht="15" customHeight="1">
      <c r="A605" t="inlineStr">
        <is>
          <t>A 36275-2025</t>
        </is>
      </c>
      <c r="B605" s="1" t="n">
        <v>45867.63604166666</v>
      </c>
      <c r="C605" s="1" t="n">
        <v>45883</v>
      </c>
      <c r="D605" t="inlineStr">
        <is>
          <t>VÄSTERBOTTENS LÄN</t>
        </is>
      </c>
      <c r="E605" t="inlineStr">
        <is>
          <t>ÅSELE</t>
        </is>
      </c>
      <c r="F605" t="inlineStr">
        <is>
          <t>SCA</t>
        </is>
      </c>
      <c r="G605" t="n">
        <v>3.8</v>
      </c>
      <c r="H605" t="n">
        <v>0</v>
      </c>
      <c r="I605" t="n">
        <v>0</v>
      </c>
      <c r="J605" t="n">
        <v>0</v>
      </c>
      <c r="K605" t="n">
        <v>0</v>
      </c>
      <c r="L605" t="n">
        <v>0</v>
      </c>
      <c r="M605" t="n">
        <v>0</v>
      </c>
      <c r="N605" t="n">
        <v>0</v>
      </c>
      <c r="O605" t="n">
        <v>0</v>
      </c>
      <c r="P605" t="n">
        <v>0</v>
      </c>
      <c r="Q605" t="n">
        <v>0</v>
      </c>
      <c r="R605" s="2" t="inlineStr"/>
    </row>
    <row r="606" ht="15" customHeight="1">
      <c r="A606" t="inlineStr">
        <is>
          <t>A 29849-2025</t>
        </is>
      </c>
      <c r="B606" s="1" t="n">
        <v>45826.32945601852</v>
      </c>
      <c r="C606" s="1" t="n">
        <v>45883</v>
      </c>
      <c r="D606" t="inlineStr">
        <is>
          <t>VÄSTERBOTTENS LÄN</t>
        </is>
      </c>
      <c r="E606" t="inlineStr">
        <is>
          <t>ÅSELE</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29843-2025</t>
        </is>
      </c>
      <c r="B607" s="1" t="n">
        <v>45826.31524305556</v>
      </c>
      <c r="C607" s="1" t="n">
        <v>45883</v>
      </c>
      <c r="D607" t="inlineStr">
        <is>
          <t>VÄSTERBOTTENS LÄN</t>
        </is>
      </c>
      <c r="E607" t="inlineStr">
        <is>
          <t>ÅSELE</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29850-2025</t>
        </is>
      </c>
      <c r="B608" s="1" t="n">
        <v>45826</v>
      </c>
      <c r="C608" s="1" t="n">
        <v>45883</v>
      </c>
      <c r="D608" t="inlineStr">
        <is>
          <t>VÄSTERBOTTENS LÄN</t>
        </is>
      </c>
      <c r="E608" t="inlineStr">
        <is>
          <t>ÅSELE</t>
        </is>
      </c>
      <c r="F608" t="inlineStr">
        <is>
          <t>Sveaskog</t>
        </is>
      </c>
      <c r="G608" t="n">
        <v>7.1</v>
      </c>
      <c r="H608" t="n">
        <v>0</v>
      </c>
      <c r="I608" t="n">
        <v>0</v>
      </c>
      <c r="J608" t="n">
        <v>0</v>
      </c>
      <c r="K608" t="n">
        <v>0</v>
      </c>
      <c r="L608" t="n">
        <v>0</v>
      </c>
      <c r="M608" t="n">
        <v>0</v>
      </c>
      <c r="N608" t="n">
        <v>0</v>
      </c>
      <c r="O608" t="n">
        <v>0</v>
      </c>
      <c r="P608" t="n">
        <v>0</v>
      </c>
      <c r="Q608" t="n">
        <v>0</v>
      </c>
      <c r="R608" s="2" t="inlineStr"/>
    </row>
    <row r="609" ht="15" customHeight="1">
      <c r="A609" t="inlineStr">
        <is>
          <t>A 30037-2025</t>
        </is>
      </c>
      <c r="B609" s="1" t="n">
        <v>45826.57112268519</v>
      </c>
      <c r="C609" s="1" t="n">
        <v>45883</v>
      </c>
      <c r="D609" t="inlineStr">
        <is>
          <t>VÄSTERBOTTENS LÄN</t>
        </is>
      </c>
      <c r="E609" t="inlineStr">
        <is>
          <t>ÅSELE</t>
        </is>
      </c>
      <c r="F609" t="inlineStr">
        <is>
          <t>Sveaskog</t>
        </is>
      </c>
      <c r="G609" t="n">
        <v>8.9</v>
      </c>
      <c r="H609" t="n">
        <v>0</v>
      </c>
      <c r="I609" t="n">
        <v>0</v>
      </c>
      <c r="J609" t="n">
        <v>0</v>
      </c>
      <c r="K609" t="n">
        <v>0</v>
      </c>
      <c r="L609" t="n">
        <v>0</v>
      </c>
      <c r="M609" t="n">
        <v>0</v>
      </c>
      <c r="N609" t="n">
        <v>0</v>
      </c>
      <c r="O609" t="n">
        <v>0</v>
      </c>
      <c r="P609" t="n">
        <v>0</v>
      </c>
      <c r="Q609" t="n">
        <v>0</v>
      </c>
      <c r="R609" s="2" t="inlineStr"/>
    </row>
    <row r="610" ht="15" customHeight="1">
      <c r="A610" t="inlineStr">
        <is>
          <t>A 36154-2025</t>
        </is>
      </c>
      <c r="B610" s="1" t="n">
        <v>45867.34443287037</v>
      </c>
      <c r="C610" s="1" t="n">
        <v>45883</v>
      </c>
      <c r="D610" t="inlineStr">
        <is>
          <t>VÄSTERBOTTENS LÄN</t>
        </is>
      </c>
      <c r="E610" t="inlineStr">
        <is>
          <t>ÅSELE</t>
        </is>
      </c>
      <c r="F610" t="inlineStr">
        <is>
          <t>SCA</t>
        </is>
      </c>
      <c r="G610" t="n">
        <v>19.9</v>
      </c>
      <c r="H610" t="n">
        <v>0</v>
      </c>
      <c r="I610" t="n">
        <v>0</v>
      </c>
      <c r="J610" t="n">
        <v>0</v>
      </c>
      <c r="K610" t="n">
        <v>0</v>
      </c>
      <c r="L610" t="n">
        <v>0</v>
      </c>
      <c r="M610" t="n">
        <v>0</v>
      </c>
      <c r="N610" t="n">
        <v>0</v>
      </c>
      <c r="O610" t="n">
        <v>0</v>
      </c>
      <c r="P610" t="n">
        <v>0</v>
      </c>
      <c r="Q610" t="n">
        <v>0</v>
      </c>
      <c r="R610" s="2" t="inlineStr"/>
    </row>
    <row r="611" ht="15" customHeight="1">
      <c r="A611" t="inlineStr">
        <is>
          <t>A 29947-2025</t>
        </is>
      </c>
      <c r="B611" s="1" t="n">
        <v>45826</v>
      </c>
      <c r="C611" s="1" t="n">
        <v>45883</v>
      </c>
      <c r="D611" t="inlineStr">
        <is>
          <t>VÄSTERBOTTENS LÄN</t>
        </is>
      </c>
      <c r="E611" t="inlineStr">
        <is>
          <t>ÅSELE</t>
        </is>
      </c>
      <c r="F611" t="inlineStr">
        <is>
          <t>Sveaskog</t>
        </is>
      </c>
      <c r="G611" t="n">
        <v>15.4</v>
      </c>
      <c r="H611" t="n">
        <v>0</v>
      </c>
      <c r="I611" t="n">
        <v>0</v>
      </c>
      <c r="J611" t="n">
        <v>0</v>
      </c>
      <c r="K611" t="n">
        <v>0</v>
      </c>
      <c r="L611" t="n">
        <v>0</v>
      </c>
      <c r="M611" t="n">
        <v>0</v>
      </c>
      <c r="N611" t="n">
        <v>0</v>
      </c>
      <c r="O611" t="n">
        <v>0</v>
      </c>
      <c r="P611" t="n">
        <v>0</v>
      </c>
      <c r="Q611" t="n">
        <v>0</v>
      </c>
      <c r="R611" s="2" t="inlineStr"/>
    </row>
    <row r="612" ht="15" customHeight="1">
      <c r="A612" t="inlineStr">
        <is>
          <t>A 29978-2025</t>
        </is>
      </c>
      <c r="B612" s="1" t="n">
        <v>45826.49273148148</v>
      </c>
      <c r="C612" s="1" t="n">
        <v>45883</v>
      </c>
      <c r="D612" t="inlineStr">
        <is>
          <t>VÄSTERBOTTENS LÄN</t>
        </is>
      </c>
      <c r="E612" t="inlineStr">
        <is>
          <t>ÅSELE</t>
        </is>
      </c>
      <c r="F612" t="inlineStr">
        <is>
          <t>Sveaskog</t>
        </is>
      </c>
      <c r="G612" t="n">
        <v>4.9</v>
      </c>
      <c r="H612" t="n">
        <v>0</v>
      </c>
      <c r="I612" t="n">
        <v>0</v>
      </c>
      <c r="J612" t="n">
        <v>0</v>
      </c>
      <c r="K612" t="n">
        <v>0</v>
      </c>
      <c r="L612" t="n">
        <v>0</v>
      </c>
      <c r="M612" t="n">
        <v>0</v>
      </c>
      <c r="N612" t="n">
        <v>0</v>
      </c>
      <c r="O612" t="n">
        <v>0</v>
      </c>
      <c r="P612" t="n">
        <v>0</v>
      </c>
      <c r="Q612" t="n">
        <v>0</v>
      </c>
      <c r="R612" s="2" t="inlineStr"/>
    </row>
    <row r="613" ht="15" customHeight="1">
      <c r="A613" t="inlineStr">
        <is>
          <t>A 29998-2025</t>
        </is>
      </c>
      <c r="B613" s="1" t="n">
        <v>45826</v>
      </c>
      <c r="C613" s="1" t="n">
        <v>45883</v>
      </c>
      <c r="D613" t="inlineStr">
        <is>
          <t>VÄSTERBOTTENS LÄN</t>
        </is>
      </c>
      <c r="E613" t="inlineStr">
        <is>
          <t>ÅSELE</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8878-2024</t>
        </is>
      </c>
      <c r="B614" s="1" t="n">
        <v>45357</v>
      </c>
      <c r="C614" s="1" t="n">
        <v>45883</v>
      </c>
      <c r="D614" t="inlineStr">
        <is>
          <t>VÄSTERBOTTENS LÄN</t>
        </is>
      </c>
      <c r="E614" t="inlineStr">
        <is>
          <t>ÅSELE</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8879-2024</t>
        </is>
      </c>
      <c r="B615" s="1" t="n">
        <v>45357</v>
      </c>
      <c r="C615" s="1" t="n">
        <v>45883</v>
      </c>
      <c r="D615" t="inlineStr">
        <is>
          <t>VÄSTERBOTTENS LÄN</t>
        </is>
      </c>
      <c r="E615" t="inlineStr">
        <is>
          <t>ÅSELE</t>
        </is>
      </c>
      <c r="F615" t="inlineStr">
        <is>
          <t>SCA</t>
        </is>
      </c>
      <c r="G615" t="n">
        <v>10.2</v>
      </c>
      <c r="H615" t="n">
        <v>0</v>
      </c>
      <c r="I615" t="n">
        <v>0</v>
      </c>
      <c r="J615" t="n">
        <v>0</v>
      </c>
      <c r="K615" t="n">
        <v>0</v>
      </c>
      <c r="L615" t="n">
        <v>0</v>
      </c>
      <c r="M615" t="n">
        <v>0</v>
      </c>
      <c r="N615" t="n">
        <v>0</v>
      </c>
      <c r="O615" t="n">
        <v>0</v>
      </c>
      <c r="P615" t="n">
        <v>0</v>
      </c>
      <c r="Q615" t="n">
        <v>0</v>
      </c>
      <c r="R615" s="2" t="inlineStr"/>
    </row>
    <row r="616" ht="15" customHeight="1">
      <c r="A616" t="inlineStr">
        <is>
          <t>A 36393-2025</t>
        </is>
      </c>
      <c r="B616" s="1" t="n">
        <v>45868.61376157407</v>
      </c>
      <c r="C616" s="1" t="n">
        <v>45883</v>
      </c>
      <c r="D616" t="inlineStr">
        <is>
          <t>VÄSTERBOTTENS LÄN</t>
        </is>
      </c>
      <c r="E616" t="inlineStr">
        <is>
          <t>ÅSELE</t>
        </is>
      </c>
      <c r="F616" t="inlineStr">
        <is>
          <t>Holmen skog AB</t>
        </is>
      </c>
      <c r="G616" t="n">
        <v>4.7</v>
      </c>
      <c r="H616" t="n">
        <v>0</v>
      </c>
      <c r="I616" t="n">
        <v>0</v>
      </c>
      <c r="J616" t="n">
        <v>0</v>
      </c>
      <c r="K616" t="n">
        <v>0</v>
      </c>
      <c r="L616" t="n">
        <v>0</v>
      </c>
      <c r="M616" t="n">
        <v>0</v>
      </c>
      <c r="N616" t="n">
        <v>0</v>
      </c>
      <c r="O616" t="n">
        <v>0</v>
      </c>
      <c r="P616" t="n">
        <v>0</v>
      </c>
      <c r="Q616" t="n">
        <v>0</v>
      </c>
      <c r="R616" s="2" t="inlineStr"/>
    </row>
    <row r="617" ht="15" customHeight="1">
      <c r="A617" t="inlineStr">
        <is>
          <t>A 29619-2024</t>
        </is>
      </c>
      <c r="B617" s="1" t="n">
        <v>45484.6541087963</v>
      </c>
      <c r="C617" s="1" t="n">
        <v>45883</v>
      </c>
      <c r="D617" t="inlineStr">
        <is>
          <t>VÄSTERBOTTENS LÄN</t>
        </is>
      </c>
      <c r="E617" t="inlineStr">
        <is>
          <t>ÅSELE</t>
        </is>
      </c>
      <c r="F617" t="inlineStr">
        <is>
          <t>Sveaskog</t>
        </is>
      </c>
      <c r="G617" t="n">
        <v>9.5</v>
      </c>
      <c r="H617" t="n">
        <v>0</v>
      </c>
      <c r="I617" t="n">
        <v>0</v>
      </c>
      <c r="J617" t="n">
        <v>0</v>
      </c>
      <c r="K617" t="n">
        <v>0</v>
      </c>
      <c r="L617" t="n">
        <v>0</v>
      </c>
      <c r="M617" t="n">
        <v>0</v>
      </c>
      <c r="N617" t="n">
        <v>0</v>
      </c>
      <c r="O617" t="n">
        <v>0</v>
      </c>
      <c r="P617" t="n">
        <v>0</v>
      </c>
      <c r="Q617" t="n">
        <v>0</v>
      </c>
      <c r="R617" s="2" t="inlineStr"/>
    </row>
    <row r="618" ht="15" customHeight="1">
      <c r="A618" t="inlineStr">
        <is>
          <t>A 29531-2025</t>
        </is>
      </c>
      <c r="B618" s="1" t="n">
        <v>45825.34444444445</v>
      </c>
      <c r="C618" s="1" t="n">
        <v>45883</v>
      </c>
      <c r="D618" t="inlineStr">
        <is>
          <t>VÄSTERBOTTENS LÄN</t>
        </is>
      </c>
      <c r="E618" t="inlineStr">
        <is>
          <t>ÅSELE</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10176-2024</t>
        </is>
      </c>
      <c r="B619" s="1" t="n">
        <v>45364</v>
      </c>
      <c r="C619" s="1" t="n">
        <v>45883</v>
      </c>
      <c r="D619" t="inlineStr">
        <is>
          <t>VÄSTERBOTTENS LÄN</t>
        </is>
      </c>
      <c r="E619" t="inlineStr">
        <is>
          <t>ÅSELE</t>
        </is>
      </c>
      <c r="G619" t="n">
        <v>4.2</v>
      </c>
      <c r="H619" t="n">
        <v>0</v>
      </c>
      <c r="I619" t="n">
        <v>0</v>
      </c>
      <c r="J619" t="n">
        <v>0</v>
      </c>
      <c r="K619" t="n">
        <v>0</v>
      </c>
      <c r="L619" t="n">
        <v>0</v>
      </c>
      <c r="M619" t="n">
        <v>0</v>
      </c>
      <c r="N619" t="n">
        <v>0</v>
      </c>
      <c r="O619" t="n">
        <v>0</v>
      </c>
      <c r="P619" t="n">
        <v>0</v>
      </c>
      <c r="Q619" t="n">
        <v>0</v>
      </c>
      <c r="R619" s="2" t="inlineStr"/>
    </row>
    <row r="620" ht="15" customHeight="1">
      <c r="A620" t="inlineStr">
        <is>
          <t>A 36278-2025</t>
        </is>
      </c>
      <c r="B620" s="1" t="n">
        <v>45867.6363425926</v>
      </c>
      <c r="C620" s="1" t="n">
        <v>45883</v>
      </c>
      <c r="D620" t="inlineStr">
        <is>
          <t>VÄSTERBOTTENS LÄN</t>
        </is>
      </c>
      <c r="E620" t="inlineStr">
        <is>
          <t>ÅSELE</t>
        </is>
      </c>
      <c r="F620" t="inlineStr">
        <is>
          <t>SCA</t>
        </is>
      </c>
      <c r="G620" t="n">
        <v>11.3</v>
      </c>
      <c r="H620" t="n">
        <v>0</v>
      </c>
      <c r="I620" t="n">
        <v>0</v>
      </c>
      <c r="J620" t="n">
        <v>0</v>
      </c>
      <c r="K620" t="n">
        <v>0</v>
      </c>
      <c r="L620" t="n">
        <v>0</v>
      </c>
      <c r="M620" t="n">
        <v>0</v>
      </c>
      <c r="N620" t="n">
        <v>0</v>
      </c>
      <c r="O620" t="n">
        <v>0</v>
      </c>
      <c r="P620" t="n">
        <v>0</v>
      </c>
      <c r="Q620" t="n">
        <v>0</v>
      </c>
      <c r="R620" s="2" t="inlineStr"/>
    </row>
    <row r="621" ht="15" customHeight="1">
      <c r="A621" t="inlineStr">
        <is>
          <t>A 30167-2025</t>
        </is>
      </c>
      <c r="B621" s="1" t="n">
        <v>45827</v>
      </c>
      <c r="C621" s="1" t="n">
        <v>45883</v>
      </c>
      <c r="D621" t="inlineStr">
        <is>
          <t>VÄSTERBOTTENS LÄN</t>
        </is>
      </c>
      <c r="E621" t="inlineStr">
        <is>
          <t>ÅSELE</t>
        </is>
      </c>
      <c r="G621" t="n">
        <v>3.1</v>
      </c>
      <c r="H621" t="n">
        <v>0</v>
      </c>
      <c r="I621" t="n">
        <v>0</v>
      </c>
      <c r="J621" t="n">
        <v>0</v>
      </c>
      <c r="K621" t="n">
        <v>0</v>
      </c>
      <c r="L621" t="n">
        <v>0</v>
      </c>
      <c r="M621" t="n">
        <v>0</v>
      </c>
      <c r="N621" t="n">
        <v>0</v>
      </c>
      <c r="O621" t="n">
        <v>0</v>
      </c>
      <c r="P621" t="n">
        <v>0</v>
      </c>
      <c r="Q621" t="n">
        <v>0</v>
      </c>
      <c r="R621" s="2" t="inlineStr"/>
    </row>
    <row r="622" ht="15" customHeight="1">
      <c r="A622" t="inlineStr">
        <is>
          <t>A 65040-2023</t>
        </is>
      </c>
      <c r="B622" s="1" t="n">
        <v>45282</v>
      </c>
      <c r="C622" s="1" t="n">
        <v>45883</v>
      </c>
      <c r="D622" t="inlineStr">
        <is>
          <t>VÄSTERBOTTENS LÄN</t>
        </is>
      </c>
      <c r="E622" t="inlineStr">
        <is>
          <t>ÅSELE</t>
        </is>
      </c>
      <c r="G622" t="n">
        <v>6.6</v>
      </c>
      <c r="H622" t="n">
        <v>0</v>
      </c>
      <c r="I622" t="n">
        <v>0</v>
      </c>
      <c r="J622" t="n">
        <v>0</v>
      </c>
      <c r="K622" t="n">
        <v>0</v>
      </c>
      <c r="L622" t="n">
        <v>0</v>
      </c>
      <c r="M622" t="n">
        <v>0</v>
      </c>
      <c r="N622" t="n">
        <v>0</v>
      </c>
      <c r="O622" t="n">
        <v>0</v>
      </c>
      <c r="P622" t="n">
        <v>0</v>
      </c>
      <c r="Q622" t="n">
        <v>0</v>
      </c>
      <c r="R622" s="2" t="inlineStr"/>
    </row>
    <row r="623" ht="15" customHeight="1">
      <c r="A623" t="inlineStr">
        <is>
          <t>A 64497-2023</t>
        </is>
      </c>
      <c r="B623" s="1" t="n">
        <v>45280</v>
      </c>
      <c r="C623" s="1" t="n">
        <v>45883</v>
      </c>
      <c r="D623" t="inlineStr">
        <is>
          <t>VÄSTERBOTTENS LÄN</t>
        </is>
      </c>
      <c r="E623" t="inlineStr">
        <is>
          <t>ÅSELE</t>
        </is>
      </c>
      <c r="F623" t="inlineStr">
        <is>
          <t>SCA</t>
        </is>
      </c>
      <c r="G623" t="n">
        <v>7.3</v>
      </c>
      <c r="H623" t="n">
        <v>0</v>
      </c>
      <c r="I623" t="n">
        <v>0</v>
      </c>
      <c r="J623" t="n">
        <v>0</v>
      </c>
      <c r="K623" t="n">
        <v>0</v>
      </c>
      <c r="L623" t="n">
        <v>0</v>
      </c>
      <c r="M623" t="n">
        <v>0</v>
      </c>
      <c r="N623" t="n">
        <v>0</v>
      </c>
      <c r="O623" t="n">
        <v>0</v>
      </c>
      <c r="P623" t="n">
        <v>0</v>
      </c>
      <c r="Q623" t="n">
        <v>0</v>
      </c>
      <c r="R623" s="2" t="inlineStr"/>
    </row>
    <row r="624" ht="15" customHeight="1">
      <c r="A624" t="inlineStr">
        <is>
          <t>A 36559-2025</t>
        </is>
      </c>
      <c r="B624" s="1" t="n">
        <v>45870.36071759259</v>
      </c>
      <c r="C624" s="1" t="n">
        <v>45883</v>
      </c>
      <c r="D624" t="inlineStr">
        <is>
          <t>VÄSTERBOTTENS LÄN</t>
        </is>
      </c>
      <c r="E624" t="inlineStr">
        <is>
          <t>ÅSELE</t>
        </is>
      </c>
      <c r="F624" t="inlineStr">
        <is>
          <t>Holmen skog AB</t>
        </is>
      </c>
      <c r="G624" t="n">
        <v>6.6</v>
      </c>
      <c r="H624" t="n">
        <v>0</v>
      </c>
      <c r="I624" t="n">
        <v>0</v>
      </c>
      <c r="J624" t="n">
        <v>0</v>
      </c>
      <c r="K624" t="n">
        <v>0</v>
      </c>
      <c r="L624" t="n">
        <v>0</v>
      </c>
      <c r="M624" t="n">
        <v>0</v>
      </c>
      <c r="N624" t="n">
        <v>0</v>
      </c>
      <c r="O624" t="n">
        <v>0</v>
      </c>
      <c r="P624" t="n">
        <v>0</v>
      </c>
      <c r="Q624" t="n">
        <v>0</v>
      </c>
      <c r="R624" s="2" t="inlineStr"/>
    </row>
    <row r="625" ht="15" customHeight="1">
      <c r="A625" t="inlineStr">
        <is>
          <t>A 32214-2022</t>
        </is>
      </c>
      <c r="B625" s="1" t="n">
        <v>44781</v>
      </c>
      <c r="C625" s="1" t="n">
        <v>45883</v>
      </c>
      <c r="D625" t="inlineStr">
        <is>
          <t>VÄSTERBOTTENS LÄN</t>
        </is>
      </c>
      <c r="E625" t="inlineStr">
        <is>
          <t>ÅSELE</t>
        </is>
      </c>
      <c r="G625" t="n">
        <v>1.3</v>
      </c>
      <c r="H625" t="n">
        <v>0</v>
      </c>
      <c r="I625" t="n">
        <v>0</v>
      </c>
      <c r="J625" t="n">
        <v>0</v>
      </c>
      <c r="K625" t="n">
        <v>0</v>
      </c>
      <c r="L625" t="n">
        <v>0</v>
      </c>
      <c r="M625" t="n">
        <v>0</v>
      </c>
      <c r="N625" t="n">
        <v>0</v>
      </c>
      <c r="O625" t="n">
        <v>0</v>
      </c>
      <c r="P625" t="n">
        <v>0</v>
      </c>
      <c r="Q625" t="n">
        <v>0</v>
      </c>
      <c r="R625" s="2" t="inlineStr"/>
    </row>
    <row r="626" ht="15" customHeight="1">
      <c r="A626" t="inlineStr">
        <is>
          <t>A 36576-2025</t>
        </is>
      </c>
      <c r="B626" s="1" t="n">
        <v>45870.41331018518</v>
      </c>
      <c r="C626" s="1" t="n">
        <v>45883</v>
      </c>
      <c r="D626" t="inlineStr">
        <is>
          <t>VÄSTERBOTTENS LÄN</t>
        </is>
      </c>
      <c r="E626" t="inlineStr">
        <is>
          <t>ÅSELE</t>
        </is>
      </c>
      <c r="F626" t="inlineStr">
        <is>
          <t>Holmen skog AB</t>
        </is>
      </c>
      <c r="G626" t="n">
        <v>7.7</v>
      </c>
      <c r="H626" t="n">
        <v>0</v>
      </c>
      <c r="I626" t="n">
        <v>0</v>
      </c>
      <c r="J626" t="n">
        <v>0</v>
      </c>
      <c r="K626" t="n">
        <v>0</v>
      </c>
      <c r="L626" t="n">
        <v>0</v>
      </c>
      <c r="M626" t="n">
        <v>0</v>
      </c>
      <c r="N626" t="n">
        <v>0</v>
      </c>
      <c r="O626" t="n">
        <v>0</v>
      </c>
      <c r="P626" t="n">
        <v>0</v>
      </c>
      <c r="Q626" t="n">
        <v>0</v>
      </c>
      <c r="R626" s="2" t="inlineStr"/>
    </row>
    <row r="627" ht="15" customHeight="1">
      <c r="A627" t="inlineStr">
        <is>
          <t>A 36609-2025</t>
        </is>
      </c>
      <c r="B627" s="1" t="n">
        <v>45870.57207175926</v>
      </c>
      <c r="C627" s="1" t="n">
        <v>45883</v>
      </c>
      <c r="D627" t="inlineStr">
        <is>
          <t>VÄSTERBOTTENS LÄN</t>
        </is>
      </c>
      <c r="E627" t="inlineStr">
        <is>
          <t>ÅSELE</t>
        </is>
      </c>
      <c r="F627" t="inlineStr">
        <is>
          <t>Holmen skog AB</t>
        </is>
      </c>
      <c r="G627" t="n">
        <v>1.5</v>
      </c>
      <c r="H627" t="n">
        <v>0</v>
      </c>
      <c r="I627" t="n">
        <v>0</v>
      </c>
      <c r="J627" t="n">
        <v>0</v>
      </c>
      <c r="K627" t="n">
        <v>0</v>
      </c>
      <c r="L627" t="n">
        <v>0</v>
      </c>
      <c r="M627" t="n">
        <v>0</v>
      </c>
      <c r="N627" t="n">
        <v>0</v>
      </c>
      <c r="O627" t="n">
        <v>0</v>
      </c>
      <c r="P627" t="n">
        <v>0</v>
      </c>
      <c r="Q627" t="n">
        <v>0</v>
      </c>
      <c r="R627" s="2" t="inlineStr"/>
    </row>
    <row r="628" ht="15" customHeight="1">
      <c r="A628" t="inlineStr">
        <is>
          <t>A 62259-2022</t>
        </is>
      </c>
      <c r="B628" s="1" t="n">
        <v>44922.94351851852</v>
      </c>
      <c r="C628" s="1" t="n">
        <v>45883</v>
      </c>
      <c r="D628" t="inlineStr">
        <is>
          <t>VÄSTERBOTTENS LÄN</t>
        </is>
      </c>
      <c r="E628" t="inlineStr">
        <is>
          <t>ÅSELE</t>
        </is>
      </c>
      <c r="F628" t="inlineStr">
        <is>
          <t>SCA</t>
        </is>
      </c>
      <c r="G628" t="n">
        <v>5.4</v>
      </c>
      <c r="H628" t="n">
        <v>0</v>
      </c>
      <c r="I628" t="n">
        <v>0</v>
      </c>
      <c r="J628" t="n">
        <v>0</v>
      </c>
      <c r="K628" t="n">
        <v>0</v>
      </c>
      <c r="L628" t="n">
        <v>0</v>
      </c>
      <c r="M628" t="n">
        <v>0</v>
      </c>
      <c r="N628" t="n">
        <v>0</v>
      </c>
      <c r="O628" t="n">
        <v>0</v>
      </c>
      <c r="P628" t="n">
        <v>0</v>
      </c>
      <c r="Q628" t="n">
        <v>0</v>
      </c>
      <c r="R628" s="2" t="inlineStr"/>
    </row>
    <row r="629" ht="15" customHeight="1">
      <c r="A629" t="inlineStr">
        <is>
          <t>A 30183-2025</t>
        </is>
      </c>
      <c r="B629" s="1" t="n">
        <v>45827.34677083333</v>
      </c>
      <c r="C629" s="1" t="n">
        <v>45883</v>
      </c>
      <c r="D629" t="inlineStr">
        <is>
          <t>VÄSTERBOTTENS LÄN</t>
        </is>
      </c>
      <c r="E629" t="inlineStr">
        <is>
          <t>ÅSELE</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36467-2025</t>
        </is>
      </c>
      <c r="B630" s="1" t="n">
        <v>45869.47054398148</v>
      </c>
      <c r="C630" s="1" t="n">
        <v>45883</v>
      </c>
      <c r="D630" t="inlineStr">
        <is>
          <t>VÄSTERBOTTENS LÄN</t>
        </is>
      </c>
      <c r="E630" t="inlineStr">
        <is>
          <t>ÅSELE</t>
        </is>
      </c>
      <c r="F630" t="inlineStr">
        <is>
          <t>Holmen skog AB</t>
        </is>
      </c>
      <c r="G630" t="n">
        <v>4.9</v>
      </c>
      <c r="H630" t="n">
        <v>0</v>
      </c>
      <c r="I630" t="n">
        <v>0</v>
      </c>
      <c r="J630" t="n">
        <v>0</v>
      </c>
      <c r="K630" t="n">
        <v>0</v>
      </c>
      <c r="L630" t="n">
        <v>0</v>
      </c>
      <c r="M630" t="n">
        <v>0</v>
      </c>
      <c r="N630" t="n">
        <v>0</v>
      </c>
      <c r="O630" t="n">
        <v>0</v>
      </c>
      <c r="P630" t="n">
        <v>0</v>
      </c>
      <c r="Q630" t="n">
        <v>0</v>
      </c>
      <c r="R630" s="2" t="inlineStr"/>
    </row>
    <row r="631" ht="15" customHeight="1">
      <c r="A631" t="inlineStr">
        <is>
          <t>A 18693-2025</t>
        </is>
      </c>
      <c r="B631" s="1" t="n">
        <v>45763</v>
      </c>
      <c r="C631" s="1" t="n">
        <v>45883</v>
      </c>
      <c r="D631" t="inlineStr">
        <is>
          <t>VÄSTERBOTTENS LÄN</t>
        </is>
      </c>
      <c r="E631" t="inlineStr">
        <is>
          <t>ÅSELE</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17885-2023</t>
        </is>
      </c>
      <c r="B632" s="1" t="n">
        <v>45037</v>
      </c>
      <c r="C632" s="1" t="n">
        <v>45883</v>
      </c>
      <c r="D632" t="inlineStr">
        <is>
          <t>VÄSTERBOTTENS LÄN</t>
        </is>
      </c>
      <c r="E632" t="inlineStr">
        <is>
          <t>ÅSELE</t>
        </is>
      </c>
      <c r="G632" t="n">
        <v>7.6</v>
      </c>
      <c r="H632" t="n">
        <v>0</v>
      </c>
      <c r="I632" t="n">
        <v>0</v>
      </c>
      <c r="J632" t="n">
        <v>0</v>
      </c>
      <c r="K632" t="n">
        <v>0</v>
      </c>
      <c r="L632" t="n">
        <v>0</v>
      </c>
      <c r="M632" t="n">
        <v>0</v>
      </c>
      <c r="N632" t="n">
        <v>0</v>
      </c>
      <c r="O632" t="n">
        <v>0</v>
      </c>
      <c r="P632" t="n">
        <v>0</v>
      </c>
      <c r="Q632" t="n">
        <v>0</v>
      </c>
      <c r="R632" s="2" t="inlineStr"/>
    </row>
    <row r="633" ht="15" customHeight="1">
      <c r="A633" t="inlineStr">
        <is>
          <t>A 25636-2024</t>
        </is>
      </c>
      <c r="B633" s="1" t="n">
        <v>45463</v>
      </c>
      <c r="C633" s="1" t="n">
        <v>45883</v>
      </c>
      <c r="D633" t="inlineStr">
        <is>
          <t>VÄSTERBOTTENS LÄN</t>
        </is>
      </c>
      <c r="E633" t="inlineStr">
        <is>
          <t>ÅSELE</t>
        </is>
      </c>
      <c r="F633" t="inlineStr">
        <is>
          <t>Sveaskog</t>
        </is>
      </c>
      <c r="G633" t="n">
        <v>5.3</v>
      </c>
      <c r="H633" t="n">
        <v>0</v>
      </c>
      <c r="I633" t="n">
        <v>0</v>
      </c>
      <c r="J633" t="n">
        <v>0</v>
      </c>
      <c r="K633" t="n">
        <v>0</v>
      </c>
      <c r="L633" t="n">
        <v>0</v>
      </c>
      <c r="M633" t="n">
        <v>0</v>
      </c>
      <c r="N633" t="n">
        <v>0</v>
      </c>
      <c r="O633" t="n">
        <v>0</v>
      </c>
      <c r="P633" t="n">
        <v>0</v>
      </c>
      <c r="Q633" t="n">
        <v>0</v>
      </c>
      <c r="R633" s="2" t="inlineStr"/>
    </row>
    <row r="634" ht="15" customHeight="1">
      <c r="A634" t="inlineStr">
        <is>
          <t>A 25557-2024</t>
        </is>
      </c>
      <c r="B634" s="1" t="n">
        <v>45463.58333333334</v>
      </c>
      <c r="C634" s="1" t="n">
        <v>45883</v>
      </c>
      <c r="D634" t="inlineStr">
        <is>
          <t>VÄSTERBOTTENS LÄN</t>
        </is>
      </c>
      <c r="E634" t="inlineStr">
        <is>
          <t>ÅSELE</t>
        </is>
      </c>
      <c r="F634" t="inlineStr">
        <is>
          <t>Sveaskog</t>
        </is>
      </c>
      <c r="G634" t="n">
        <v>11.2</v>
      </c>
      <c r="H634" t="n">
        <v>0</v>
      </c>
      <c r="I634" t="n">
        <v>0</v>
      </c>
      <c r="J634" t="n">
        <v>0</v>
      </c>
      <c r="K634" t="n">
        <v>0</v>
      </c>
      <c r="L634" t="n">
        <v>0</v>
      </c>
      <c r="M634" t="n">
        <v>0</v>
      </c>
      <c r="N634" t="n">
        <v>0</v>
      </c>
      <c r="O634" t="n">
        <v>0</v>
      </c>
      <c r="P634" t="n">
        <v>0</v>
      </c>
      <c r="Q634" t="n">
        <v>0</v>
      </c>
      <c r="R634" s="2" t="inlineStr"/>
    </row>
    <row r="635" ht="15" customHeight="1">
      <c r="A635" t="inlineStr">
        <is>
          <t>A 36372-2025</t>
        </is>
      </c>
      <c r="B635" s="1" t="n">
        <v>45867</v>
      </c>
      <c r="C635" s="1" t="n">
        <v>45883</v>
      </c>
      <c r="D635" t="inlineStr">
        <is>
          <t>VÄSTERBOTTENS LÄN</t>
        </is>
      </c>
      <c r="E635" t="inlineStr">
        <is>
          <t>ÅSELE</t>
        </is>
      </c>
      <c r="G635" t="n">
        <v>4.3</v>
      </c>
      <c r="H635" t="n">
        <v>0</v>
      </c>
      <c r="I635" t="n">
        <v>0</v>
      </c>
      <c r="J635" t="n">
        <v>0</v>
      </c>
      <c r="K635" t="n">
        <v>0</v>
      </c>
      <c r="L635" t="n">
        <v>0</v>
      </c>
      <c r="M635" t="n">
        <v>0</v>
      </c>
      <c r="N635" t="n">
        <v>0</v>
      </c>
      <c r="O635" t="n">
        <v>0</v>
      </c>
      <c r="P635" t="n">
        <v>0</v>
      </c>
      <c r="Q635" t="n">
        <v>0</v>
      </c>
      <c r="R635" s="2" t="inlineStr"/>
    </row>
    <row r="636" ht="15" customHeight="1">
      <c r="A636" t="inlineStr">
        <is>
          <t>A 36400-2025</t>
        </is>
      </c>
      <c r="B636" s="1" t="n">
        <v>45868</v>
      </c>
      <c r="C636" s="1" t="n">
        <v>45883</v>
      </c>
      <c r="D636" t="inlineStr">
        <is>
          <t>VÄSTERBOTTENS LÄN</t>
        </is>
      </c>
      <c r="E636" t="inlineStr">
        <is>
          <t>ÅSELE</t>
        </is>
      </c>
      <c r="F636" t="inlineStr">
        <is>
          <t>Holmen skog AB</t>
        </is>
      </c>
      <c r="G636" t="n">
        <v>0.7</v>
      </c>
      <c r="H636" t="n">
        <v>0</v>
      </c>
      <c r="I636" t="n">
        <v>0</v>
      </c>
      <c r="J636" t="n">
        <v>0</v>
      </c>
      <c r="K636" t="n">
        <v>0</v>
      </c>
      <c r="L636" t="n">
        <v>0</v>
      </c>
      <c r="M636" t="n">
        <v>0</v>
      </c>
      <c r="N636" t="n">
        <v>0</v>
      </c>
      <c r="O636" t="n">
        <v>0</v>
      </c>
      <c r="P636" t="n">
        <v>0</v>
      </c>
      <c r="Q636" t="n">
        <v>0</v>
      </c>
      <c r="R636" s="2" t="inlineStr"/>
    </row>
    <row r="637" ht="15" customHeight="1">
      <c r="A637" t="inlineStr">
        <is>
          <t>A 30879-2025</t>
        </is>
      </c>
      <c r="B637" s="1" t="n">
        <v>45832.34510416666</v>
      </c>
      <c r="C637" s="1" t="n">
        <v>45883</v>
      </c>
      <c r="D637" t="inlineStr">
        <is>
          <t>VÄSTERBOTTENS LÄN</t>
        </is>
      </c>
      <c r="E637" t="inlineStr">
        <is>
          <t>ÅSELE</t>
        </is>
      </c>
      <c r="F637" t="inlineStr">
        <is>
          <t>SCA</t>
        </is>
      </c>
      <c r="G637" t="n">
        <v>19.5</v>
      </c>
      <c r="H637" t="n">
        <v>0</v>
      </c>
      <c r="I637" t="n">
        <v>0</v>
      </c>
      <c r="J637" t="n">
        <v>0</v>
      </c>
      <c r="K637" t="n">
        <v>0</v>
      </c>
      <c r="L637" t="n">
        <v>0</v>
      </c>
      <c r="M637" t="n">
        <v>0</v>
      </c>
      <c r="N637" t="n">
        <v>0</v>
      </c>
      <c r="O637" t="n">
        <v>0</v>
      </c>
      <c r="P637" t="n">
        <v>0</v>
      </c>
      <c r="Q637" t="n">
        <v>0</v>
      </c>
      <c r="R637" s="2" t="inlineStr"/>
    </row>
    <row r="638" ht="15" customHeight="1">
      <c r="A638" t="inlineStr">
        <is>
          <t>A 36370-2025</t>
        </is>
      </c>
      <c r="B638" s="1" t="n">
        <v>45867</v>
      </c>
      <c r="C638" s="1" t="n">
        <v>45883</v>
      </c>
      <c r="D638" t="inlineStr">
        <is>
          <t>VÄSTERBOTTENS LÄN</t>
        </is>
      </c>
      <c r="E638" t="inlineStr">
        <is>
          <t>ÅSELE</t>
        </is>
      </c>
      <c r="G638" t="n">
        <v>4.3</v>
      </c>
      <c r="H638" t="n">
        <v>0</v>
      </c>
      <c r="I638" t="n">
        <v>0</v>
      </c>
      <c r="J638" t="n">
        <v>0</v>
      </c>
      <c r="K638" t="n">
        <v>0</v>
      </c>
      <c r="L638" t="n">
        <v>0</v>
      </c>
      <c r="M638" t="n">
        <v>0</v>
      </c>
      <c r="N638" t="n">
        <v>0</v>
      </c>
      <c r="O638" t="n">
        <v>0</v>
      </c>
      <c r="P638" t="n">
        <v>0</v>
      </c>
      <c r="Q638" t="n">
        <v>0</v>
      </c>
      <c r="R638" s="2" t="inlineStr"/>
    </row>
    <row r="639" ht="15" customHeight="1">
      <c r="A639" t="inlineStr">
        <is>
          <t>A 30763-2025</t>
        </is>
      </c>
      <c r="B639" s="1" t="n">
        <v>45831.60331018519</v>
      </c>
      <c r="C639" s="1" t="n">
        <v>45883</v>
      </c>
      <c r="D639" t="inlineStr">
        <is>
          <t>VÄSTERBOTTENS LÄN</t>
        </is>
      </c>
      <c r="E639" t="inlineStr">
        <is>
          <t>ÅSELE</t>
        </is>
      </c>
      <c r="F639" t="inlineStr">
        <is>
          <t>Sveaskog</t>
        </is>
      </c>
      <c r="G639" t="n">
        <v>15.1</v>
      </c>
      <c r="H639" t="n">
        <v>0</v>
      </c>
      <c r="I639" t="n">
        <v>0</v>
      </c>
      <c r="J639" t="n">
        <v>0</v>
      </c>
      <c r="K639" t="n">
        <v>0</v>
      </c>
      <c r="L639" t="n">
        <v>0</v>
      </c>
      <c r="M639" t="n">
        <v>0</v>
      </c>
      <c r="N639" t="n">
        <v>0</v>
      </c>
      <c r="O639" t="n">
        <v>0</v>
      </c>
      <c r="P639" t="n">
        <v>0</v>
      </c>
      <c r="Q639" t="n">
        <v>0</v>
      </c>
      <c r="R639" s="2" t="inlineStr"/>
    </row>
    <row r="640" ht="15" customHeight="1">
      <c r="A640" t="inlineStr">
        <is>
          <t>A 30773-2025</t>
        </is>
      </c>
      <c r="B640" s="1" t="n">
        <v>45831.61457175926</v>
      </c>
      <c r="C640" s="1" t="n">
        <v>45883</v>
      </c>
      <c r="D640" t="inlineStr">
        <is>
          <t>VÄSTERBOTTENS LÄN</t>
        </is>
      </c>
      <c r="E640" t="inlineStr">
        <is>
          <t>ÅSELE</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31217-2025</t>
        </is>
      </c>
      <c r="B641" s="1" t="n">
        <v>45832</v>
      </c>
      <c r="C641" s="1" t="n">
        <v>45883</v>
      </c>
      <c r="D641" t="inlineStr">
        <is>
          <t>VÄSTERBOTTENS LÄN</t>
        </is>
      </c>
      <c r="E641" t="inlineStr">
        <is>
          <t>ÅSELE</t>
        </is>
      </c>
      <c r="G641" t="n">
        <v>10.6</v>
      </c>
      <c r="H641" t="n">
        <v>0</v>
      </c>
      <c r="I641" t="n">
        <v>0</v>
      </c>
      <c r="J641" t="n">
        <v>0</v>
      </c>
      <c r="K641" t="n">
        <v>0</v>
      </c>
      <c r="L641" t="n">
        <v>0</v>
      </c>
      <c r="M641" t="n">
        <v>0</v>
      </c>
      <c r="N641" t="n">
        <v>0</v>
      </c>
      <c r="O641" t="n">
        <v>0</v>
      </c>
      <c r="P641" t="n">
        <v>0</v>
      </c>
      <c r="Q641" t="n">
        <v>0</v>
      </c>
      <c r="R641" s="2" t="inlineStr"/>
    </row>
    <row r="642" ht="15" customHeight="1">
      <c r="A642" t="inlineStr">
        <is>
          <t>A 36837-2025</t>
        </is>
      </c>
      <c r="B642" s="1" t="n">
        <v>45874.36677083333</v>
      </c>
      <c r="C642" s="1" t="n">
        <v>45883</v>
      </c>
      <c r="D642" t="inlineStr">
        <is>
          <t>VÄSTERBOTTENS LÄN</t>
        </is>
      </c>
      <c r="E642" t="inlineStr">
        <is>
          <t>ÅSELE</t>
        </is>
      </c>
      <c r="G642" t="n">
        <v>8.4</v>
      </c>
      <c r="H642" t="n">
        <v>0</v>
      </c>
      <c r="I642" t="n">
        <v>0</v>
      </c>
      <c r="J642" t="n">
        <v>0</v>
      </c>
      <c r="K642" t="n">
        <v>0</v>
      </c>
      <c r="L642" t="n">
        <v>0</v>
      </c>
      <c r="M642" t="n">
        <v>0</v>
      </c>
      <c r="N642" t="n">
        <v>0</v>
      </c>
      <c r="O642" t="n">
        <v>0</v>
      </c>
      <c r="P642" t="n">
        <v>0</v>
      </c>
      <c r="Q642" t="n">
        <v>0</v>
      </c>
      <c r="R642" s="2" t="inlineStr"/>
    </row>
    <row r="643" ht="15" customHeight="1">
      <c r="A643" t="inlineStr">
        <is>
          <t>A 30940-2025</t>
        </is>
      </c>
      <c r="B643" s="1" t="n">
        <v>45832</v>
      </c>
      <c r="C643" s="1" t="n">
        <v>45883</v>
      </c>
      <c r="D643" t="inlineStr">
        <is>
          <t>VÄSTERBOTTENS LÄN</t>
        </is>
      </c>
      <c r="E643" t="inlineStr">
        <is>
          <t>ÅSELE</t>
        </is>
      </c>
      <c r="G643" t="n">
        <v>10.1</v>
      </c>
      <c r="H643" t="n">
        <v>0</v>
      </c>
      <c r="I643" t="n">
        <v>0</v>
      </c>
      <c r="J643" t="n">
        <v>0</v>
      </c>
      <c r="K643" t="n">
        <v>0</v>
      </c>
      <c r="L643" t="n">
        <v>0</v>
      </c>
      <c r="M643" t="n">
        <v>0</v>
      </c>
      <c r="N643" t="n">
        <v>0</v>
      </c>
      <c r="O643" t="n">
        <v>0</v>
      </c>
      <c r="P643" t="n">
        <v>0</v>
      </c>
      <c r="Q643" t="n">
        <v>0</v>
      </c>
      <c r="R643" s="2" t="inlineStr"/>
    </row>
    <row r="644" ht="15" customHeight="1">
      <c r="A644" t="inlineStr">
        <is>
          <t>A 31224-2025</t>
        </is>
      </c>
      <c r="B644" s="1" t="n">
        <v>45832</v>
      </c>
      <c r="C644" s="1" t="n">
        <v>45883</v>
      </c>
      <c r="D644" t="inlineStr">
        <is>
          <t>VÄSTERBOTTENS LÄN</t>
        </is>
      </c>
      <c r="E644" t="inlineStr">
        <is>
          <t>ÅSELE</t>
        </is>
      </c>
      <c r="G644" t="n">
        <v>17</v>
      </c>
      <c r="H644" t="n">
        <v>0</v>
      </c>
      <c r="I644" t="n">
        <v>0</v>
      </c>
      <c r="J644" t="n">
        <v>0</v>
      </c>
      <c r="K644" t="n">
        <v>0</v>
      </c>
      <c r="L644" t="n">
        <v>0</v>
      </c>
      <c r="M644" t="n">
        <v>0</v>
      </c>
      <c r="N644" t="n">
        <v>0</v>
      </c>
      <c r="O644" t="n">
        <v>0</v>
      </c>
      <c r="P644" t="n">
        <v>0</v>
      </c>
      <c r="Q644" t="n">
        <v>0</v>
      </c>
      <c r="R644" s="2" t="inlineStr"/>
    </row>
    <row r="645" ht="15" customHeight="1">
      <c r="A645" t="inlineStr">
        <is>
          <t>A 8723-2025</t>
        </is>
      </c>
      <c r="B645" s="1" t="n">
        <v>45712</v>
      </c>
      <c r="C645" s="1" t="n">
        <v>45883</v>
      </c>
      <c r="D645" t="inlineStr">
        <is>
          <t>VÄSTERBOTTENS LÄN</t>
        </is>
      </c>
      <c r="E645" t="inlineStr">
        <is>
          <t>ÅSELE</t>
        </is>
      </c>
      <c r="F645" t="inlineStr">
        <is>
          <t>SCA</t>
        </is>
      </c>
      <c r="G645" t="n">
        <v>6.5</v>
      </c>
      <c r="H645" t="n">
        <v>0</v>
      </c>
      <c r="I645" t="n">
        <v>0</v>
      </c>
      <c r="J645" t="n">
        <v>0</v>
      </c>
      <c r="K645" t="n">
        <v>0</v>
      </c>
      <c r="L645" t="n">
        <v>0</v>
      </c>
      <c r="M645" t="n">
        <v>0</v>
      </c>
      <c r="N645" t="n">
        <v>0</v>
      </c>
      <c r="O645" t="n">
        <v>0</v>
      </c>
      <c r="P645" t="n">
        <v>0</v>
      </c>
      <c r="Q645" t="n">
        <v>0</v>
      </c>
      <c r="R645" s="2" t="inlineStr"/>
    </row>
    <row r="646" ht="15" customHeight="1">
      <c r="A646" t="inlineStr">
        <is>
          <t>A 30701-2025</t>
        </is>
      </c>
      <c r="B646" s="1" t="n">
        <v>45831</v>
      </c>
      <c r="C646" s="1" t="n">
        <v>45883</v>
      </c>
      <c r="D646" t="inlineStr">
        <is>
          <t>VÄSTERBOTTENS LÄN</t>
        </is>
      </c>
      <c r="E646" t="inlineStr">
        <is>
          <t>ÅSELE</t>
        </is>
      </c>
      <c r="F646" t="inlineStr">
        <is>
          <t>Sveaskog</t>
        </is>
      </c>
      <c r="G646" t="n">
        <v>14.2</v>
      </c>
      <c r="H646" t="n">
        <v>0</v>
      </c>
      <c r="I646" t="n">
        <v>0</v>
      </c>
      <c r="J646" t="n">
        <v>0</v>
      </c>
      <c r="K646" t="n">
        <v>0</v>
      </c>
      <c r="L646" t="n">
        <v>0</v>
      </c>
      <c r="M646" t="n">
        <v>0</v>
      </c>
      <c r="N646" t="n">
        <v>0</v>
      </c>
      <c r="O646" t="n">
        <v>0</v>
      </c>
      <c r="P646" t="n">
        <v>0</v>
      </c>
      <c r="Q646" t="n">
        <v>0</v>
      </c>
      <c r="R646" s="2" t="inlineStr"/>
    </row>
    <row r="647" ht="15" customHeight="1">
      <c r="A647" t="inlineStr">
        <is>
          <t>A 36952-2025</t>
        </is>
      </c>
      <c r="B647" s="1" t="n">
        <v>45874.6078587963</v>
      </c>
      <c r="C647" s="1" t="n">
        <v>45883</v>
      </c>
      <c r="D647" t="inlineStr">
        <is>
          <t>VÄSTERBOTTENS LÄN</t>
        </is>
      </c>
      <c r="E647" t="inlineStr">
        <is>
          <t>ÅSELE</t>
        </is>
      </c>
      <c r="G647" t="n">
        <v>10.6</v>
      </c>
      <c r="H647" t="n">
        <v>0</v>
      </c>
      <c r="I647" t="n">
        <v>0</v>
      </c>
      <c r="J647" t="n">
        <v>0</v>
      </c>
      <c r="K647" t="n">
        <v>0</v>
      </c>
      <c r="L647" t="n">
        <v>0</v>
      </c>
      <c r="M647" t="n">
        <v>0</v>
      </c>
      <c r="N647" t="n">
        <v>0</v>
      </c>
      <c r="O647" t="n">
        <v>0</v>
      </c>
      <c r="P647" t="n">
        <v>0</v>
      </c>
      <c r="Q647" t="n">
        <v>0</v>
      </c>
      <c r="R647" s="2" t="inlineStr"/>
    </row>
    <row r="648" ht="15" customHeight="1">
      <c r="A648" t="inlineStr">
        <is>
          <t>A 31371-2025</t>
        </is>
      </c>
      <c r="B648" s="1" t="n">
        <v>45832</v>
      </c>
      <c r="C648" s="1" t="n">
        <v>45883</v>
      </c>
      <c r="D648" t="inlineStr">
        <is>
          <t>VÄSTERBOTTENS LÄN</t>
        </is>
      </c>
      <c r="E648" t="inlineStr">
        <is>
          <t>ÅSELE</t>
        </is>
      </c>
      <c r="G648" t="n">
        <v>5.9</v>
      </c>
      <c r="H648" t="n">
        <v>0</v>
      </c>
      <c r="I648" t="n">
        <v>0</v>
      </c>
      <c r="J648" t="n">
        <v>0</v>
      </c>
      <c r="K648" t="n">
        <v>0</v>
      </c>
      <c r="L648" t="n">
        <v>0</v>
      </c>
      <c r="M648" t="n">
        <v>0</v>
      </c>
      <c r="N648" t="n">
        <v>0</v>
      </c>
      <c r="O648" t="n">
        <v>0</v>
      </c>
      <c r="P648" t="n">
        <v>0</v>
      </c>
      <c r="Q648" t="n">
        <v>0</v>
      </c>
      <c r="R648" s="2" t="inlineStr"/>
    </row>
    <row r="649" ht="15" customHeight="1">
      <c r="A649" t="inlineStr">
        <is>
          <t>A 30779-2025</t>
        </is>
      </c>
      <c r="B649" s="1" t="n">
        <v>45831.62219907407</v>
      </c>
      <c r="C649" s="1" t="n">
        <v>45883</v>
      </c>
      <c r="D649" t="inlineStr">
        <is>
          <t>VÄSTERBOTTENS LÄN</t>
        </is>
      </c>
      <c r="E649" t="inlineStr">
        <is>
          <t>ÅSELE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31080-2025</t>
        </is>
      </c>
      <c r="B650" s="1" t="n">
        <v>45831</v>
      </c>
      <c r="C650" s="1" t="n">
        <v>45883</v>
      </c>
      <c r="D650" t="inlineStr">
        <is>
          <t>VÄSTERBOTTENS LÄN</t>
        </is>
      </c>
      <c r="E650" t="inlineStr">
        <is>
          <t>ÅSELE</t>
        </is>
      </c>
      <c r="G650" t="n">
        <v>4.9</v>
      </c>
      <c r="H650" t="n">
        <v>0</v>
      </c>
      <c r="I650" t="n">
        <v>0</v>
      </c>
      <c r="J650" t="n">
        <v>0</v>
      </c>
      <c r="K650" t="n">
        <v>0</v>
      </c>
      <c r="L650" t="n">
        <v>0</v>
      </c>
      <c r="M650" t="n">
        <v>0</v>
      </c>
      <c r="N650" t="n">
        <v>0</v>
      </c>
      <c r="O650" t="n">
        <v>0</v>
      </c>
      <c r="P650" t="n">
        <v>0</v>
      </c>
      <c r="Q650" t="n">
        <v>0</v>
      </c>
      <c r="R650" s="2" t="inlineStr"/>
    </row>
    <row r="651" ht="15" customHeight="1">
      <c r="A651" t="inlineStr">
        <is>
          <t>A 31219-2025</t>
        </is>
      </c>
      <c r="B651" s="1" t="n">
        <v>45832</v>
      </c>
      <c r="C651" s="1" t="n">
        <v>45883</v>
      </c>
      <c r="D651" t="inlineStr">
        <is>
          <t>VÄSTERBOTTENS LÄN</t>
        </is>
      </c>
      <c r="E651" t="inlineStr">
        <is>
          <t>ÅSELE</t>
        </is>
      </c>
      <c r="G651" t="n">
        <v>3.1</v>
      </c>
      <c r="H651" t="n">
        <v>0</v>
      </c>
      <c r="I651" t="n">
        <v>0</v>
      </c>
      <c r="J651" t="n">
        <v>0</v>
      </c>
      <c r="K651" t="n">
        <v>0</v>
      </c>
      <c r="L651" t="n">
        <v>0</v>
      </c>
      <c r="M651" t="n">
        <v>0</v>
      </c>
      <c r="N651" t="n">
        <v>0</v>
      </c>
      <c r="O651" t="n">
        <v>0</v>
      </c>
      <c r="P651" t="n">
        <v>0</v>
      </c>
      <c r="Q651" t="n">
        <v>0</v>
      </c>
      <c r="R651" s="2" t="inlineStr"/>
    </row>
    <row r="652" ht="15" customHeight="1">
      <c r="A652" t="inlineStr">
        <is>
          <t>A 51405-2024</t>
        </is>
      </c>
      <c r="B652" s="1" t="n">
        <v>45604</v>
      </c>
      <c r="C652" s="1" t="n">
        <v>45883</v>
      </c>
      <c r="D652" t="inlineStr">
        <is>
          <t>VÄSTERBOTTENS LÄN</t>
        </is>
      </c>
      <c r="E652" t="inlineStr">
        <is>
          <t>ÅSELE</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54729-2024</t>
        </is>
      </c>
      <c r="B653" s="1" t="n">
        <v>45618.43826388889</v>
      </c>
      <c r="C653" s="1" t="n">
        <v>45883</v>
      </c>
      <c r="D653" t="inlineStr">
        <is>
          <t>VÄSTERBOTTENS LÄN</t>
        </is>
      </c>
      <c r="E653" t="inlineStr">
        <is>
          <t>ÅSELE</t>
        </is>
      </c>
      <c r="F653" t="inlineStr">
        <is>
          <t>SCA</t>
        </is>
      </c>
      <c r="G653" t="n">
        <v>5.6</v>
      </c>
      <c r="H653" t="n">
        <v>0</v>
      </c>
      <c r="I653" t="n">
        <v>0</v>
      </c>
      <c r="J653" t="n">
        <v>0</v>
      </c>
      <c r="K653" t="n">
        <v>0</v>
      </c>
      <c r="L653" t="n">
        <v>0</v>
      </c>
      <c r="M653" t="n">
        <v>0</v>
      </c>
      <c r="N653" t="n">
        <v>0</v>
      </c>
      <c r="O653" t="n">
        <v>0</v>
      </c>
      <c r="P653" t="n">
        <v>0</v>
      </c>
      <c r="Q653" t="n">
        <v>0</v>
      </c>
      <c r="R653" s="2" t="inlineStr"/>
    </row>
    <row r="654" ht="15" customHeight="1">
      <c r="A654" t="inlineStr">
        <is>
          <t>A 48044-2024</t>
        </is>
      </c>
      <c r="B654" s="1" t="n">
        <v>45589</v>
      </c>
      <c r="C654" s="1" t="n">
        <v>45883</v>
      </c>
      <c r="D654" t="inlineStr">
        <is>
          <t>VÄSTERBOTTENS LÄN</t>
        </is>
      </c>
      <c r="E654" t="inlineStr">
        <is>
          <t>ÅSELE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50420-2024</t>
        </is>
      </c>
      <c r="B655" s="1" t="n">
        <v>45601</v>
      </c>
      <c r="C655" s="1" t="n">
        <v>45883</v>
      </c>
      <c r="D655" t="inlineStr">
        <is>
          <t>VÄSTERBOTTENS LÄN</t>
        </is>
      </c>
      <c r="E655" t="inlineStr">
        <is>
          <t>ÅSELE</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51544-2024</t>
        </is>
      </c>
      <c r="B656" s="1" t="n">
        <v>45604</v>
      </c>
      <c r="C656" s="1" t="n">
        <v>45883</v>
      </c>
      <c r="D656" t="inlineStr">
        <is>
          <t>VÄSTERBOTTENS LÄN</t>
        </is>
      </c>
      <c r="E656" t="inlineStr">
        <is>
          <t>ÅSELE</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31445-2025</t>
        </is>
      </c>
      <c r="B657" s="1" t="n">
        <v>45833.51791666666</v>
      </c>
      <c r="C657" s="1" t="n">
        <v>45883</v>
      </c>
      <c r="D657" t="inlineStr">
        <is>
          <t>VÄSTERBOTTENS LÄN</t>
        </is>
      </c>
      <c r="E657" t="inlineStr">
        <is>
          <t>ÅSELE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50419-2024</t>
        </is>
      </c>
      <c r="B658" s="1" t="n">
        <v>45601</v>
      </c>
      <c r="C658" s="1" t="n">
        <v>45883</v>
      </c>
      <c r="D658" t="inlineStr">
        <is>
          <t>VÄSTERBOTTENS LÄN</t>
        </is>
      </c>
      <c r="E658" t="inlineStr">
        <is>
          <t>ÅSELE</t>
        </is>
      </c>
      <c r="F658" t="inlineStr">
        <is>
          <t>SCA</t>
        </is>
      </c>
      <c r="G658" t="n">
        <v>5.1</v>
      </c>
      <c r="H658" t="n">
        <v>0</v>
      </c>
      <c r="I658" t="n">
        <v>0</v>
      </c>
      <c r="J658" t="n">
        <v>0</v>
      </c>
      <c r="K658" t="n">
        <v>0</v>
      </c>
      <c r="L658" t="n">
        <v>0</v>
      </c>
      <c r="M658" t="n">
        <v>0</v>
      </c>
      <c r="N658" t="n">
        <v>0</v>
      </c>
      <c r="O658" t="n">
        <v>0</v>
      </c>
      <c r="P658" t="n">
        <v>0</v>
      </c>
      <c r="Q658" t="n">
        <v>0</v>
      </c>
      <c r="R658" s="2" t="inlineStr"/>
    </row>
    <row r="659" ht="15" customHeight="1">
      <c r="A659" t="inlineStr">
        <is>
          <t>A 31313-2025</t>
        </is>
      </c>
      <c r="B659" s="1" t="n">
        <v>45833.39784722222</v>
      </c>
      <c r="C659" s="1" t="n">
        <v>45883</v>
      </c>
      <c r="D659" t="inlineStr">
        <is>
          <t>VÄSTERBOTTENS LÄN</t>
        </is>
      </c>
      <c r="E659" t="inlineStr">
        <is>
          <t>ÅSELE</t>
        </is>
      </c>
      <c r="F659" t="inlineStr">
        <is>
          <t>Holmen skog AB</t>
        </is>
      </c>
      <c r="G659" t="n">
        <v>1.6</v>
      </c>
      <c r="H659" t="n">
        <v>0</v>
      </c>
      <c r="I659" t="n">
        <v>0</v>
      </c>
      <c r="J659" t="n">
        <v>0</v>
      </c>
      <c r="K659" t="n">
        <v>0</v>
      </c>
      <c r="L659" t="n">
        <v>0</v>
      </c>
      <c r="M659" t="n">
        <v>0</v>
      </c>
      <c r="N659" t="n">
        <v>0</v>
      </c>
      <c r="O659" t="n">
        <v>0</v>
      </c>
      <c r="P659" t="n">
        <v>0</v>
      </c>
      <c r="Q659" t="n">
        <v>0</v>
      </c>
      <c r="R659" s="2" t="inlineStr"/>
    </row>
    <row r="660" ht="15" customHeight="1">
      <c r="A660" t="inlineStr">
        <is>
          <t>A 35554-2025</t>
        </is>
      </c>
      <c r="B660" s="1" t="n">
        <v>45856</v>
      </c>
      <c r="C660" s="1" t="n">
        <v>45883</v>
      </c>
      <c r="D660" t="inlineStr">
        <is>
          <t>VÄSTERBOTTENS LÄN</t>
        </is>
      </c>
      <c r="E660" t="inlineStr">
        <is>
          <t>ÅSELE</t>
        </is>
      </c>
      <c r="F660" t="inlineStr">
        <is>
          <t>Holmen skog AB</t>
        </is>
      </c>
      <c r="G660" t="n">
        <v>4.7</v>
      </c>
      <c r="H660" t="n">
        <v>0</v>
      </c>
      <c r="I660" t="n">
        <v>0</v>
      </c>
      <c r="J660" t="n">
        <v>0</v>
      </c>
      <c r="K660" t="n">
        <v>0</v>
      </c>
      <c r="L660" t="n">
        <v>0</v>
      </c>
      <c r="M660" t="n">
        <v>0</v>
      </c>
      <c r="N660" t="n">
        <v>0</v>
      </c>
      <c r="O660" t="n">
        <v>0</v>
      </c>
      <c r="P660" t="n">
        <v>0</v>
      </c>
      <c r="Q660" t="n">
        <v>0</v>
      </c>
      <c r="R660" s="2" t="inlineStr"/>
    </row>
    <row r="661" ht="15" customHeight="1">
      <c r="A661" t="inlineStr">
        <is>
          <t>A 57788-2023</t>
        </is>
      </c>
      <c r="B661" s="1" t="n">
        <v>45246</v>
      </c>
      <c r="C661" s="1" t="n">
        <v>45883</v>
      </c>
      <c r="D661" t="inlineStr">
        <is>
          <t>VÄSTERBOTTENS LÄN</t>
        </is>
      </c>
      <c r="E661" t="inlineStr">
        <is>
          <t>ÅSELE</t>
        </is>
      </c>
      <c r="F661" t="inlineStr">
        <is>
          <t>SCA</t>
        </is>
      </c>
      <c r="G661" t="n">
        <v>7.7</v>
      </c>
      <c r="H661" t="n">
        <v>0</v>
      </c>
      <c r="I661" t="n">
        <v>0</v>
      </c>
      <c r="J661" t="n">
        <v>0</v>
      </c>
      <c r="K661" t="n">
        <v>0</v>
      </c>
      <c r="L661" t="n">
        <v>0</v>
      </c>
      <c r="M661" t="n">
        <v>0</v>
      </c>
      <c r="N661" t="n">
        <v>0</v>
      </c>
      <c r="O661" t="n">
        <v>0</v>
      </c>
      <c r="P661" t="n">
        <v>0</v>
      </c>
      <c r="Q661" t="n">
        <v>0</v>
      </c>
      <c r="R661" s="2" t="inlineStr"/>
    </row>
    <row r="662" ht="15" customHeight="1">
      <c r="A662" t="inlineStr">
        <is>
          <t>A 31278-2025</t>
        </is>
      </c>
      <c r="B662" s="1" t="n">
        <v>45833.34509259259</v>
      </c>
      <c r="C662" s="1" t="n">
        <v>45883</v>
      </c>
      <c r="D662" t="inlineStr">
        <is>
          <t>VÄSTERBOTTENS LÄN</t>
        </is>
      </c>
      <c r="E662" t="inlineStr">
        <is>
          <t>ÅSELE</t>
        </is>
      </c>
      <c r="F662" t="inlineStr">
        <is>
          <t>SCA</t>
        </is>
      </c>
      <c r="G662" t="n">
        <v>10.5</v>
      </c>
      <c r="H662" t="n">
        <v>0</v>
      </c>
      <c r="I662" t="n">
        <v>0</v>
      </c>
      <c r="J662" t="n">
        <v>0</v>
      </c>
      <c r="K662" t="n">
        <v>0</v>
      </c>
      <c r="L662" t="n">
        <v>0</v>
      </c>
      <c r="M662" t="n">
        <v>0</v>
      </c>
      <c r="N662" t="n">
        <v>0</v>
      </c>
      <c r="O662" t="n">
        <v>0</v>
      </c>
      <c r="P662" t="n">
        <v>0</v>
      </c>
      <c r="Q662" t="n">
        <v>0</v>
      </c>
      <c r="R662" s="2" t="inlineStr"/>
    </row>
    <row r="663" ht="15" customHeight="1">
      <c r="A663" t="inlineStr">
        <is>
          <t>A 48206-2024</t>
        </is>
      </c>
      <c r="B663" s="1" t="n">
        <v>45590</v>
      </c>
      <c r="C663" s="1" t="n">
        <v>45883</v>
      </c>
      <c r="D663" t="inlineStr">
        <is>
          <t>VÄSTERBOTTENS LÄN</t>
        </is>
      </c>
      <c r="E663" t="inlineStr">
        <is>
          <t>ÅSELE</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64949-2023</t>
        </is>
      </c>
      <c r="B664" s="1" t="n">
        <v>45282.94709490741</v>
      </c>
      <c r="C664" s="1" t="n">
        <v>45883</v>
      </c>
      <c r="D664" t="inlineStr">
        <is>
          <t>VÄSTERBOTTENS LÄN</t>
        </is>
      </c>
      <c r="E664" t="inlineStr">
        <is>
          <t>ÅSELE</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50200-2023</t>
        </is>
      </c>
      <c r="B665" s="1" t="n">
        <v>45215.87696759259</v>
      </c>
      <c r="C665" s="1" t="n">
        <v>45883</v>
      </c>
      <c r="D665" t="inlineStr">
        <is>
          <t>VÄSTERBOTTENS LÄN</t>
        </is>
      </c>
      <c r="E665" t="inlineStr">
        <is>
          <t>ÅSELE</t>
        </is>
      </c>
      <c r="F665" t="inlineStr">
        <is>
          <t>Holmen skog AB</t>
        </is>
      </c>
      <c r="G665" t="n">
        <v>1.7</v>
      </c>
      <c r="H665" t="n">
        <v>0</v>
      </c>
      <c r="I665" t="n">
        <v>0</v>
      </c>
      <c r="J665" t="n">
        <v>0</v>
      </c>
      <c r="K665" t="n">
        <v>0</v>
      </c>
      <c r="L665" t="n">
        <v>0</v>
      </c>
      <c r="M665" t="n">
        <v>0</v>
      </c>
      <c r="N665" t="n">
        <v>0</v>
      </c>
      <c r="O665" t="n">
        <v>0</v>
      </c>
      <c r="P665" t="n">
        <v>0</v>
      </c>
      <c r="Q665" t="n">
        <v>0</v>
      </c>
      <c r="R665" s="2" t="inlineStr"/>
    </row>
    <row r="666" ht="15" customHeight="1">
      <c r="A666" t="inlineStr">
        <is>
          <t>A 10080-2023</t>
        </is>
      </c>
      <c r="B666" s="1" t="n">
        <v>44985.94431712963</v>
      </c>
      <c r="C666" s="1" t="n">
        <v>45883</v>
      </c>
      <c r="D666" t="inlineStr">
        <is>
          <t>VÄSTERBOTTENS LÄN</t>
        </is>
      </c>
      <c r="E666" t="inlineStr">
        <is>
          <t>ÅSELE</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2892-2025</t>
        </is>
      </c>
      <c r="B667" s="1" t="n">
        <v>45677</v>
      </c>
      <c r="C667" s="1" t="n">
        <v>45883</v>
      </c>
      <c r="D667" t="inlineStr">
        <is>
          <t>VÄSTERBOTTENS LÄN</t>
        </is>
      </c>
      <c r="E667" t="inlineStr">
        <is>
          <t>ÅSELE</t>
        </is>
      </c>
      <c r="G667" t="n">
        <v>3.1</v>
      </c>
      <c r="H667" t="n">
        <v>0</v>
      </c>
      <c r="I667" t="n">
        <v>0</v>
      </c>
      <c r="J667" t="n">
        <v>0</v>
      </c>
      <c r="K667" t="n">
        <v>0</v>
      </c>
      <c r="L667" t="n">
        <v>0</v>
      </c>
      <c r="M667" t="n">
        <v>0</v>
      </c>
      <c r="N667" t="n">
        <v>0</v>
      </c>
      <c r="O667" t="n">
        <v>0</v>
      </c>
      <c r="P667" t="n">
        <v>0</v>
      </c>
      <c r="Q667" t="n">
        <v>0</v>
      </c>
      <c r="R667" s="2" t="inlineStr"/>
    </row>
    <row r="668" ht="15" customHeight="1">
      <c r="A668" t="inlineStr">
        <is>
          <t>A 48209-2024</t>
        </is>
      </c>
      <c r="B668" s="1" t="n">
        <v>45590</v>
      </c>
      <c r="C668" s="1" t="n">
        <v>45883</v>
      </c>
      <c r="D668" t="inlineStr">
        <is>
          <t>VÄSTERBOTTENS LÄN</t>
        </is>
      </c>
      <c r="E668" t="inlineStr">
        <is>
          <t>ÅSELE</t>
        </is>
      </c>
      <c r="F668" t="inlineStr">
        <is>
          <t>SCA</t>
        </is>
      </c>
      <c r="G668" t="n">
        <v>5.4</v>
      </c>
      <c r="H668" t="n">
        <v>0</v>
      </c>
      <c r="I668" t="n">
        <v>0</v>
      </c>
      <c r="J668" t="n">
        <v>0</v>
      </c>
      <c r="K668" t="n">
        <v>0</v>
      </c>
      <c r="L668" t="n">
        <v>0</v>
      </c>
      <c r="M668" t="n">
        <v>0</v>
      </c>
      <c r="N668" t="n">
        <v>0</v>
      </c>
      <c r="O668" t="n">
        <v>0</v>
      </c>
      <c r="P668" t="n">
        <v>0</v>
      </c>
      <c r="Q668" t="n">
        <v>0</v>
      </c>
      <c r="R668" s="2" t="inlineStr"/>
    </row>
    <row r="669" ht="15" customHeight="1">
      <c r="A669" t="inlineStr">
        <is>
          <t>A 48051-2024</t>
        </is>
      </c>
      <c r="B669" s="1" t="n">
        <v>45589</v>
      </c>
      <c r="C669" s="1" t="n">
        <v>45883</v>
      </c>
      <c r="D669" t="inlineStr">
        <is>
          <t>VÄSTERBOTTENS LÄN</t>
        </is>
      </c>
      <c r="E669" t="inlineStr">
        <is>
          <t>ÅSELE</t>
        </is>
      </c>
      <c r="F669" t="inlineStr">
        <is>
          <t>SCA</t>
        </is>
      </c>
      <c r="G669" t="n">
        <v>4.2</v>
      </c>
      <c r="H669" t="n">
        <v>0</v>
      </c>
      <c r="I669" t="n">
        <v>0</v>
      </c>
      <c r="J669" t="n">
        <v>0</v>
      </c>
      <c r="K669" t="n">
        <v>0</v>
      </c>
      <c r="L669" t="n">
        <v>0</v>
      </c>
      <c r="M669" t="n">
        <v>0</v>
      </c>
      <c r="N669" t="n">
        <v>0</v>
      </c>
      <c r="O669" t="n">
        <v>0</v>
      </c>
      <c r="P669" t="n">
        <v>0</v>
      </c>
      <c r="Q669" t="n">
        <v>0</v>
      </c>
      <c r="R669" s="2" t="inlineStr"/>
    </row>
    <row r="670" ht="15" customHeight="1">
      <c r="A670" t="inlineStr">
        <is>
          <t>A 46691-2023</t>
        </is>
      </c>
      <c r="B670" s="1" t="n">
        <v>45198.52241898148</v>
      </c>
      <c r="C670" s="1" t="n">
        <v>45883</v>
      </c>
      <c r="D670" t="inlineStr">
        <is>
          <t>VÄSTERBOTTENS LÄN</t>
        </is>
      </c>
      <c r="E670" t="inlineStr">
        <is>
          <t>ÅSELE</t>
        </is>
      </c>
      <c r="F670" t="inlineStr">
        <is>
          <t>Sveaskog</t>
        </is>
      </c>
      <c r="G670" t="n">
        <v>11.1</v>
      </c>
      <c r="H670" t="n">
        <v>0</v>
      </c>
      <c r="I670" t="n">
        <v>0</v>
      </c>
      <c r="J670" t="n">
        <v>0</v>
      </c>
      <c r="K670" t="n">
        <v>0</v>
      </c>
      <c r="L670" t="n">
        <v>0</v>
      </c>
      <c r="M670" t="n">
        <v>0</v>
      </c>
      <c r="N670" t="n">
        <v>0</v>
      </c>
      <c r="O670" t="n">
        <v>0</v>
      </c>
      <c r="P670" t="n">
        <v>0</v>
      </c>
      <c r="Q670" t="n">
        <v>0</v>
      </c>
      <c r="R670" s="2" t="inlineStr"/>
    </row>
    <row r="671" ht="15" customHeight="1">
      <c r="A671" t="inlineStr">
        <is>
          <t>A 53638-2022</t>
        </is>
      </c>
      <c r="B671" s="1" t="n">
        <v>44879</v>
      </c>
      <c r="C671" s="1" t="n">
        <v>45883</v>
      </c>
      <c r="D671" t="inlineStr">
        <is>
          <t>VÄSTERBOTTENS LÄN</t>
        </is>
      </c>
      <c r="E671" t="inlineStr">
        <is>
          <t>ÅSELE</t>
        </is>
      </c>
      <c r="G671" t="n">
        <v>4.7</v>
      </c>
      <c r="H671" t="n">
        <v>0</v>
      </c>
      <c r="I671" t="n">
        <v>0</v>
      </c>
      <c r="J671" t="n">
        <v>0</v>
      </c>
      <c r="K671" t="n">
        <v>0</v>
      </c>
      <c r="L671" t="n">
        <v>0</v>
      </c>
      <c r="M671" t="n">
        <v>0</v>
      </c>
      <c r="N671" t="n">
        <v>0</v>
      </c>
      <c r="O671" t="n">
        <v>0</v>
      </c>
      <c r="P671" t="n">
        <v>0</v>
      </c>
      <c r="Q671" t="n">
        <v>0</v>
      </c>
      <c r="R671" s="2" t="inlineStr"/>
    </row>
    <row r="672" ht="15" customHeight="1">
      <c r="A672" t="inlineStr">
        <is>
          <t>A 29738-2024</t>
        </is>
      </c>
      <c r="B672" s="1" t="n">
        <v>45485.39127314815</v>
      </c>
      <c r="C672" s="1" t="n">
        <v>45883</v>
      </c>
      <c r="D672" t="inlineStr">
        <is>
          <t>VÄSTERBOTTENS LÄN</t>
        </is>
      </c>
      <c r="E672" t="inlineStr">
        <is>
          <t>ÅSELE</t>
        </is>
      </c>
      <c r="G672" t="n">
        <v>0.2</v>
      </c>
      <c r="H672" t="n">
        <v>0</v>
      </c>
      <c r="I672" t="n">
        <v>0</v>
      </c>
      <c r="J672" t="n">
        <v>0</v>
      </c>
      <c r="K672" t="n">
        <v>0</v>
      </c>
      <c r="L672" t="n">
        <v>0</v>
      </c>
      <c r="M672" t="n">
        <v>0</v>
      </c>
      <c r="N672" t="n">
        <v>0</v>
      </c>
      <c r="O672" t="n">
        <v>0</v>
      </c>
      <c r="P672" t="n">
        <v>0</v>
      </c>
      <c r="Q672" t="n">
        <v>0</v>
      </c>
      <c r="R672" s="2" t="inlineStr"/>
    </row>
    <row r="673" ht="15" customHeight="1">
      <c r="A673" t="inlineStr">
        <is>
          <t>A 61542-2024</t>
        </is>
      </c>
      <c r="B673" s="1" t="n">
        <v>45645</v>
      </c>
      <c r="C673" s="1" t="n">
        <v>45883</v>
      </c>
      <c r="D673" t="inlineStr">
        <is>
          <t>VÄSTERBOTTENS LÄN</t>
        </is>
      </c>
      <c r="E673" t="inlineStr">
        <is>
          <t>ÅSELE</t>
        </is>
      </c>
      <c r="G673" t="n">
        <v>1.2</v>
      </c>
      <c r="H673" t="n">
        <v>0</v>
      </c>
      <c r="I673" t="n">
        <v>0</v>
      </c>
      <c r="J673" t="n">
        <v>0</v>
      </c>
      <c r="K673" t="n">
        <v>0</v>
      </c>
      <c r="L673" t="n">
        <v>0</v>
      </c>
      <c r="M673" t="n">
        <v>0</v>
      </c>
      <c r="N673" t="n">
        <v>0</v>
      </c>
      <c r="O673" t="n">
        <v>0</v>
      </c>
      <c r="P673" t="n">
        <v>0</v>
      </c>
      <c r="Q673" t="n">
        <v>0</v>
      </c>
      <c r="R673" s="2" t="inlineStr"/>
    </row>
    <row r="674" ht="15" customHeight="1">
      <c r="A674" t="inlineStr">
        <is>
          <t>A 5726-2024</t>
        </is>
      </c>
      <c r="B674" s="1" t="n">
        <v>45334.9250925926</v>
      </c>
      <c r="C674" s="1" t="n">
        <v>45883</v>
      </c>
      <c r="D674" t="inlineStr">
        <is>
          <t>VÄSTERBOTTENS LÄN</t>
        </is>
      </c>
      <c r="E674" t="inlineStr">
        <is>
          <t>ÅSELE</t>
        </is>
      </c>
      <c r="G674" t="n">
        <v>2.9</v>
      </c>
      <c r="H674" t="n">
        <v>0</v>
      </c>
      <c r="I674" t="n">
        <v>0</v>
      </c>
      <c r="J674" t="n">
        <v>0</v>
      </c>
      <c r="K674" t="n">
        <v>0</v>
      </c>
      <c r="L674" t="n">
        <v>0</v>
      </c>
      <c r="M674" t="n">
        <v>0</v>
      </c>
      <c r="N674" t="n">
        <v>0</v>
      </c>
      <c r="O674" t="n">
        <v>0</v>
      </c>
      <c r="P674" t="n">
        <v>0</v>
      </c>
      <c r="Q674" t="n">
        <v>0</v>
      </c>
      <c r="R674" s="2" t="inlineStr"/>
    </row>
    <row r="675" ht="15" customHeight="1">
      <c r="A675" t="inlineStr">
        <is>
          <t>A 38392-2020</t>
        </is>
      </c>
      <c r="B675" s="1" t="n">
        <v>44060</v>
      </c>
      <c r="C675" s="1" t="n">
        <v>45883</v>
      </c>
      <c r="D675" t="inlineStr">
        <is>
          <t>VÄSTERBOTTENS LÄN</t>
        </is>
      </c>
      <c r="E675" t="inlineStr">
        <is>
          <t>ÅSELE</t>
        </is>
      </c>
      <c r="G675" t="n">
        <v>3.1</v>
      </c>
      <c r="H675" t="n">
        <v>0</v>
      </c>
      <c r="I675" t="n">
        <v>0</v>
      </c>
      <c r="J675" t="n">
        <v>0</v>
      </c>
      <c r="K675" t="n">
        <v>0</v>
      </c>
      <c r="L675" t="n">
        <v>0</v>
      </c>
      <c r="M675" t="n">
        <v>0</v>
      </c>
      <c r="N675" t="n">
        <v>0</v>
      </c>
      <c r="O675" t="n">
        <v>0</v>
      </c>
      <c r="P675" t="n">
        <v>0</v>
      </c>
      <c r="Q675" t="n">
        <v>0</v>
      </c>
      <c r="R675" s="2" t="inlineStr"/>
    </row>
    <row r="676" ht="15" customHeight="1">
      <c r="A676" t="inlineStr">
        <is>
          <t>A 3088-2024</t>
        </is>
      </c>
      <c r="B676" s="1" t="n">
        <v>45316</v>
      </c>
      <c r="C676" s="1" t="n">
        <v>45883</v>
      </c>
      <c r="D676" t="inlineStr">
        <is>
          <t>VÄSTERBOTTENS LÄN</t>
        </is>
      </c>
      <c r="E676" t="inlineStr">
        <is>
          <t>ÅSELE</t>
        </is>
      </c>
      <c r="G676" t="n">
        <v>2.2</v>
      </c>
      <c r="H676" t="n">
        <v>0</v>
      </c>
      <c r="I676" t="n">
        <v>0</v>
      </c>
      <c r="J676" t="n">
        <v>0</v>
      </c>
      <c r="K676" t="n">
        <v>0</v>
      </c>
      <c r="L676" t="n">
        <v>0</v>
      </c>
      <c r="M676" t="n">
        <v>0</v>
      </c>
      <c r="N676" t="n">
        <v>0</v>
      </c>
      <c r="O676" t="n">
        <v>0</v>
      </c>
      <c r="P676" t="n">
        <v>0</v>
      </c>
      <c r="Q676" t="n">
        <v>0</v>
      </c>
      <c r="R676" s="2" t="inlineStr"/>
    </row>
    <row r="677" ht="15" customHeight="1">
      <c r="A677" t="inlineStr">
        <is>
          <t>A 3111-2024</t>
        </is>
      </c>
      <c r="B677" s="1" t="n">
        <v>45316</v>
      </c>
      <c r="C677" s="1" t="n">
        <v>45883</v>
      </c>
      <c r="D677" t="inlineStr">
        <is>
          <t>VÄSTERBOTTENS LÄN</t>
        </is>
      </c>
      <c r="E677" t="inlineStr">
        <is>
          <t>ÅSELE</t>
        </is>
      </c>
      <c r="G677" t="n">
        <v>1.6</v>
      </c>
      <c r="H677" t="n">
        <v>0</v>
      </c>
      <c r="I677" t="n">
        <v>0</v>
      </c>
      <c r="J677" t="n">
        <v>0</v>
      </c>
      <c r="K677" t="n">
        <v>0</v>
      </c>
      <c r="L677" t="n">
        <v>0</v>
      </c>
      <c r="M677" t="n">
        <v>0</v>
      </c>
      <c r="N677" t="n">
        <v>0</v>
      </c>
      <c r="O677" t="n">
        <v>0</v>
      </c>
      <c r="P677" t="n">
        <v>0</v>
      </c>
      <c r="Q677" t="n">
        <v>0</v>
      </c>
      <c r="R677" s="2" t="inlineStr"/>
    </row>
    <row r="678" ht="15" customHeight="1">
      <c r="A678" t="inlineStr">
        <is>
          <t>A 44622-2024</t>
        </is>
      </c>
      <c r="B678" s="1" t="n">
        <v>45574.51344907407</v>
      </c>
      <c r="C678" s="1" t="n">
        <v>45883</v>
      </c>
      <c r="D678" t="inlineStr">
        <is>
          <t>VÄSTERBOTTENS LÄN</t>
        </is>
      </c>
      <c r="E678" t="inlineStr">
        <is>
          <t>ÅSELE</t>
        </is>
      </c>
      <c r="F678" t="inlineStr">
        <is>
          <t>SCA</t>
        </is>
      </c>
      <c r="G678" t="n">
        <v>14.9</v>
      </c>
      <c r="H678" t="n">
        <v>0</v>
      </c>
      <c r="I678" t="n">
        <v>0</v>
      </c>
      <c r="J678" t="n">
        <v>0</v>
      </c>
      <c r="K678" t="n">
        <v>0</v>
      </c>
      <c r="L678" t="n">
        <v>0</v>
      </c>
      <c r="M678" t="n">
        <v>0</v>
      </c>
      <c r="N678" t="n">
        <v>0</v>
      </c>
      <c r="O678" t="n">
        <v>0</v>
      </c>
      <c r="P678" t="n">
        <v>0</v>
      </c>
      <c r="Q678" t="n">
        <v>0</v>
      </c>
      <c r="R678" s="2" t="inlineStr"/>
    </row>
    <row r="679" ht="15" customHeight="1">
      <c r="A679" t="inlineStr">
        <is>
          <t>A 36315-2025</t>
        </is>
      </c>
      <c r="B679" s="1" t="n">
        <v>45868</v>
      </c>
      <c r="C679" s="1" t="n">
        <v>45883</v>
      </c>
      <c r="D679" t="inlineStr">
        <is>
          <t>VÄSTERBOTTENS LÄN</t>
        </is>
      </c>
      <c r="E679" t="inlineStr">
        <is>
          <t>ÅSELE</t>
        </is>
      </c>
      <c r="G679" t="n">
        <v>1.6</v>
      </c>
      <c r="H679" t="n">
        <v>0</v>
      </c>
      <c r="I679" t="n">
        <v>0</v>
      </c>
      <c r="J679" t="n">
        <v>0</v>
      </c>
      <c r="K679" t="n">
        <v>0</v>
      </c>
      <c r="L679" t="n">
        <v>0</v>
      </c>
      <c r="M679" t="n">
        <v>0</v>
      </c>
      <c r="N679" t="n">
        <v>0</v>
      </c>
      <c r="O679" t="n">
        <v>0</v>
      </c>
      <c r="P679" t="n">
        <v>0</v>
      </c>
      <c r="Q679" t="n">
        <v>0</v>
      </c>
      <c r="R679" s="2" t="inlineStr"/>
    </row>
    <row r="680" ht="15" customHeight="1">
      <c r="A680" t="inlineStr">
        <is>
          <t>A 23022-2021</t>
        </is>
      </c>
      <c r="B680" s="1" t="n">
        <v>44328</v>
      </c>
      <c r="C680" s="1" t="n">
        <v>45883</v>
      </c>
      <c r="D680" t="inlineStr">
        <is>
          <t>VÄSTERBOTTENS LÄN</t>
        </is>
      </c>
      <c r="E680" t="inlineStr">
        <is>
          <t>ÅSELE</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37772-2025</t>
        </is>
      </c>
      <c r="B681" s="1" t="n">
        <v>45880.75725694445</v>
      </c>
      <c r="C681" s="1" t="n">
        <v>45883</v>
      </c>
      <c r="D681" t="inlineStr">
        <is>
          <t>VÄSTERBOTTENS LÄN</t>
        </is>
      </c>
      <c r="E681" t="inlineStr">
        <is>
          <t>ÅSELE</t>
        </is>
      </c>
      <c r="G681" t="n">
        <v>11.3</v>
      </c>
      <c r="H681" t="n">
        <v>0</v>
      </c>
      <c r="I681" t="n">
        <v>0</v>
      </c>
      <c r="J681" t="n">
        <v>0</v>
      </c>
      <c r="K681" t="n">
        <v>0</v>
      </c>
      <c r="L681" t="n">
        <v>0</v>
      </c>
      <c r="M681" t="n">
        <v>0</v>
      </c>
      <c r="N681" t="n">
        <v>0</v>
      </c>
      <c r="O681" t="n">
        <v>0</v>
      </c>
      <c r="P681" t="n">
        <v>0</v>
      </c>
      <c r="Q681" t="n">
        <v>0</v>
      </c>
      <c r="R681" s="2" t="inlineStr"/>
    </row>
    <row r="682" ht="15" customHeight="1">
      <c r="A682" t="inlineStr">
        <is>
          <t>A 32143-2025</t>
        </is>
      </c>
      <c r="B682" s="1" t="n">
        <v>45835.52561342593</v>
      </c>
      <c r="C682" s="1" t="n">
        <v>45883</v>
      </c>
      <c r="D682" t="inlineStr">
        <is>
          <t>VÄSTERBOTTENS LÄN</t>
        </is>
      </c>
      <c r="E682" t="inlineStr">
        <is>
          <t>ÅSELE</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36220-2025</t>
        </is>
      </c>
      <c r="B683" s="1" t="n">
        <v>45867.505</v>
      </c>
      <c r="C683" s="1" t="n">
        <v>45883</v>
      </c>
      <c r="D683" t="inlineStr">
        <is>
          <t>VÄSTERBOTTENS LÄN</t>
        </is>
      </c>
      <c r="E683" t="inlineStr">
        <is>
          <t>ÅSELE</t>
        </is>
      </c>
      <c r="F683" t="inlineStr">
        <is>
          <t>Holmen skog AB</t>
        </is>
      </c>
      <c r="G683" t="n">
        <v>5.6</v>
      </c>
      <c r="H683" t="n">
        <v>0</v>
      </c>
      <c r="I683" t="n">
        <v>0</v>
      </c>
      <c r="J683" t="n">
        <v>0</v>
      </c>
      <c r="K683" t="n">
        <v>0</v>
      </c>
      <c r="L683" t="n">
        <v>0</v>
      </c>
      <c r="M683" t="n">
        <v>0</v>
      </c>
      <c r="N683" t="n">
        <v>0</v>
      </c>
      <c r="O683" t="n">
        <v>0</v>
      </c>
      <c r="P683" t="n">
        <v>0</v>
      </c>
      <c r="Q683" t="n">
        <v>0</v>
      </c>
      <c r="R683" s="2" t="inlineStr"/>
    </row>
    <row r="684" ht="15" customHeight="1">
      <c r="A684" t="inlineStr">
        <is>
          <t>A 35281-2025</t>
        </is>
      </c>
      <c r="B684" s="1" t="n">
        <v>45854.33944444444</v>
      </c>
      <c r="C684" s="1" t="n">
        <v>45883</v>
      </c>
      <c r="D684" t="inlineStr">
        <is>
          <t>VÄSTERBOTTENS LÄN</t>
        </is>
      </c>
      <c r="E684" t="inlineStr">
        <is>
          <t>ÅSELE</t>
        </is>
      </c>
      <c r="F684" t="inlineStr">
        <is>
          <t>Holmen skog AB</t>
        </is>
      </c>
      <c r="G684" t="n">
        <v>3.8</v>
      </c>
      <c r="H684" t="n">
        <v>0</v>
      </c>
      <c r="I684" t="n">
        <v>0</v>
      </c>
      <c r="J684" t="n">
        <v>0</v>
      </c>
      <c r="K684" t="n">
        <v>0</v>
      </c>
      <c r="L684" t="n">
        <v>0</v>
      </c>
      <c r="M684" t="n">
        <v>0</v>
      </c>
      <c r="N684" t="n">
        <v>0</v>
      </c>
      <c r="O684" t="n">
        <v>0</v>
      </c>
      <c r="P684" t="n">
        <v>0</v>
      </c>
      <c r="Q684" t="n">
        <v>0</v>
      </c>
      <c r="R684" s="2" t="inlineStr"/>
    </row>
    <row r="685" ht="15" customHeight="1">
      <c r="A685" t="inlineStr">
        <is>
          <t>A 36376-2025</t>
        </is>
      </c>
      <c r="B685" s="1" t="n">
        <v>45868.56623842593</v>
      </c>
      <c r="C685" s="1" t="n">
        <v>45883</v>
      </c>
      <c r="D685" t="inlineStr">
        <is>
          <t>VÄSTERBOTTENS LÄN</t>
        </is>
      </c>
      <c r="E685" t="inlineStr">
        <is>
          <t>ÅSELE</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36634-2025</t>
        </is>
      </c>
      <c r="B686" s="1" t="n">
        <v>45870.69335648148</v>
      </c>
      <c r="C686" s="1" t="n">
        <v>45883</v>
      </c>
      <c r="D686" t="inlineStr">
        <is>
          <t>VÄSTERBOTTENS LÄN</t>
        </is>
      </c>
      <c r="E686" t="inlineStr">
        <is>
          <t>ÅSELE</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32648-2025</t>
        </is>
      </c>
      <c r="B687" s="1" t="n">
        <v>45838.67253472222</v>
      </c>
      <c r="C687" s="1" t="n">
        <v>45883</v>
      </c>
      <c r="D687" t="inlineStr">
        <is>
          <t>VÄSTERBOTTENS LÄN</t>
        </is>
      </c>
      <c r="E687" t="inlineStr">
        <is>
          <t>ÅSELE</t>
        </is>
      </c>
      <c r="F687" t="inlineStr">
        <is>
          <t>Holmen skog AB</t>
        </is>
      </c>
      <c r="G687" t="n">
        <v>20</v>
      </c>
      <c r="H687" t="n">
        <v>0</v>
      </c>
      <c r="I687" t="n">
        <v>0</v>
      </c>
      <c r="J687" t="n">
        <v>0</v>
      </c>
      <c r="K687" t="n">
        <v>0</v>
      </c>
      <c r="L687" t="n">
        <v>0</v>
      </c>
      <c r="M687" t="n">
        <v>0</v>
      </c>
      <c r="N687" t="n">
        <v>0</v>
      </c>
      <c r="O687" t="n">
        <v>0</v>
      </c>
      <c r="P687" t="n">
        <v>0</v>
      </c>
      <c r="Q687" t="n">
        <v>0</v>
      </c>
      <c r="R687" s="2" t="inlineStr"/>
    </row>
    <row r="688" ht="15" customHeight="1">
      <c r="A688" t="inlineStr">
        <is>
          <t>A 34779-2024</t>
        </is>
      </c>
      <c r="B688" s="1" t="n">
        <v>45526.63690972222</v>
      </c>
      <c r="C688" s="1" t="n">
        <v>45883</v>
      </c>
      <c r="D688" t="inlineStr">
        <is>
          <t>VÄSTERBOTTENS LÄN</t>
        </is>
      </c>
      <c r="E688" t="inlineStr">
        <is>
          <t>ÅSELE</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35453-2025</t>
        </is>
      </c>
      <c r="B689" s="1" t="n">
        <v>45855.57322916666</v>
      </c>
      <c r="C689" s="1" t="n">
        <v>45883</v>
      </c>
      <c r="D689" t="inlineStr">
        <is>
          <t>VÄSTERBOTTENS LÄN</t>
        </is>
      </c>
      <c r="E689" t="inlineStr">
        <is>
          <t>ÅSELE</t>
        </is>
      </c>
      <c r="G689" t="n">
        <v>7</v>
      </c>
      <c r="H689" t="n">
        <v>0</v>
      </c>
      <c r="I689" t="n">
        <v>0</v>
      </c>
      <c r="J689" t="n">
        <v>0</v>
      </c>
      <c r="K689" t="n">
        <v>0</v>
      </c>
      <c r="L689" t="n">
        <v>0</v>
      </c>
      <c r="M689" t="n">
        <v>0</v>
      </c>
      <c r="N689" t="n">
        <v>0</v>
      </c>
      <c r="O689" t="n">
        <v>0</v>
      </c>
      <c r="P689" t="n">
        <v>0</v>
      </c>
      <c r="Q689" t="n">
        <v>0</v>
      </c>
      <c r="R689" s="2" t="inlineStr"/>
    </row>
    <row r="690" ht="15" customHeight="1">
      <c r="A690" t="inlineStr">
        <is>
          <t>A 28943-2024</t>
        </is>
      </c>
      <c r="B690" s="1" t="n">
        <v>45481</v>
      </c>
      <c r="C690" s="1" t="n">
        <v>45883</v>
      </c>
      <c r="D690" t="inlineStr">
        <is>
          <t>VÄSTERBOTTENS LÄN</t>
        </is>
      </c>
      <c r="E690" t="inlineStr">
        <is>
          <t>ÅSELE</t>
        </is>
      </c>
      <c r="F690" t="inlineStr">
        <is>
          <t>Sveaskog</t>
        </is>
      </c>
      <c r="G690" t="n">
        <v>24.2</v>
      </c>
      <c r="H690" t="n">
        <v>0</v>
      </c>
      <c r="I690" t="n">
        <v>0</v>
      </c>
      <c r="J690" t="n">
        <v>0</v>
      </c>
      <c r="K690" t="n">
        <v>0</v>
      </c>
      <c r="L690" t="n">
        <v>0</v>
      </c>
      <c r="M690" t="n">
        <v>0</v>
      </c>
      <c r="N690" t="n">
        <v>0</v>
      </c>
      <c r="O690" t="n">
        <v>0</v>
      </c>
      <c r="P690" t="n">
        <v>0</v>
      </c>
      <c r="Q690" t="n">
        <v>0</v>
      </c>
      <c r="R690" s="2" t="inlineStr"/>
    </row>
    <row r="691" ht="15" customHeight="1">
      <c r="A691" t="inlineStr">
        <is>
          <t>A 37738-2025</t>
        </is>
      </c>
      <c r="B691" s="1" t="n">
        <v>45880.64273148148</v>
      </c>
      <c r="C691" s="1" t="n">
        <v>45883</v>
      </c>
      <c r="D691" t="inlineStr">
        <is>
          <t>VÄSTERBOTTENS LÄN</t>
        </is>
      </c>
      <c r="E691" t="inlineStr">
        <is>
          <t>ÅSELE</t>
        </is>
      </c>
      <c r="F691" t="inlineStr">
        <is>
          <t>Kommuner</t>
        </is>
      </c>
      <c r="G691" t="n">
        <v>1.1</v>
      </c>
      <c r="H691" t="n">
        <v>0</v>
      </c>
      <c r="I691" t="n">
        <v>0</v>
      </c>
      <c r="J691" t="n">
        <v>0</v>
      </c>
      <c r="K691" t="n">
        <v>0</v>
      </c>
      <c r="L691" t="n">
        <v>0</v>
      </c>
      <c r="M691" t="n">
        <v>0</v>
      </c>
      <c r="N691" t="n">
        <v>0</v>
      </c>
      <c r="O691" t="n">
        <v>0</v>
      </c>
      <c r="P691" t="n">
        <v>0</v>
      </c>
      <c r="Q691" t="n">
        <v>0</v>
      </c>
      <c r="R691" s="2" t="inlineStr"/>
    </row>
    <row r="692" ht="15" customHeight="1">
      <c r="A692" t="inlineStr">
        <is>
          <t>A 32259-2025</t>
        </is>
      </c>
      <c r="B692" s="1" t="n">
        <v>45835.64210648148</v>
      </c>
      <c r="C692" s="1" t="n">
        <v>45883</v>
      </c>
      <c r="D692" t="inlineStr">
        <is>
          <t>VÄSTERBOTTENS LÄN</t>
        </is>
      </c>
      <c r="E692" t="inlineStr">
        <is>
          <t>ÅSELE</t>
        </is>
      </c>
      <c r="F692" t="inlineStr">
        <is>
          <t>Naturvårdsverket</t>
        </is>
      </c>
      <c r="G692" t="n">
        <v>63.9</v>
      </c>
      <c r="H692" t="n">
        <v>0</v>
      </c>
      <c r="I692" t="n">
        <v>0</v>
      </c>
      <c r="J692" t="n">
        <v>0</v>
      </c>
      <c r="K692" t="n">
        <v>0</v>
      </c>
      <c r="L692" t="n">
        <v>0</v>
      </c>
      <c r="M692" t="n">
        <v>0</v>
      </c>
      <c r="N692" t="n">
        <v>0</v>
      </c>
      <c r="O692" t="n">
        <v>0</v>
      </c>
      <c r="P692" t="n">
        <v>0</v>
      </c>
      <c r="Q692" t="n">
        <v>0</v>
      </c>
      <c r="R692" s="2" t="inlineStr"/>
    </row>
    <row r="693" ht="15" customHeight="1">
      <c r="A693" t="inlineStr">
        <is>
          <t>A 37773-2025</t>
        </is>
      </c>
      <c r="B693" s="1" t="n">
        <v>45880.7615162037</v>
      </c>
      <c r="C693" s="1" t="n">
        <v>45883</v>
      </c>
      <c r="D693" t="inlineStr">
        <is>
          <t>VÄSTERBOTTENS LÄN</t>
        </is>
      </c>
      <c r="E693" t="inlineStr">
        <is>
          <t>ÅSELE</t>
        </is>
      </c>
      <c r="G693" t="n">
        <v>1.9</v>
      </c>
      <c r="H693" t="n">
        <v>0</v>
      </c>
      <c r="I693" t="n">
        <v>0</v>
      </c>
      <c r="J693" t="n">
        <v>0</v>
      </c>
      <c r="K693" t="n">
        <v>0</v>
      </c>
      <c r="L693" t="n">
        <v>0</v>
      </c>
      <c r="M693" t="n">
        <v>0</v>
      </c>
      <c r="N693" t="n">
        <v>0</v>
      </c>
      <c r="O693" t="n">
        <v>0</v>
      </c>
      <c r="P693" t="n">
        <v>0</v>
      </c>
      <c r="Q693" t="n">
        <v>0</v>
      </c>
      <c r="R693" s="2" t="inlineStr"/>
    </row>
    <row r="694" ht="15" customHeight="1">
      <c r="A694" t="inlineStr">
        <is>
          <t>A 37769-2025</t>
        </is>
      </c>
      <c r="B694" s="1" t="n">
        <v>45880.74818287037</v>
      </c>
      <c r="C694" s="1" t="n">
        <v>45883</v>
      </c>
      <c r="D694" t="inlineStr">
        <is>
          <t>VÄSTERBOTTENS LÄN</t>
        </is>
      </c>
      <c r="E694" t="inlineStr">
        <is>
          <t>ÅSELE</t>
        </is>
      </c>
      <c r="G694" t="n">
        <v>1.2</v>
      </c>
      <c r="H694" t="n">
        <v>0</v>
      </c>
      <c r="I694" t="n">
        <v>0</v>
      </c>
      <c r="J694" t="n">
        <v>0</v>
      </c>
      <c r="K694" t="n">
        <v>0</v>
      </c>
      <c r="L694" t="n">
        <v>0</v>
      </c>
      <c r="M694" t="n">
        <v>0</v>
      </c>
      <c r="N694" t="n">
        <v>0</v>
      </c>
      <c r="O694" t="n">
        <v>0</v>
      </c>
      <c r="P694" t="n">
        <v>0</v>
      </c>
      <c r="Q694" t="n">
        <v>0</v>
      </c>
      <c r="R694" s="2" t="inlineStr"/>
    </row>
    <row r="695" ht="15" customHeight="1">
      <c r="A695" t="inlineStr">
        <is>
          <t>A 32289-2025</t>
        </is>
      </c>
      <c r="B695" s="1" t="n">
        <v>45835.69831018519</v>
      </c>
      <c r="C695" s="1" t="n">
        <v>45883</v>
      </c>
      <c r="D695" t="inlineStr">
        <is>
          <t>VÄSTERBOTTENS LÄN</t>
        </is>
      </c>
      <c r="E695" t="inlineStr">
        <is>
          <t>ÅSELE</t>
        </is>
      </c>
      <c r="F695" t="inlineStr">
        <is>
          <t>SCA</t>
        </is>
      </c>
      <c r="G695" t="n">
        <v>21.2</v>
      </c>
      <c r="H695" t="n">
        <v>0</v>
      </c>
      <c r="I695" t="n">
        <v>0</v>
      </c>
      <c r="J695" t="n">
        <v>0</v>
      </c>
      <c r="K695" t="n">
        <v>0</v>
      </c>
      <c r="L695" t="n">
        <v>0</v>
      </c>
      <c r="M695" t="n">
        <v>0</v>
      </c>
      <c r="N695" t="n">
        <v>0</v>
      </c>
      <c r="O695" t="n">
        <v>0</v>
      </c>
      <c r="P695" t="n">
        <v>0</v>
      </c>
      <c r="Q695" t="n">
        <v>0</v>
      </c>
      <c r="R695" s="2" t="inlineStr"/>
    </row>
    <row r="696" ht="15" customHeight="1">
      <c r="A696" t="inlineStr">
        <is>
          <t>A 37363-2025</t>
        </is>
      </c>
      <c r="B696" s="1" t="n">
        <v>45877.31953703704</v>
      </c>
      <c r="C696" s="1" t="n">
        <v>45883</v>
      </c>
      <c r="D696" t="inlineStr">
        <is>
          <t>VÄSTERBOTTENS LÄN</t>
        </is>
      </c>
      <c r="E696" t="inlineStr">
        <is>
          <t>ÅSELE</t>
        </is>
      </c>
      <c r="F696" t="inlineStr">
        <is>
          <t>Naturvårdsverket</t>
        </is>
      </c>
      <c r="G696" t="n">
        <v>19.4</v>
      </c>
      <c r="H696" t="n">
        <v>0</v>
      </c>
      <c r="I696" t="n">
        <v>0</v>
      </c>
      <c r="J696" t="n">
        <v>0</v>
      </c>
      <c r="K696" t="n">
        <v>0</v>
      </c>
      <c r="L696" t="n">
        <v>0</v>
      </c>
      <c r="M696" t="n">
        <v>0</v>
      </c>
      <c r="N696" t="n">
        <v>0</v>
      </c>
      <c r="O696" t="n">
        <v>0</v>
      </c>
      <c r="P696" t="n">
        <v>0</v>
      </c>
      <c r="Q696" t="n">
        <v>0</v>
      </c>
      <c r="R696" s="2" t="inlineStr"/>
    </row>
    <row r="697" ht="15" customHeight="1">
      <c r="A697" t="inlineStr">
        <is>
          <t>A 23179-2024</t>
        </is>
      </c>
      <c r="B697" s="1" t="n">
        <v>45450</v>
      </c>
      <c r="C697" s="1" t="n">
        <v>45883</v>
      </c>
      <c r="D697" t="inlineStr">
        <is>
          <t>VÄSTERBOTTENS LÄN</t>
        </is>
      </c>
      <c r="E697" t="inlineStr">
        <is>
          <t>ÅSELE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36174-2025</t>
        </is>
      </c>
      <c r="B698" s="1" t="n">
        <v>45867.39787037037</v>
      </c>
      <c r="C698" s="1" t="n">
        <v>45883</v>
      </c>
      <c r="D698" t="inlineStr">
        <is>
          <t>VÄSTERBOTTENS LÄN</t>
        </is>
      </c>
      <c r="E698" t="inlineStr">
        <is>
          <t>ÅSELE</t>
        </is>
      </c>
      <c r="F698" t="inlineStr">
        <is>
          <t>Holmen skog AB</t>
        </is>
      </c>
      <c r="G698" t="n">
        <v>4.5</v>
      </c>
      <c r="H698" t="n">
        <v>0</v>
      </c>
      <c r="I698" t="n">
        <v>0</v>
      </c>
      <c r="J698" t="n">
        <v>0</v>
      </c>
      <c r="K698" t="n">
        <v>0</v>
      </c>
      <c r="L698" t="n">
        <v>0</v>
      </c>
      <c r="M698" t="n">
        <v>0</v>
      </c>
      <c r="N698" t="n">
        <v>0</v>
      </c>
      <c r="O698" t="n">
        <v>0</v>
      </c>
      <c r="P698" t="n">
        <v>0</v>
      </c>
      <c r="Q698" t="n">
        <v>0</v>
      </c>
      <c r="R698" s="2" t="inlineStr"/>
    </row>
    <row r="699" ht="15" customHeight="1">
      <c r="A699" t="inlineStr">
        <is>
          <t>A 36413-2025</t>
        </is>
      </c>
      <c r="B699" s="1" t="n">
        <v>45868.69234953704</v>
      </c>
      <c r="C699" s="1" t="n">
        <v>45883</v>
      </c>
      <c r="D699" t="inlineStr">
        <is>
          <t>VÄSTERBOTTENS LÄN</t>
        </is>
      </c>
      <c r="E699" t="inlineStr">
        <is>
          <t>ÅSELE</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38590-2021</t>
        </is>
      </c>
      <c r="B700" s="1" t="n">
        <v>44407</v>
      </c>
      <c r="C700" s="1" t="n">
        <v>45883</v>
      </c>
      <c r="D700" t="inlineStr">
        <is>
          <t>VÄSTERBOTTENS LÄN</t>
        </is>
      </c>
      <c r="E700" t="inlineStr">
        <is>
          <t>ÅSELE</t>
        </is>
      </c>
      <c r="F700" t="inlineStr">
        <is>
          <t>SCA</t>
        </is>
      </c>
      <c r="G700" t="n">
        <v>107.3</v>
      </c>
      <c r="H700" t="n">
        <v>0</v>
      </c>
      <c r="I700" t="n">
        <v>0</v>
      </c>
      <c r="J700" t="n">
        <v>0</v>
      </c>
      <c r="K700" t="n">
        <v>0</v>
      </c>
      <c r="L700" t="n">
        <v>0</v>
      </c>
      <c r="M700" t="n">
        <v>0</v>
      </c>
      <c r="N700" t="n">
        <v>0</v>
      </c>
      <c r="O700" t="n">
        <v>0</v>
      </c>
      <c r="P700" t="n">
        <v>0</v>
      </c>
      <c r="Q700" t="n">
        <v>0</v>
      </c>
      <c r="R700" s="2" t="inlineStr"/>
    </row>
    <row r="701" ht="15" customHeight="1">
      <c r="A701" t="inlineStr">
        <is>
          <t>A 36955-2025</t>
        </is>
      </c>
      <c r="B701" s="1" t="n">
        <v>45874.61203703703</v>
      </c>
      <c r="C701" s="1" t="n">
        <v>45883</v>
      </c>
      <c r="D701" t="inlineStr">
        <is>
          <t>VÄSTERBOTTENS LÄN</t>
        </is>
      </c>
      <c r="E701" t="inlineStr">
        <is>
          <t>ÅSELE</t>
        </is>
      </c>
      <c r="G701" t="n">
        <v>0.9</v>
      </c>
      <c r="H701" t="n">
        <v>0</v>
      </c>
      <c r="I701" t="n">
        <v>0</v>
      </c>
      <c r="J701" t="n">
        <v>0</v>
      </c>
      <c r="K701" t="n">
        <v>0</v>
      </c>
      <c r="L701" t="n">
        <v>0</v>
      </c>
      <c r="M701" t="n">
        <v>0</v>
      </c>
      <c r="N701" t="n">
        <v>0</v>
      </c>
      <c r="O701" t="n">
        <v>0</v>
      </c>
      <c r="P701" t="n">
        <v>0</v>
      </c>
      <c r="Q701" t="n">
        <v>0</v>
      </c>
      <c r="R701" s="2" t="inlineStr"/>
    </row>
    <row r="702" ht="15" customHeight="1">
      <c r="A702" t="inlineStr">
        <is>
          <t>A 32673-2025</t>
        </is>
      </c>
      <c r="B702" s="1" t="n">
        <v>45838.70978009259</v>
      </c>
      <c r="C702" s="1" t="n">
        <v>45883</v>
      </c>
      <c r="D702" t="inlineStr">
        <is>
          <t>VÄSTERBOTTENS LÄN</t>
        </is>
      </c>
      <c r="E702" t="inlineStr">
        <is>
          <t>ÅSELE</t>
        </is>
      </c>
      <c r="F702" t="inlineStr">
        <is>
          <t>Holmen skog AB</t>
        </is>
      </c>
      <c r="G702" t="n">
        <v>16.8</v>
      </c>
      <c r="H702" t="n">
        <v>0</v>
      </c>
      <c r="I702" t="n">
        <v>0</v>
      </c>
      <c r="J702" t="n">
        <v>0</v>
      </c>
      <c r="K702" t="n">
        <v>0</v>
      </c>
      <c r="L702" t="n">
        <v>0</v>
      </c>
      <c r="M702" t="n">
        <v>0</v>
      </c>
      <c r="N702" t="n">
        <v>0</v>
      </c>
      <c r="O702" t="n">
        <v>0</v>
      </c>
      <c r="P702" t="n">
        <v>0</v>
      </c>
      <c r="Q702" t="n">
        <v>0</v>
      </c>
      <c r="R702" s="2" t="inlineStr"/>
    </row>
    <row r="703" ht="15" customHeight="1">
      <c r="A703" t="inlineStr">
        <is>
          <t>A 4915-2024</t>
        </is>
      </c>
      <c r="B703" s="1" t="n">
        <v>45329</v>
      </c>
      <c r="C703" s="1" t="n">
        <v>45883</v>
      </c>
      <c r="D703" t="inlineStr">
        <is>
          <t>VÄSTERBOTTENS LÄN</t>
        </is>
      </c>
      <c r="E703" t="inlineStr">
        <is>
          <t>ÅSELE</t>
        </is>
      </c>
      <c r="F703" t="inlineStr">
        <is>
          <t>Övriga Aktiebolag</t>
        </is>
      </c>
      <c r="G703" t="n">
        <v>7.5</v>
      </c>
      <c r="H703" t="n">
        <v>0</v>
      </c>
      <c r="I703" t="n">
        <v>0</v>
      </c>
      <c r="J703" t="n">
        <v>0</v>
      </c>
      <c r="K703" t="n">
        <v>0</v>
      </c>
      <c r="L703" t="n">
        <v>0</v>
      </c>
      <c r="M703" t="n">
        <v>0</v>
      </c>
      <c r="N703" t="n">
        <v>0</v>
      </c>
      <c r="O703" t="n">
        <v>0</v>
      </c>
      <c r="P703" t="n">
        <v>0</v>
      </c>
      <c r="Q703" t="n">
        <v>0</v>
      </c>
      <c r="R703" s="2" t="inlineStr"/>
    </row>
    <row r="704" ht="15" customHeight="1">
      <c r="A704" t="inlineStr">
        <is>
          <t>A 37849-2025</t>
        </is>
      </c>
      <c r="B704" s="1" t="n">
        <v>45881.44828703703</v>
      </c>
      <c r="C704" s="1" t="n">
        <v>45883</v>
      </c>
      <c r="D704" t="inlineStr">
        <is>
          <t>VÄSTERBOTTENS LÄN</t>
        </is>
      </c>
      <c r="E704" t="inlineStr">
        <is>
          <t>ÅSELE</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37868-2025</t>
        </is>
      </c>
      <c r="B705" s="1" t="n">
        <v>45881.4718287037</v>
      </c>
      <c r="C705" s="1" t="n">
        <v>45883</v>
      </c>
      <c r="D705" t="inlineStr">
        <is>
          <t>VÄSTERBOTTENS LÄN</t>
        </is>
      </c>
      <c r="E705" t="inlineStr">
        <is>
          <t>ÅSELE</t>
        </is>
      </c>
      <c r="F705" t="inlineStr">
        <is>
          <t>Kyrkan</t>
        </is>
      </c>
      <c r="G705" t="n">
        <v>1.8</v>
      </c>
      <c r="H705" t="n">
        <v>0</v>
      </c>
      <c r="I705" t="n">
        <v>0</v>
      </c>
      <c r="J705" t="n">
        <v>0</v>
      </c>
      <c r="K705" t="n">
        <v>0</v>
      </c>
      <c r="L705" t="n">
        <v>0</v>
      </c>
      <c r="M705" t="n">
        <v>0</v>
      </c>
      <c r="N705" t="n">
        <v>0</v>
      </c>
      <c r="O705" t="n">
        <v>0</v>
      </c>
      <c r="P705" t="n">
        <v>0</v>
      </c>
      <c r="Q705" t="n">
        <v>0</v>
      </c>
      <c r="R705" s="2" t="inlineStr"/>
    </row>
    <row r="706" ht="15" customHeight="1">
      <c r="A706" t="inlineStr">
        <is>
          <t>A 32714-2025</t>
        </is>
      </c>
      <c r="B706" s="1" t="n">
        <v>45839.37024305556</v>
      </c>
      <c r="C706" s="1" t="n">
        <v>45883</v>
      </c>
      <c r="D706" t="inlineStr">
        <is>
          <t>VÄSTERBOTTENS LÄN</t>
        </is>
      </c>
      <c r="E706" t="inlineStr">
        <is>
          <t>ÅSELE</t>
        </is>
      </c>
      <c r="G706" t="n">
        <v>19.1</v>
      </c>
      <c r="H706" t="n">
        <v>0</v>
      </c>
      <c r="I706" t="n">
        <v>0</v>
      </c>
      <c r="J706" t="n">
        <v>0</v>
      </c>
      <c r="K706" t="n">
        <v>0</v>
      </c>
      <c r="L706" t="n">
        <v>0</v>
      </c>
      <c r="M706" t="n">
        <v>0</v>
      </c>
      <c r="N706" t="n">
        <v>0</v>
      </c>
      <c r="O706" t="n">
        <v>0</v>
      </c>
      <c r="P706" t="n">
        <v>0</v>
      </c>
      <c r="Q706" t="n">
        <v>0</v>
      </c>
      <c r="R706" s="2" t="inlineStr"/>
    </row>
    <row r="707" ht="15" customHeight="1">
      <c r="A707" t="inlineStr">
        <is>
          <t>A 37869-2025</t>
        </is>
      </c>
      <c r="B707" s="1" t="n">
        <v>45881.47364583334</v>
      </c>
      <c r="C707" s="1" t="n">
        <v>45883</v>
      </c>
      <c r="D707" t="inlineStr">
        <is>
          <t>VÄSTERBOTTENS LÄN</t>
        </is>
      </c>
      <c r="E707" t="inlineStr">
        <is>
          <t>ÅSELE</t>
        </is>
      </c>
      <c r="F707" t="inlineStr">
        <is>
          <t>Kommuner</t>
        </is>
      </c>
      <c r="G707" t="n">
        <v>5.6</v>
      </c>
      <c r="H707" t="n">
        <v>0</v>
      </c>
      <c r="I707" t="n">
        <v>0</v>
      </c>
      <c r="J707" t="n">
        <v>0</v>
      </c>
      <c r="K707" t="n">
        <v>0</v>
      </c>
      <c r="L707" t="n">
        <v>0</v>
      </c>
      <c r="M707" t="n">
        <v>0</v>
      </c>
      <c r="N707" t="n">
        <v>0</v>
      </c>
      <c r="O707" t="n">
        <v>0</v>
      </c>
      <c r="P707" t="n">
        <v>0</v>
      </c>
      <c r="Q707" t="n">
        <v>0</v>
      </c>
      <c r="R707" s="2" t="inlineStr"/>
    </row>
    <row r="708" ht="15" customHeight="1">
      <c r="A708" t="inlineStr">
        <is>
          <t>A 32810-2025</t>
        </is>
      </c>
      <c r="B708" s="1" t="n">
        <v>45839.51207175926</v>
      </c>
      <c r="C708" s="1" t="n">
        <v>45883</v>
      </c>
      <c r="D708" t="inlineStr">
        <is>
          <t>VÄSTERBOTTENS LÄN</t>
        </is>
      </c>
      <c r="E708" t="inlineStr">
        <is>
          <t>ÅSELE</t>
        </is>
      </c>
      <c r="F708" t="inlineStr">
        <is>
          <t>Holmen skog AB</t>
        </is>
      </c>
      <c r="G708" t="n">
        <v>3.7</v>
      </c>
      <c r="H708" t="n">
        <v>0</v>
      </c>
      <c r="I708" t="n">
        <v>0</v>
      </c>
      <c r="J708" t="n">
        <v>0</v>
      </c>
      <c r="K708" t="n">
        <v>0</v>
      </c>
      <c r="L708" t="n">
        <v>0</v>
      </c>
      <c r="M708" t="n">
        <v>0</v>
      </c>
      <c r="N708" t="n">
        <v>0</v>
      </c>
      <c r="O708" t="n">
        <v>0</v>
      </c>
      <c r="P708" t="n">
        <v>0</v>
      </c>
      <c r="Q708" t="n">
        <v>0</v>
      </c>
      <c r="R708" s="2" t="inlineStr"/>
    </row>
    <row r="709" ht="15" customHeight="1">
      <c r="A709" t="inlineStr">
        <is>
          <t>A 33204-2021</t>
        </is>
      </c>
      <c r="B709" s="1" t="n">
        <v>44376.93355324074</v>
      </c>
      <c r="C709" s="1" t="n">
        <v>45883</v>
      </c>
      <c r="D709" t="inlineStr">
        <is>
          <t>VÄSTERBOTTENS LÄN</t>
        </is>
      </c>
      <c r="E709" t="inlineStr">
        <is>
          <t>ÅSELE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38181-2025</t>
        </is>
      </c>
      <c r="B710" s="1" t="n">
        <v>45882.64618055556</v>
      </c>
      <c r="C710" s="1" t="n">
        <v>45883</v>
      </c>
      <c r="D710" t="inlineStr">
        <is>
          <t>VÄSTERBOTTENS LÄN</t>
        </is>
      </c>
      <c r="E710" t="inlineStr">
        <is>
          <t>ÅSELE</t>
        </is>
      </c>
      <c r="G710" t="n">
        <v>3.9</v>
      </c>
      <c r="H710" t="n">
        <v>0</v>
      </c>
      <c r="I710" t="n">
        <v>0</v>
      </c>
      <c r="J710" t="n">
        <v>0</v>
      </c>
      <c r="K710" t="n">
        <v>0</v>
      </c>
      <c r="L710" t="n">
        <v>0</v>
      </c>
      <c r="M710" t="n">
        <v>0</v>
      </c>
      <c r="N710" t="n">
        <v>0</v>
      </c>
      <c r="O710" t="n">
        <v>0</v>
      </c>
      <c r="P710" t="n">
        <v>0</v>
      </c>
      <c r="Q710" t="n">
        <v>0</v>
      </c>
      <c r="R710" s="2" t="inlineStr"/>
    </row>
    <row r="711" ht="15" customHeight="1">
      <c r="A711" t="inlineStr">
        <is>
          <t>A 38195-2025</t>
        </is>
      </c>
      <c r="B711" s="1" t="n">
        <v>45882.65986111111</v>
      </c>
      <c r="C711" s="1" t="n">
        <v>45883</v>
      </c>
      <c r="D711" t="inlineStr">
        <is>
          <t>VÄSTERBOTTENS LÄN</t>
        </is>
      </c>
      <c r="E711" t="inlineStr">
        <is>
          <t>ÅSELE</t>
        </is>
      </c>
      <c r="G711" t="n">
        <v>4.7</v>
      </c>
      <c r="H711" t="n">
        <v>0</v>
      </c>
      <c r="I711" t="n">
        <v>0</v>
      </c>
      <c r="J711" t="n">
        <v>0</v>
      </c>
      <c r="K711" t="n">
        <v>0</v>
      </c>
      <c r="L711" t="n">
        <v>0</v>
      </c>
      <c r="M711" t="n">
        <v>0</v>
      </c>
      <c r="N711" t="n">
        <v>0</v>
      </c>
      <c r="O711" t="n">
        <v>0</v>
      </c>
      <c r="P711" t="n">
        <v>0</v>
      </c>
      <c r="Q711" t="n">
        <v>0</v>
      </c>
      <c r="R711" s="2" t="inlineStr"/>
    </row>
    <row r="712" ht="15" customHeight="1">
      <c r="A712" t="inlineStr">
        <is>
          <t>A 38405-2024</t>
        </is>
      </c>
      <c r="B712" s="1" t="n">
        <v>45546.34490740741</v>
      </c>
      <c r="C712" s="1" t="n">
        <v>45883</v>
      </c>
      <c r="D712" t="inlineStr">
        <is>
          <t>VÄSTERBOTTENS LÄN</t>
        </is>
      </c>
      <c r="E712" t="inlineStr">
        <is>
          <t>ÅSELE</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37483-2021</t>
        </is>
      </c>
      <c r="B713" s="1" t="n">
        <v>44398.93342592593</v>
      </c>
      <c r="C713" s="1" t="n">
        <v>45883</v>
      </c>
      <c r="D713" t="inlineStr">
        <is>
          <t>VÄSTERBOTTENS LÄN</t>
        </is>
      </c>
      <c r="E713" t="inlineStr">
        <is>
          <t>ÅSELE</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62748-2022</t>
        </is>
      </c>
      <c r="B714" s="1" t="n">
        <v>44925.93875</v>
      </c>
      <c r="C714" s="1" t="n">
        <v>45883</v>
      </c>
      <c r="D714" t="inlineStr">
        <is>
          <t>VÄSTERBOTTENS LÄN</t>
        </is>
      </c>
      <c r="E714" t="inlineStr">
        <is>
          <t>ÅSELE</t>
        </is>
      </c>
      <c r="F714" t="inlineStr">
        <is>
          <t>SCA</t>
        </is>
      </c>
      <c r="G714" t="n">
        <v>0.5</v>
      </c>
      <c r="H714" t="n">
        <v>0</v>
      </c>
      <c r="I714" t="n">
        <v>0</v>
      </c>
      <c r="J714" t="n">
        <v>0</v>
      </c>
      <c r="K714" t="n">
        <v>0</v>
      </c>
      <c r="L714" t="n">
        <v>0</v>
      </c>
      <c r="M714" t="n">
        <v>0</v>
      </c>
      <c r="N714" t="n">
        <v>0</v>
      </c>
      <c r="O714" t="n">
        <v>0</v>
      </c>
      <c r="P714" t="n">
        <v>0</v>
      </c>
      <c r="Q714" t="n">
        <v>0</v>
      </c>
      <c r="R714" s="2" t="inlineStr"/>
    </row>
    <row r="715" ht="15" customHeight="1">
      <c r="A715" t="inlineStr">
        <is>
          <t>A 4086-2023</t>
        </is>
      </c>
      <c r="B715" s="1" t="n">
        <v>44952</v>
      </c>
      <c r="C715" s="1" t="n">
        <v>45883</v>
      </c>
      <c r="D715" t="inlineStr">
        <is>
          <t>VÄSTERBOTTENS LÄN</t>
        </is>
      </c>
      <c r="E715" t="inlineStr">
        <is>
          <t>ÅSELE</t>
        </is>
      </c>
      <c r="G715" t="n">
        <v>5.3</v>
      </c>
      <c r="H715" t="n">
        <v>0</v>
      </c>
      <c r="I715" t="n">
        <v>0</v>
      </c>
      <c r="J715" t="n">
        <v>0</v>
      </c>
      <c r="K715" t="n">
        <v>0</v>
      </c>
      <c r="L715" t="n">
        <v>0</v>
      </c>
      <c r="M715" t="n">
        <v>0</v>
      </c>
      <c r="N715" t="n">
        <v>0</v>
      </c>
      <c r="O715" t="n">
        <v>0</v>
      </c>
      <c r="P715" t="n">
        <v>0</v>
      </c>
      <c r="Q715" t="n">
        <v>0</v>
      </c>
      <c r="R715" s="2" t="inlineStr"/>
    </row>
    <row r="716" ht="15" customHeight="1">
      <c r="A716" t="inlineStr">
        <is>
          <t>A 38184-2025</t>
        </is>
      </c>
      <c r="B716" s="1" t="n">
        <v>45882.64888888889</v>
      </c>
      <c r="C716" s="1" t="n">
        <v>45883</v>
      </c>
      <c r="D716" t="inlineStr">
        <is>
          <t>VÄSTERBOTTENS LÄN</t>
        </is>
      </c>
      <c r="E716" t="inlineStr">
        <is>
          <t>ÅSELE</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38189-2025</t>
        </is>
      </c>
      <c r="B717" s="1" t="n">
        <v>45882.65576388889</v>
      </c>
      <c r="C717" s="1" t="n">
        <v>45883</v>
      </c>
      <c r="D717" t="inlineStr">
        <is>
          <t>VÄSTERBOTTENS LÄN</t>
        </is>
      </c>
      <c r="E717" t="inlineStr">
        <is>
          <t>ÅSELE</t>
        </is>
      </c>
      <c r="G717" t="n">
        <v>3</v>
      </c>
      <c r="H717" t="n">
        <v>0</v>
      </c>
      <c r="I717" t="n">
        <v>0</v>
      </c>
      <c r="J717" t="n">
        <v>0</v>
      </c>
      <c r="K717" t="n">
        <v>0</v>
      </c>
      <c r="L717" t="n">
        <v>0</v>
      </c>
      <c r="M717" t="n">
        <v>0</v>
      </c>
      <c r="N717" t="n">
        <v>0</v>
      </c>
      <c r="O717" t="n">
        <v>0</v>
      </c>
      <c r="P717" t="n">
        <v>0</v>
      </c>
      <c r="Q717" t="n">
        <v>0</v>
      </c>
      <c r="R717" s="2" t="inlineStr"/>
    </row>
    <row r="718" ht="15" customHeight="1">
      <c r="A718" t="inlineStr">
        <is>
          <t>A 32891-2025</t>
        </is>
      </c>
      <c r="B718" s="1" t="n">
        <v>45839.60825231481</v>
      </c>
      <c r="C718" s="1" t="n">
        <v>45883</v>
      </c>
      <c r="D718" t="inlineStr">
        <is>
          <t>VÄSTERBOTTENS LÄN</t>
        </is>
      </c>
      <c r="E718" t="inlineStr">
        <is>
          <t>ÅSELE</t>
        </is>
      </c>
      <c r="F718" t="inlineStr">
        <is>
          <t>Holmen skog AB</t>
        </is>
      </c>
      <c r="G718" t="n">
        <v>18.8</v>
      </c>
      <c r="H718" t="n">
        <v>0</v>
      </c>
      <c r="I718" t="n">
        <v>0</v>
      </c>
      <c r="J718" t="n">
        <v>0</v>
      </c>
      <c r="K718" t="n">
        <v>0</v>
      </c>
      <c r="L718" t="n">
        <v>0</v>
      </c>
      <c r="M718" t="n">
        <v>0</v>
      </c>
      <c r="N718" t="n">
        <v>0</v>
      </c>
      <c r="O718" t="n">
        <v>0</v>
      </c>
      <c r="P718" t="n">
        <v>0</v>
      </c>
      <c r="Q718" t="n">
        <v>0</v>
      </c>
      <c r="R718" s="2" t="inlineStr"/>
    </row>
    <row r="719" ht="15" customHeight="1">
      <c r="A719" t="inlineStr">
        <is>
          <t>A 13552-2024</t>
        </is>
      </c>
      <c r="B719" s="1" t="n">
        <v>45387.95409722222</v>
      </c>
      <c r="C719" s="1" t="n">
        <v>45883</v>
      </c>
      <c r="D719" t="inlineStr">
        <is>
          <t>VÄSTERBOTTENS LÄN</t>
        </is>
      </c>
      <c r="E719" t="inlineStr">
        <is>
          <t>ÅSELE</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13553-2024</t>
        </is>
      </c>
      <c r="B720" s="1" t="n">
        <v>45387.95421296296</v>
      </c>
      <c r="C720" s="1" t="n">
        <v>45883</v>
      </c>
      <c r="D720" t="inlineStr">
        <is>
          <t>VÄSTERBOTTENS LÄN</t>
        </is>
      </c>
      <c r="E720" t="inlineStr">
        <is>
          <t>ÅSELE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32945-2025</t>
        </is>
      </c>
      <c r="B721" s="1" t="n">
        <v>45839.68309027778</v>
      </c>
      <c r="C721" s="1" t="n">
        <v>45883</v>
      </c>
      <c r="D721" t="inlineStr">
        <is>
          <t>VÄSTERBOTTENS LÄN</t>
        </is>
      </c>
      <c r="E721" t="inlineStr">
        <is>
          <t>ÅSELE</t>
        </is>
      </c>
      <c r="F721" t="inlineStr">
        <is>
          <t>Holmen skog AB</t>
        </is>
      </c>
      <c r="G721" t="n">
        <v>2.8</v>
      </c>
      <c r="H721" t="n">
        <v>0</v>
      </c>
      <c r="I721" t="n">
        <v>0</v>
      </c>
      <c r="J721" t="n">
        <v>0</v>
      </c>
      <c r="K721" t="n">
        <v>0</v>
      </c>
      <c r="L721" t="n">
        <v>0</v>
      </c>
      <c r="M721" t="n">
        <v>0</v>
      </c>
      <c r="N721" t="n">
        <v>0</v>
      </c>
      <c r="O721" t="n">
        <v>0</v>
      </c>
      <c r="P721" t="n">
        <v>0</v>
      </c>
      <c r="Q721" t="n">
        <v>0</v>
      </c>
      <c r="R721" s="2" t="inlineStr"/>
    </row>
    <row r="722" ht="15" customHeight="1">
      <c r="A722" t="inlineStr">
        <is>
          <t>A 13403-2025</t>
        </is>
      </c>
      <c r="B722" s="1" t="n">
        <v>45735</v>
      </c>
      <c r="C722" s="1" t="n">
        <v>45883</v>
      </c>
      <c r="D722" t="inlineStr">
        <is>
          <t>VÄSTERBOTTENS LÄN</t>
        </is>
      </c>
      <c r="E722" t="inlineStr">
        <is>
          <t>ÅSELE</t>
        </is>
      </c>
      <c r="G722" t="n">
        <v>1.6</v>
      </c>
      <c r="H722" t="n">
        <v>0</v>
      </c>
      <c r="I722" t="n">
        <v>0</v>
      </c>
      <c r="J722" t="n">
        <v>0</v>
      </c>
      <c r="K722" t="n">
        <v>0</v>
      </c>
      <c r="L722" t="n">
        <v>0</v>
      </c>
      <c r="M722" t="n">
        <v>0</v>
      </c>
      <c r="N722" t="n">
        <v>0</v>
      </c>
      <c r="O722" t="n">
        <v>0</v>
      </c>
      <c r="P722" t="n">
        <v>0</v>
      </c>
      <c r="Q722" t="n">
        <v>0</v>
      </c>
      <c r="R722" s="2" t="inlineStr"/>
    </row>
    <row r="723" ht="15" customHeight="1">
      <c r="A723" t="inlineStr">
        <is>
          <t>A 37822-2025</t>
        </is>
      </c>
      <c r="B723" s="1" t="n">
        <v>45881.40665509259</v>
      </c>
      <c r="C723" s="1" t="n">
        <v>45883</v>
      </c>
      <c r="D723" t="inlineStr">
        <is>
          <t>VÄSTERBOTTENS LÄN</t>
        </is>
      </c>
      <c r="E723" t="inlineStr">
        <is>
          <t>ÅSELE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32976-2025</t>
        </is>
      </c>
      <c r="B724" s="1" t="n">
        <v>45839.79112268519</v>
      </c>
      <c r="C724" s="1" t="n">
        <v>45883</v>
      </c>
      <c r="D724" t="inlineStr">
        <is>
          <t>VÄSTERBOTTENS LÄN</t>
        </is>
      </c>
      <c r="E724" t="inlineStr">
        <is>
          <t>ÅSELE</t>
        </is>
      </c>
      <c r="F724" t="inlineStr">
        <is>
          <t>Holmen skog AB</t>
        </is>
      </c>
      <c r="G724" t="n">
        <v>5.2</v>
      </c>
      <c r="H724" t="n">
        <v>0</v>
      </c>
      <c r="I724" t="n">
        <v>0</v>
      </c>
      <c r="J724" t="n">
        <v>0</v>
      </c>
      <c r="K724" t="n">
        <v>0</v>
      </c>
      <c r="L724" t="n">
        <v>0</v>
      </c>
      <c r="M724" t="n">
        <v>0</v>
      </c>
      <c r="N724" t="n">
        <v>0</v>
      </c>
      <c r="O724" t="n">
        <v>0</v>
      </c>
      <c r="P724" t="n">
        <v>0</v>
      </c>
      <c r="Q724" t="n">
        <v>0</v>
      </c>
      <c r="R724" s="2" t="inlineStr"/>
    </row>
    <row r="725" ht="15" customHeight="1">
      <c r="A725" t="inlineStr">
        <is>
          <t>A 37863-2025</t>
        </is>
      </c>
      <c r="B725" s="1" t="n">
        <v>45881.46734953704</v>
      </c>
      <c r="C725" s="1" t="n">
        <v>45883</v>
      </c>
      <c r="D725" t="inlineStr">
        <is>
          <t>VÄSTERBOTTENS LÄN</t>
        </is>
      </c>
      <c r="E725" t="inlineStr">
        <is>
          <t>ÅSELE</t>
        </is>
      </c>
      <c r="F725" t="inlineStr">
        <is>
          <t>Kommuner</t>
        </is>
      </c>
      <c r="G725" t="n">
        <v>1.1</v>
      </c>
      <c r="H725" t="n">
        <v>0</v>
      </c>
      <c r="I725" t="n">
        <v>0</v>
      </c>
      <c r="J725" t="n">
        <v>0</v>
      </c>
      <c r="K725" t="n">
        <v>0</v>
      </c>
      <c r="L725" t="n">
        <v>0</v>
      </c>
      <c r="M725" t="n">
        <v>0</v>
      </c>
      <c r="N725" t="n">
        <v>0</v>
      </c>
      <c r="O725" t="n">
        <v>0</v>
      </c>
      <c r="P725" t="n">
        <v>0</v>
      </c>
      <c r="Q725" t="n">
        <v>0</v>
      </c>
      <c r="R725" s="2" t="inlineStr"/>
    </row>
    <row r="726" ht="15" customHeight="1">
      <c r="A726" t="inlineStr">
        <is>
          <t>A 1228-2023</t>
        </is>
      </c>
      <c r="B726" s="1" t="n">
        <v>44935.97217592593</v>
      </c>
      <c r="C726" s="1" t="n">
        <v>45883</v>
      </c>
      <c r="D726" t="inlineStr">
        <is>
          <t>VÄSTERBOTTENS LÄN</t>
        </is>
      </c>
      <c r="E726" t="inlineStr">
        <is>
          <t>ÅSELE</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42897-2024</t>
        </is>
      </c>
      <c r="B727" s="1" t="n">
        <v>45566.85192129629</v>
      </c>
      <c r="C727" s="1" t="n">
        <v>45883</v>
      </c>
      <c r="D727" t="inlineStr">
        <is>
          <t>VÄSTERBOTTENS LÄN</t>
        </is>
      </c>
      <c r="E727" t="inlineStr">
        <is>
          <t>ÅSELE</t>
        </is>
      </c>
      <c r="F727" t="inlineStr">
        <is>
          <t>Holmen skog AB</t>
        </is>
      </c>
      <c r="G727" t="n">
        <v>3.7</v>
      </c>
      <c r="H727" t="n">
        <v>0</v>
      </c>
      <c r="I727" t="n">
        <v>0</v>
      </c>
      <c r="J727" t="n">
        <v>0</v>
      </c>
      <c r="K727" t="n">
        <v>0</v>
      </c>
      <c r="L727" t="n">
        <v>0</v>
      </c>
      <c r="M727" t="n">
        <v>0</v>
      </c>
      <c r="N727" t="n">
        <v>0</v>
      </c>
      <c r="O727" t="n">
        <v>0</v>
      </c>
      <c r="P727" t="n">
        <v>0</v>
      </c>
      <c r="Q727" t="n">
        <v>0</v>
      </c>
      <c r="R727" s="2" t="inlineStr"/>
    </row>
    <row r="728" ht="15" customHeight="1">
      <c r="A728" t="inlineStr">
        <is>
          <t>A 45297-2024</t>
        </is>
      </c>
      <c r="B728" s="1" t="n">
        <v>45576.40248842593</v>
      </c>
      <c r="C728" s="1" t="n">
        <v>45883</v>
      </c>
      <c r="D728" t="inlineStr">
        <is>
          <t>VÄSTERBOTTENS LÄN</t>
        </is>
      </c>
      <c r="E728" t="inlineStr">
        <is>
          <t>ÅSELE</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41815-2024</t>
        </is>
      </c>
      <c r="B729" s="1" t="n">
        <v>45561</v>
      </c>
      <c r="C729" s="1" t="n">
        <v>45883</v>
      </c>
      <c r="D729" t="inlineStr">
        <is>
          <t>VÄSTERBOTTENS LÄN</t>
        </is>
      </c>
      <c r="E729" t="inlineStr">
        <is>
          <t>ÅSELE</t>
        </is>
      </c>
      <c r="G729" t="n">
        <v>3.4</v>
      </c>
      <c r="H729" t="n">
        <v>0</v>
      </c>
      <c r="I729" t="n">
        <v>0</v>
      </c>
      <c r="J729" t="n">
        <v>0</v>
      </c>
      <c r="K729" t="n">
        <v>0</v>
      </c>
      <c r="L729" t="n">
        <v>0</v>
      </c>
      <c r="M729" t="n">
        <v>0</v>
      </c>
      <c r="N729" t="n">
        <v>0</v>
      </c>
      <c r="O729" t="n">
        <v>0</v>
      </c>
      <c r="P729" t="n">
        <v>0</v>
      </c>
      <c r="Q729" t="n">
        <v>0</v>
      </c>
      <c r="R729" s="2" t="inlineStr"/>
    </row>
    <row r="730" ht="15" customHeight="1">
      <c r="A730" t="inlineStr">
        <is>
          <t>A 62109-2023</t>
        </is>
      </c>
      <c r="B730" s="1" t="n">
        <v>45266.95105324074</v>
      </c>
      <c r="C730" s="1" t="n">
        <v>45883</v>
      </c>
      <c r="D730" t="inlineStr">
        <is>
          <t>VÄSTERBOTTENS LÄN</t>
        </is>
      </c>
      <c r="E730" t="inlineStr">
        <is>
          <t>ÅSELE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11320-2023</t>
        </is>
      </c>
      <c r="B731" s="1" t="n">
        <v>44993.01296296297</v>
      </c>
      <c r="C731" s="1" t="n">
        <v>45883</v>
      </c>
      <c r="D731" t="inlineStr">
        <is>
          <t>VÄSTERBOTTENS LÄN</t>
        </is>
      </c>
      <c r="E731" t="inlineStr">
        <is>
          <t>ÅSELE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48082-2021</t>
        </is>
      </c>
      <c r="B732" s="1" t="n">
        <v>44449.42745370371</v>
      </c>
      <c r="C732" s="1" t="n">
        <v>45883</v>
      </c>
      <c r="D732" t="inlineStr">
        <is>
          <t>VÄSTERBOTTENS LÄN</t>
        </is>
      </c>
      <c r="E732" t="inlineStr">
        <is>
          <t>ÅSELE</t>
        </is>
      </c>
      <c r="F732" t="inlineStr">
        <is>
          <t>Holmen skog AB</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22831-2023</t>
        </is>
      </c>
      <c r="B733" s="1" t="n">
        <v>45072.42990740741</v>
      </c>
      <c r="C733" s="1" t="n">
        <v>45883</v>
      </c>
      <c r="D733" t="inlineStr">
        <is>
          <t>VÄSTERBOTTENS LÄN</t>
        </is>
      </c>
      <c r="E733" t="inlineStr">
        <is>
          <t>ÅSELE</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31118-2024</t>
        </is>
      </c>
      <c r="B734" s="1" t="n">
        <v>45502</v>
      </c>
      <c r="C734" s="1" t="n">
        <v>45883</v>
      </c>
      <c r="D734" t="inlineStr">
        <is>
          <t>VÄSTERBOTTENS LÄN</t>
        </is>
      </c>
      <c r="E734" t="inlineStr">
        <is>
          <t>ÅSELE</t>
        </is>
      </c>
      <c r="F734" t="inlineStr">
        <is>
          <t>Holmen skog AB</t>
        </is>
      </c>
      <c r="G734" t="n">
        <v>1.6</v>
      </c>
      <c r="H734" t="n">
        <v>0</v>
      </c>
      <c r="I734" t="n">
        <v>0</v>
      </c>
      <c r="J734" t="n">
        <v>0</v>
      </c>
      <c r="K734" t="n">
        <v>0</v>
      </c>
      <c r="L734" t="n">
        <v>0</v>
      </c>
      <c r="M734" t="n">
        <v>0</v>
      </c>
      <c r="N734" t="n">
        <v>0</v>
      </c>
      <c r="O734" t="n">
        <v>0</v>
      </c>
      <c r="P734" t="n">
        <v>0</v>
      </c>
      <c r="Q734" t="n">
        <v>0</v>
      </c>
      <c r="R734" s="2" t="inlineStr"/>
    </row>
    <row r="735" ht="15" customHeight="1">
      <c r="A735" t="inlineStr">
        <is>
          <t>A 24067-2023</t>
        </is>
      </c>
      <c r="B735" s="1" t="n">
        <v>45078.94167824074</v>
      </c>
      <c r="C735" s="1" t="n">
        <v>45883</v>
      </c>
      <c r="D735" t="inlineStr">
        <is>
          <t>VÄSTERBOTTENS LÄN</t>
        </is>
      </c>
      <c r="E735" t="inlineStr">
        <is>
          <t>ÅSELE</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44677-2023</t>
        </is>
      </c>
      <c r="B736" s="1" t="n">
        <v>45189</v>
      </c>
      <c r="C736" s="1" t="n">
        <v>45883</v>
      </c>
      <c r="D736" t="inlineStr">
        <is>
          <t>VÄSTERBOTTENS LÄN</t>
        </is>
      </c>
      <c r="E736" t="inlineStr">
        <is>
          <t>ÅSELE</t>
        </is>
      </c>
      <c r="G736" t="n">
        <v>7.9</v>
      </c>
      <c r="H736" t="n">
        <v>0</v>
      </c>
      <c r="I736" t="n">
        <v>0</v>
      </c>
      <c r="J736" t="n">
        <v>0</v>
      </c>
      <c r="K736" t="n">
        <v>0</v>
      </c>
      <c r="L736" t="n">
        <v>0</v>
      </c>
      <c r="M736" t="n">
        <v>0</v>
      </c>
      <c r="N736" t="n">
        <v>0</v>
      </c>
      <c r="O736" t="n">
        <v>0</v>
      </c>
      <c r="P736" t="n">
        <v>0</v>
      </c>
      <c r="Q736" t="n">
        <v>0</v>
      </c>
      <c r="R736" s="2" t="inlineStr"/>
    </row>
    <row r="737" ht="15" customHeight="1">
      <c r="A737" t="inlineStr">
        <is>
          <t>A 20305-2025</t>
        </is>
      </c>
      <c r="B737" s="1" t="n">
        <v>45774.81648148148</v>
      </c>
      <c r="C737" s="1" t="n">
        <v>45883</v>
      </c>
      <c r="D737" t="inlineStr">
        <is>
          <t>VÄSTERBOTTENS LÄN</t>
        </is>
      </c>
      <c r="E737" t="inlineStr">
        <is>
          <t>ÅSELE</t>
        </is>
      </c>
      <c r="G737" t="n">
        <v>5.4</v>
      </c>
      <c r="H737" t="n">
        <v>0</v>
      </c>
      <c r="I737" t="n">
        <v>0</v>
      </c>
      <c r="J737" t="n">
        <v>0</v>
      </c>
      <c r="K737" t="n">
        <v>0</v>
      </c>
      <c r="L737" t="n">
        <v>0</v>
      </c>
      <c r="M737" t="n">
        <v>0</v>
      </c>
      <c r="N737" t="n">
        <v>0</v>
      </c>
      <c r="O737" t="n">
        <v>0</v>
      </c>
      <c r="P737" t="n">
        <v>0</v>
      </c>
      <c r="Q737" t="n">
        <v>0</v>
      </c>
      <c r="R737" s="2" t="inlineStr"/>
    </row>
    <row r="738" ht="15" customHeight="1">
      <c r="A738" t="inlineStr">
        <is>
          <t>A 44209-2024</t>
        </is>
      </c>
      <c r="B738" s="1" t="n">
        <v>45573</v>
      </c>
      <c r="C738" s="1" t="n">
        <v>45883</v>
      </c>
      <c r="D738" t="inlineStr">
        <is>
          <t>VÄSTERBOTTENS LÄN</t>
        </is>
      </c>
      <c r="E738" t="inlineStr">
        <is>
          <t>ÅSELE</t>
        </is>
      </c>
      <c r="F738" t="inlineStr">
        <is>
          <t>Sveaskog</t>
        </is>
      </c>
      <c r="G738" t="n">
        <v>12.5</v>
      </c>
      <c r="H738" t="n">
        <v>0</v>
      </c>
      <c r="I738" t="n">
        <v>0</v>
      </c>
      <c r="J738" t="n">
        <v>0</v>
      </c>
      <c r="K738" t="n">
        <v>0</v>
      </c>
      <c r="L738" t="n">
        <v>0</v>
      </c>
      <c r="M738" t="n">
        <v>0</v>
      </c>
      <c r="N738" t="n">
        <v>0</v>
      </c>
      <c r="O738" t="n">
        <v>0</v>
      </c>
      <c r="P738" t="n">
        <v>0</v>
      </c>
      <c r="Q738" t="n">
        <v>0</v>
      </c>
      <c r="R738" s="2" t="inlineStr"/>
    </row>
    <row r="739">
      <c r="A739" t="inlineStr">
        <is>
          <t>A 29300-2023</t>
        </is>
      </c>
      <c r="B739" s="1" t="n">
        <v>45105.86278935185</v>
      </c>
      <c r="C739" s="1" t="n">
        <v>45883</v>
      </c>
      <c r="D739" t="inlineStr">
        <is>
          <t>VÄSTERBOTTENS LÄN</t>
        </is>
      </c>
      <c r="E739" t="inlineStr">
        <is>
          <t>ÅSELE</t>
        </is>
      </c>
      <c r="F739" t="inlineStr">
        <is>
          <t>Sveaskog</t>
        </is>
      </c>
      <c r="G739" t="n">
        <v>1.3</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2025-08-14T08:25:42Z</dcterms:created>
  <dcterms:modified xmlns:dcterms="http://purl.org/dc/terms/" xmlns:xsi="http://www.w3.org/2001/XMLSchema-instance" xsi:type="dcterms:W3CDTF">2025-08-14T08:25:43Z</dcterms:modified>
</cp:coreProperties>
</file>