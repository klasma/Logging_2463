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46128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46128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46128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46128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46128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46128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46128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46128</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46128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46128</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46128</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46128</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46128</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46128</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42046-2023</t>
        </is>
      </c>
      <c r="B16" s="1" t="n">
        <v>45177</v>
      </c>
      <c r="C16" s="1" t="n">
        <v>46128</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26791-2025</t>
        </is>
      </c>
      <c r="B17" s="1" t="n">
        <v>45810</v>
      </c>
      <c r="C17" s="1" t="n">
        <v>46128</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46128</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46128</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46128</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43956-2025</t>
        </is>
      </c>
      <c r="B21" s="1" t="n">
        <v>45915</v>
      </c>
      <c r="C21" s="1" t="n">
        <v>46128</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46128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46128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5700-2023</t>
        </is>
      </c>
      <c r="B24" s="1" t="n">
        <v>44960</v>
      </c>
      <c r="C24" s="1" t="n">
        <v>46128</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30316-2025</t>
        </is>
      </c>
      <c r="B25" s="1" t="n">
        <v>45827</v>
      </c>
      <c r="C25" s="1" t="n">
        <v>46128</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49528-2022</t>
        </is>
      </c>
      <c r="B26" s="1" t="n">
        <v>44861</v>
      </c>
      <c r="C26" s="1" t="n">
        <v>46128</v>
      </c>
      <c r="D26" t="inlineStr">
        <is>
          <t>VÄSTERBOTTENS LÄN</t>
        </is>
      </c>
      <c r="E26" t="inlineStr">
        <is>
          <t>ÅSELE</t>
        </is>
      </c>
      <c r="F26" t="inlineStr">
        <is>
          <t>SCA</t>
        </is>
      </c>
      <c r="G26" t="n">
        <v>12.6</v>
      </c>
      <c r="H26" t="n">
        <v>0</v>
      </c>
      <c r="I26" t="n">
        <v>1</v>
      </c>
      <c r="J26" t="n">
        <v>3</v>
      </c>
      <c r="K26" t="n">
        <v>0</v>
      </c>
      <c r="L26" t="n">
        <v>0</v>
      </c>
      <c r="M26" t="n">
        <v>0</v>
      </c>
      <c r="N26" t="n">
        <v>0</v>
      </c>
      <c r="O26" t="n">
        <v>3</v>
      </c>
      <c r="P26" t="n">
        <v>0</v>
      </c>
      <c r="Q26" t="n">
        <v>4</v>
      </c>
      <c r="R26" s="2" t="inlineStr">
        <is>
          <t>Doftskinn
Garnlav
Lunglav
Rävticka</t>
        </is>
      </c>
      <c r="S26">
        <f>HYPERLINK("https://klasma.github.io/Logging_2463/artfynd/A 49528-2022 artfynd.xlsx", "A 49528-2022")</f>
        <v/>
      </c>
      <c r="T26">
        <f>HYPERLINK("https://klasma.github.io/Logging_2463/kartor/A 49528-2022 karta.png", "A 49528-2022")</f>
        <v/>
      </c>
      <c r="V26">
        <f>HYPERLINK("https://klasma.github.io/Logging_2463/klagomål/A 49528-2022 FSC-klagomål.docx", "A 49528-2022")</f>
        <v/>
      </c>
      <c r="W26">
        <f>HYPERLINK("https://klasma.github.io/Logging_2463/klagomålsmail/A 49528-2022 FSC-klagomål mail.docx", "A 49528-2022")</f>
        <v/>
      </c>
      <c r="X26">
        <f>HYPERLINK("https://klasma.github.io/Logging_2463/tillsyn/A 49528-2022 tillsynsbegäran.docx", "A 49528-2022")</f>
        <v/>
      </c>
      <c r="Y26">
        <f>HYPERLINK("https://klasma.github.io/Logging_2463/tillsynsmail/A 49528-2022 tillsynsbegäran mail.docx", "A 49528-2022")</f>
        <v/>
      </c>
    </row>
    <row r="27" ht="15" customHeight="1">
      <c r="A27" t="inlineStr">
        <is>
          <t>A 40209-2021</t>
        </is>
      </c>
      <c r="B27" s="1" t="n">
        <v>44418</v>
      </c>
      <c r="C27" s="1" t="n">
        <v>46128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46128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46128</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46128</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2761-2026</t>
        </is>
      </c>
      <c r="B31" s="1" t="n">
        <v>46038.34517361111</v>
      </c>
      <c r="C31" s="1" t="n">
        <v>46128</v>
      </c>
      <c r="D31" t="inlineStr">
        <is>
          <t>VÄSTERBOTTENS LÄN</t>
        </is>
      </c>
      <c r="E31" t="inlineStr">
        <is>
          <t>ÅSELE</t>
        </is>
      </c>
      <c r="F31" t="inlineStr">
        <is>
          <t>Sveaskog</t>
        </is>
      </c>
      <c r="G31" t="n">
        <v>3.6</v>
      </c>
      <c r="H31" t="n">
        <v>1</v>
      </c>
      <c r="I31" t="n">
        <v>0</v>
      </c>
      <c r="J31" t="n">
        <v>3</v>
      </c>
      <c r="K31" t="n">
        <v>0</v>
      </c>
      <c r="L31" t="n">
        <v>0</v>
      </c>
      <c r="M31" t="n">
        <v>0</v>
      </c>
      <c r="N31" t="n">
        <v>0</v>
      </c>
      <c r="O31" t="n">
        <v>3</v>
      </c>
      <c r="P31" t="n">
        <v>0</v>
      </c>
      <c r="Q31" t="n">
        <v>3</v>
      </c>
      <c r="R31" s="2" t="inlineStr">
        <is>
          <t>Blanksvart spiklav
Blågrå svartspik
Tretåig hackspett</t>
        </is>
      </c>
      <c r="S31">
        <f>HYPERLINK("https://klasma.github.io/Logging_2463/artfynd/A 2761-2026 artfynd.xlsx", "A 2761-2026")</f>
        <v/>
      </c>
      <c r="T31">
        <f>HYPERLINK("https://klasma.github.io/Logging_2463/kartor/A 2761-2026 karta.png", "A 2761-2026")</f>
        <v/>
      </c>
      <c r="V31">
        <f>HYPERLINK("https://klasma.github.io/Logging_2463/klagomål/A 2761-2026 FSC-klagomål.docx", "A 2761-2026")</f>
        <v/>
      </c>
      <c r="W31">
        <f>HYPERLINK("https://klasma.github.io/Logging_2463/klagomålsmail/A 2761-2026 FSC-klagomål mail.docx", "A 2761-2026")</f>
        <v/>
      </c>
      <c r="X31">
        <f>HYPERLINK("https://klasma.github.io/Logging_2463/tillsyn/A 2761-2026 tillsynsbegäran.docx", "A 2761-2026")</f>
        <v/>
      </c>
      <c r="Y31">
        <f>HYPERLINK("https://klasma.github.io/Logging_2463/tillsynsmail/A 2761-2026 tillsynsbegäran mail.docx", "A 2761-2026")</f>
        <v/>
      </c>
      <c r="Z31">
        <f>HYPERLINK("https://klasma.github.io/Logging_2463/fåglar/A 2761-2026 prioriterade fågelarter.docx", "A 2761-2026")</f>
        <v/>
      </c>
    </row>
    <row r="32" ht="15" customHeight="1">
      <c r="A32" t="inlineStr">
        <is>
          <t>A 15081-2023</t>
        </is>
      </c>
      <c r="B32" s="1" t="n">
        <v>45016.07569444444</v>
      </c>
      <c r="C32" s="1" t="n">
        <v>46128</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46128</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46128</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41018-2025</t>
        </is>
      </c>
      <c r="B35" s="1" t="n">
        <v>45898.365</v>
      </c>
      <c r="C35" s="1" t="n">
        <v>46128</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22110-2024</t>
        </is>
      </c>
      <c r="B36" s="1" t="n">
        <v>45443</v>
      </c>
      <c r="C36" s="1" t="n">
        <v>46128</v>
      </c>
      <c r="D36" t="inlineStr">
        <is>
          <t>VÄSTERBOTTENS LÄN</t>
        </is>
      </c>
      <c r="E36" t="inlineStr">
        <is>
          <t>ÅSELE</t>
        </is>
      </c>
      <c r="F36" t="inlineStr">
        <is>
          <t>SCA</t>
        </is>
      </c>
      <c r="G36" t="n">
        <v>11.6</v>
      </c>
      <c r="H36" t="n">
        <v>0</v>
      </c>
      <c r="I36" t="n">
        <v>0</v>
      </c>
      <c r="J36" t="n">
        <v>2</v>
      </c>
      <c r="K36" t="n">
        <v>0</v>
      </c>
      <c r="L36" t="n">
        <v>0</v>
      </c>
      <c r="M36" t="n">
        <v>0</v>
      </c>
      <c r="N36" t="n">
        <v>0</v>
      </c>
      <c r="O36" t="n">
        <v>2</v>
      </c>
      <c r="P36" t="n">
        <v>0</v>
      </c>
      <c r="Q36" t="n">
        <v>2</v>
      </c>
      <c r="R36" s="2" t="inlineStr">
        <is>
          <t>Gammelgransskål
Lunglav</t>
        </is>
      </c>
      <c r="S36">
        <f>HYPERLINK("https://klasma.github.io/Logging_2463/artfynd/A 22110-2024 artfynd.xlsx", "A 22110-2024")</f>
        <v/>
      </c>
      <c r="T36">
        <f>HYPERLINK("https://klasma.github.io/Logging_2463/kartor/A 22110-2024 karta.png", "A 22110-2024")</f>
        <v/>
      </c>
      <c r="V36">
        <f>HYPERLINK("https://klasma.github.io/Logging_2463/klagomål/A 22110-2024 FSC-klagomål.docx", "A 22110-2024")</f>
        <v/>
      </c>
      <c r="W36">
        <f>HYPERLINK("https://klasma.github.io/Logging_2463/klagomålsmail/A 22110-2024 FSC-klagomål mail.docx", "A 22110-2024")</f>
        <v/>
      </c>
      <c r="X36">
        <f>HYPERLINK("https://klasma.github.io/Logging_2463/tillsyn/A 22110-2024 tillsynsbegäran.docx", "A 22110-2024")</f>
        <v/>
      </c>
      <c r="Y36">
        <f>HYPERLINK("https://klasma.github.io/Logging_2463/tillsynsmail/A 22110-2024 tillsynsbegäran mail.docx", "A 22110-2024")</f>
        <v/>
      </c>
    </row>
    <row r="37" ht="15" customHeight="1">
      <c r="A37" t="inlineStr">
        <is>
          <t>A 10546-2023</t>
        </is>
      </c>
      <c r="B37" s="1" t="n">
        <v>44987</v>
      </c>
      <c r="C37" s="1" t="n">
        <v>46128</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51838-2025</t>
        </is>
      </c>
      <c r="B38" s="1" t="n">
        <v>45952.34454861111</v>
      </c>
      <c r="C38" s="1" t="n">
        <v>46128</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46128</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25712-2024</t>
        </is>
      </c>
      <c r="B40" s="1" t="n">
        <v>45463</v>
      </c>
      <c r="C40" s="1" t="n">
        <v>46128</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41694-2023</t>
        </is>
      </c>
      <c r="B41" s="1" t="n">
        <v>45176</v>
      </c>
      <c r="C41" s="1" t="n">
        <v>46128</v>
      </c>
      <c r="D41" t="inlineStr">
        <is>
          <t>VÄSTERBOTTENS LÄN</t>
        </is>
      </c>
      <c r="E41" t="inlineStr">
        <is>
          <t>ÅSELE</t>
        </is>
      </c>
      <c r="F41" t="inlineStr">
        <is>
          <t>Holmen skog AB</t>
        </is>
      </c>
      <c r="G41" t="n">
        <v>10.3</v>
      </c>
      <c r="H41" t="n">
        <v>0</v>
      </c>
      <c r="I41" t="n">
        <v>0</v>
      </c>
      <c r="J41" t="n">
        <v>2</v>
      </c>
      <c r="K41" t="n">
        <v>0</v>
      </c>
      <c r="L41" t="n">
        <v>0</v>
      </c>
      <c r="M41" t="n">
        <v>0</v>
      </c>
      <c r="N41" t="n">
        <v>0</v>
      </c>
      <c r="O41" t="n">
        <v>2</v>
      </c>
      <c r="P41" t="n">
        <v>0</v>
      </c>
      <c r="Q41" t="n">
        <v>2</v>
      </c>
      <c r="R41" s="2" t="inlineStr">
        <is>
          <t>Gränsticka
Vitgrynig nållav</t>
        </is>
      </c>
      <c r="S41">
        <f>HYPERLINK("https://klasma.github.io/Logging_2463/artfynd/A 41694-2023 artfynd.xlsx", "A 41694-2023")</f>
        <v/>
      </c>
      <c r="T41">
        <f>HYPERLINK("https://klasma.github.io/Logging_2463/kartor/A 41694-2023 karta.png", "A 41694-2023")</f>
        <v/>
      </c>
      <c r="V41">
        <f>HYPERLINK("https://klasma.github.io/Logging_2463/klagomål/A 41694-2023 FSC-klagomål.docx", "A 41694-2023")</f>
        <v/>
      </c>
      <c r="W41">
        <f>HYPERLINK("https://klasma.github.io/Logging_2463/klagomålsmail/A 41694-2023 FSC-klagomål mail.docx", "A 41694-2023")</f>
        <v/>
      </c>
      <c r="X41">
        <f>HYPERLINK("https://klasma.github.io/Logging_2463/tillsyn/A 41694-2023 tillsynsbegäran.docx", "A 41694-2023")</f>
        <v/>
      </c>
      <c r="Y41">
        <f>HYPERLINK("https://klasma.github.io/Logging_2463/tillsynsmail/A 41694-2023 tillsynsbegäran mail.docx", "A 41694-2023")</f>
        <v/>
      </c>
    </row>
    <row r="42" ht="15" customHeight="1">
      <c r="A42" t="inlineStr">
        <is>
          <t>A 40328-2022</t>
        </is>
      </c>
      <c r="B42" s="1" t="n">
        <v>44823</v>
      </c>
      <c r="C42" s="1" t="n">
        <v>46128</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46128</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46128</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26897-2023</t>
        </is>
      </c>
      <c r="B45" s="1" t="n">
        <v>45093.60384259259</v>
      </c>
      <c r="C45" s="1" t="n">
        <v>46128</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41078-2025</t>
        </is>
      </c>
      <c r="B46" s="1" t="n">
        <v>45898</v>
      </c>
      <c r="C46" s="1" t="n">
        <v>46128</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42090-2025</t>
        </is>
      </c>
      <c r="B47" s="1" t="n">
        <v>45903.69844907407</v>
      </c>
      <c r="C47" s="1" t="n">
        <v>46128</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54741-2023</t>
        </is>
      </c>
      <c r="B48" s="1" t="n">
        <v>45236.40642361111</v>
      </c>
      <c r="C48" s="1" t="n">
        <v>46128</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46249-2025</t>
        </is>
      </c>
      <c r="B49" s="1" t="n">
        <v>45925.34439814815</v>
      </c>
      <c r="C49" s="1" t="n">
        <v>46128</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26867-2025</t>
        </is>
      </c>
      <c r="B50" s="1" t="n">
        <v>45810</v>
      </c>
      <c r="C50" s="1" t="n">
        <v>46128</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27106-2025</t>
        </is>
      </c>
      <c r="B51" s="1" t="n">
        <v>45811</v>
      </c>
      <c r="C51" s="1" t="n">
        <v>46128</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48594-2025</t>
        </is>
      </c>
      <c r="B52" s="1" t="n">
        <v>45936.46305555556</v>
      </c>
      <c r="C52" s="1" t="n">
        <v>46128</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46128</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18000-2025</t>
        </is>
      </c>
      <c r="B54" s="1" t="n">
        <v>45761</v>
      </c>
      <c r="C54" s="1" t="n">
        <v>46128</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37568-2025</t>
        </is>
      </c>
      <c r="B55" s="1" t="n">
        <v>45880.3647337963</v>
      </c>
      <c r="C55" s="1" t="n">
        <v>46128</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48743-2023</t>
        </is>
      </c>
      <c r="B56" s="1" t="n">
        <v>45208</v>
      </c>
      <c r="C56" s="1" t="n">
        <v>46128</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31518-2024</t>
        </is>
      </c>
      <c r="B57" s="1" t="n">
        <v>45505</v>
      </c>
      <c r="C57" s="1" t="n">
        <v>46128</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43276-2025</t>
        </is>
      </c>
      <c r="B58" s="1" t="n">
        <v>45910</v>
      </c>
      <c r="C58" s="1" t="n">
        <v>46128</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64497-2023</t>
        </is>
      </c>
      <c r="B59" s="1" t="n">
        <v>45280</v>
      </c>
      <c r="C59" s="1" t="n">
        <v>46128</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39380-2022</t>
        </is>
      </c>
      <c r="B60" s="1" t="n">
        <v>44817</v>
      </c>
      <c r="C60" s="1" t="n">
        <v>46128</v>
      </c>
      <c r="D60" t="inlineStr">
        <is>
          <t>VÄSTERBOTTENS LÄN</t>
        </is>
      </c>
      <c r="E60" t="inlineStr">
        <is>
          <t>ÅSELE</t>
        </is>
      </c>
      <c r="F60" t="inlineStr">
        <is>
          <t>SCA</t>
        </is>
      </c>
      <c r="G60" t="n">
        <v>2.4</v>
      </c>
      <c r="H60" t="n">
        <v>1</v>
      </c>
      <c r="I60" t="n">
        <v>1</v>
      </c>
      <c r="J60" t="n">
        <v>0</v>
      </c>
      <c r="K60" t="n">
        <v>0</v>
      </c>
      <c r="L60" t="n">
        <v>0</v>
      </c>
      <c r="M60" t="n">
        <v>0</v>
      </c>
      <c r="N60" t="n">
        <v>0</v>
      </c>
      <c r="O60" t="n">
        <v>0</v>
      </c>
      <c r="P60" t="n">
        <v>0</v>
      </c>
      <c r="Q60" t="n">
        <v>1</v>
      </c>
      <c r="R60" s="2" t="inlineStr">
        <is>
          <t>Lappranunkel</t>
        </is>
      </c>
      <c r="S60">
        <f>HYPERLINK("https://klasma.github.io/Logging_2463/artfynd/A 39380-2022 artfynd.xlsx", "A 39380-2022")</f>
        <v/>
      </c>
      <c r="T60">
        <f>HYPERLINK("https://klasma.github.io/Logging_2463/kartor/A 39380-2022 karta.png", "A 39380-2022")</f>
        <v/>
      </c>
      <c r="V60">
        <f>HYPERLINK("https://klasma.github.io/Logging_2463/klagomål/A 39380-2022 FSC-klagomål.docx", "A 39380-2022")</f>
        <v/>
      </c>
      <c r="W60">
        <f>HYPERLINK("https://klasma.github.io/Logging_2463/klagomålsmail/A 39380-2022 FSC-klagomål mail.docx", "A 39380-2022")</f>
        <v/>
      </c>
      <c r="X60">
        <f>HYPERLINK("https://klasma.github.io/Logging_2463/tillsyn/A 39380-2022 tillsynsbegäran.docx", "A 39380-2022")</f>
        <v/>
      </c>
      <c r="Y60">
        <f>HYPERLINK("https://klasma.github.io/Logging_2463/tillsynsmail/A 39380-2022 tillsynsbegäran mail.docx", "A 39380-2022")</f>
        <v/>
      </c>
    </row>
    <row r="61" ht="15" customHeight="1">
      <c r="A61" t="inlineStr">
        <is>
          <t>A 2278-2026</t>
        </is>
      </c>
      <c r="B61" s="1" t="n">
        <v>46036.57505787037</v>
      </c>
      <c r="C61" s="1" t="n">
        <v>46128</v>
      </c>
      <c r="D61" t="inlineStr">
        <is>
          <t>VÄSTERBOTTENS LÄN</t>
        </is>
      </c>
      <c r="E61" t="inlineStr">
        <is>
          <t>ÅSELE</t>
        </is>
      </c>
      <c r="F61" t="inlineStr">
        <is>
          <t>Sveaskog</t>
        </is>
      </c>
      <c r="G61" t="n">
        <v>5</v>
      </c>
      <c r="H61" t="n">
        <v>0</v>
      </c>
      <c r="I61" t="n">
        <v>1</v>
      </c>
      <c r="J61" t="n">
        <v>0</v>
      </c>
      <c r="K61" t="n">
        <v>0</v>
      </c>
      <c r="L61" t="n">
        <v>0</v>
      </c>
      <c r="M61" t="n">
        <v>0</v>
      </c>
      <c r="N61" t="n">
        <v>0</v>
      </c>
      <c r="O61" t="n">
        <v>0</v>
      </c>
      <c r="P61" t="n">
        <v>0</v>
      </c>
      <c r="Q61" t="n">
        <v>1</v>
      </c>
      <c r="R61" s="2" t="inlineStr">
        <is>
          <t>Vedticka</t>
        </is>
      </c>
      <c r="S61">
        <f>HYPERLINK("https://klasma.github.io/Logging_2463/artfynd/A 2278-2026 artfynd.xlsx", "A 2278-2026")</f>
        <v/>
      </c>
      <c r="T61">
        <f>HYPERLINK("https://klasma.github.io/Logging_2463/kartor/A 2278-2026 karta.png", "A 2278-2026")</f>
        <v/>
      </c>
      <c r="V61">
        <f>HYPERLINK("https://klasma.github.io/Logging_2463/klagomål/A 2278-2026 FSC-klagomål.docx", "A 2278-2026")</f>
        <v/>
      </c>
      <c r="W61">
        <f>HYPERLINK("https://klasma.github.io/Logging_2463/klagomålsmail/A 2278-2026 FSC-klagomål mail.docx", "A 2278-2026")</f>
        <v/>
      </c>
      <c r="X61">
        <f>HYPERLINK("https://klasma.github.io/Logging_2463/tillsyn/A 2278-2026 tillsynsbegäran.docx", "A 2278-2026")</f>
        <v/>
      </c>
      <c r="Y61">
        <f>HYPERLINK("https://klasma.github.io/Logging_2463/tillsynsmail/A 2278-2026 tillsynsbegäran mail.docx", "A 2278-2026")</f>
        <v/>
      </c>
    </row>
    <row r="62" ht="15" customHeight="1">
      <c r="A62" t="inlineStr">
        <is>
          <t>A 43459-2024</t>
        </is>
      </c>
      <c r="B62" s="1" t="n">
        <v>45568</v>
      </c>
      <c r="C62" s="1" t="n">
        <v>46128</v>
      </c>
      <c r="D62" t="inlineStr">
        <is>
          <t>VÄSTERBOTTENS LÄN</t>
        </is>
      </c>
      <c r="E62" t="inlineStr">
        <is>
          <t>ÅSELE</t>
        </is>
      </c>
      <c r="F62" t="inlineStr">
        <is>
          <t>SCA</t>
        </is>
      </c>
      <c r="G62" t="n">
        <v>7.9</v>
      </c>
      <c r="H62" t="n">
        <v>0</v>
      </c>
      <c r="I62" t="n">
        <v>0</v>
      </c>
      <c r="J62" t="n">
        <v>1</v>
      </c>
      <c r="K62" t="n">
        <v>0</v>
      </c>
      <c r="L62" t="n">
        <v>0</v>
      </c>
      <c r="M62" t="n">
        <v>0</v>
      </c>
      <c r="N62" t="n">
        <v>0</v>
      </c>
      <c r="O62" t="n">
        <v>1</v>
      </c>
      <c r="P62" t="n">
        <v>0</v>
      </c>
      <c r="Q62" t="n">
        <v>1</v>
      </c>
      <c r="R62" s="2" t="inlineStr">
        <is>
          <t>Gammelgransskål</t>
        </is>
      </c>
      <c r="S62">
        <f>HYPERLINK("https://klasma.github.io/Logging_2463/artfynd/A 43459-2024 artfynd.xlsx", "A 43459-2024")</f>
        <v/>
      </c>
      <c r="T62">
        <f>HYPERLINK("https://klasma.github.io/Logging_2463/kartor/A 43459-2024 karta.png", "A 43459-2024")</f>
        <v/>
      </c>
      <c r="V62">
        <f>HYPERLINK("https://klasma.github.io/Logging_2463/klagomål/A 43459-2024 FSC-klagomål.docx", "A 43459-2024")</f>
        <v/>
      </c>
      <c r="W62">
        <f>HYPERLINK("https://klasma.github.io/Logging_2463/klagomålsmail/A 43459-2024 FSC-klagomål mail.docx", "A 43459-2024")</f>
        <v/>
      </c>
      <c r="X62">
        <f>HYPERLINK("https://klasma.github.io/Logging_2463/tillsyn/A 43459-2024 tillsynsbegäran.docx", "A 43459-2024")</f>
        <v/>
      </c>
      <c r="Y62">
        <f>HYPERLINK("https://klasma.github.io/Logging_2463/tillsynsmail/A 43459-2024 tillsynsbegäran mail.docx", "A 43459-2024")</f>
        <v/>
      </c>
    </row>
    <row r="63" ht="15" customHeight="1">
      <c r="A63" t="inlineStr">
        <is>
          <t>A 42132-2024</t>
        </is>
      </c>
      <c r="B63" s="1" t="n">
        <v>45562</v>
      </c>
      <c r="C63" s="1" t="n">
        <v>46128</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46128</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46128</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46128</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46128</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46128</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46128</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46128</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46128</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46128</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46128</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46128</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46128</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46128</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46128</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46128</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46128</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46128</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46128</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46128</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46128</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46128</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46128</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46128</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46128</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46128</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46128</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46128</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46128</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46128</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46128</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46128</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46128</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46128</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46128</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46128</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46128</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46128</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46128</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46128</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46128</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46128</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46128</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46128</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46128</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46128</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46128</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46128</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60524-2021</t>
        </is>
      </c>
      <c r="B111" s="1" t="n">
        <v>44496</v>
      </c>
      <c r="C111" s="1" t="n">
        <v>46128</v>
      </c>
      <c r="D111" t="inlineStr">
        <is>
          <t>VÄSTERBOTTENS LÄN</t>
        </is>
      </c>
      <c r="E111" t="inlineStr">
        <is>
          <t>ÅSELE</t>
        </is>
      </c>
      <c r="F111" t="inlineStr">
        <is>
          <t>Holmen skog AB</t>
        </is>
      </c>
      <c r="G111" t="n">
        <v>1.3</v>
      </c>
      <c r="H111" t="n">
        <v>0</v>
      </c>
      <c r="I111" t="n">
        <v>0</v>
      </c>
      <c r="J111" t="n">
        <v>0</v>
      </c>
      <c r="K111" t="n">
        <v>0</v>
      </c>
      <c r="L111" t="n">
        <v>0</v>
      </c>
      <c r="M111" t="n">
        <v>0</v>
      </c>
      <c r="N111" t="n">
        <v>0</v>
      </c>
      <c r="O111" t="n">
        <v>0</v>
      </c>
      <c r="P111" t="n">
        <v>0</v>
      </c>
      <c r="Q111" t="n">
        <v>0</v>
      </c>
      <c r="R111" s="2" t="inlineStr"/>
    </row>
    <row r="112" ht="15" customHeight="1">
      <c r="A112" t="inlineStr">
        <is>
          <t>A 49382-2024</t>
        </is>
      </c>
      <c r="B112" s="1" t="n">
        <v>45595</v>
      </c>
      <c r="C112" s="1" t="n">
        <v>46128</v>
      </c>
      <c r="D112" t="inlineStr">
        <is>
          <t>VÄSTERBOTTENS LÄN</t>
        </is>
      </c>
      <c r="E112" t="inlineStr">
        <is>
          <t>ÅSELE</t>
        </is>
      </c>
      <c r="F112" t="inlineStr">
        <is>
          <t>Holmen skog AB</t>
        </is>
      </c>
      <c r="G112" t="n">
        <v>1.8</v>
      </c>
      <c r="H112" t="n">
        <v>0</v>
      </c>
      <c r="I112" t="n">
        <v>0</v>
      </c>
      <c r="J112" t="n">
        <v>0</v>
      </c>
      <c r="K112" t="n">
        <v>0</v>
      </c>
      <c r="L112" t="n">
        <v>0</v>
      </c>
      <c r="M112" t="n">
        <v>0</v>
      </c>
      <c r="N112" t="n">
        <v>0</v>
      </c>
      <c r="O112" t="n">
        <v>0</v>
      </c>
      <c r="P112" t="n">
        <v>0</v>
      </c>
      <c r="Q112" t="n">
        <v>0</v>
      </c>
      <c r="R112" s="2" t="inlineStr"/>
    </row>
    <row r="113" ht="15" customHeight="1">
      <c r="A113" t="inlineStr">
        <is>
          <t>A 4462-2023</t>
        </is>
      </c>
      <c r="B113" s="1" t="n">
        <v>44952</v>
      </c>
      <c r="C113" s="1" t="n">
        <v>46128</v>
      </c>
      <c r="D113" t="inlineStr">
        <is>
          <t>VÄSTERBOTTENS LÄN</t>
        </is>
      </c>
      <c r="E113" t="inlineStr">
        <is>
          <t>ÅSELE</t>
        </is>
      </c>
      <c r="G113" t="n">
        <v>0.9</v>
      </c>
      <c r="H113" t="n">
        <v>0</v>
      </c>
      <c r="I113" t="n">
        <v>0</v>
      </c>
      <c r="J113" t="n">
        <v>0</v>
      </c>
      <c r="K113" t="n">
        <v>0</v>
      </c>
      <c r="L113" t="n">
        <v>0</v>
      </c>
      <c r="M113" t="n">
        <v>0</v>
      </c>
      <c r="N113" t="n">
        <v>0</v>
      </c>
      <c r="O113" t="n">
        <v>0</v>
      </c>
      <c r="P113" t="n">
        <v>0</v>
      </c>
      <c r="Q113" t="n">
        <v>0</v>
      </c>
      <c r="R113" s="2" t="inlineStr"/>
    </row>
    <row r="114" ht="15" customHeight="1">
      <c r="A114" t="inlineStr">
        <is>
          <t>A 47441-2024</t>
        </is>
      </c>
      <c r="B114" s="1" t="n">
        <v>45587</v>
      </c>
      <c r="C114" s="1" t="n">
        <v>46128</v>
      </c>
      <c r="D114" t="inlineStr">
        <is>
          <t>VÄSTERBOTTENS LÄN</t>
        </is>
      </c>
      <c r="E114" t="inlineStr">
        <is>
          <t>ÅSELE</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46128</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46128</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35971-2023</t>
        </is>
      </c>
      <c r="B117" s="1" t="n">
        <v>45148</v>
      </c>
      <c r="C117" s="1" t="n">
        <v>46128</v>
      </c>
      <c r="D117" t="inlineStr">
        <is>
          <t>VÄSTERBOTTENS LÄN</t>
        </is>
      </c>
      <c r="E117" t="inlineStr">
        <is>
          <t>ÅSELE</t>
        </is>
      </c>
      <c r="G117" t="n">
        <v>0.6</v>
      </c>
      <c r="H117" t="n">
        <v>0</v>
      </c>
      <c r="I117" t="n">
        <v>0</v>
      </c>
      <c r="J117" t="n">
        <v>0</v>
      </c>
      <c r="K117" t="n">
        <v>0</v>
      </c>
      <c r="L117" t="n">
        <v>0</v>
      </c>
      <c r="M117" t="n">
        <v>0</v>
      </c>
      <c r="N117" t="n">
        <v>0</v>
      </c>
      <c r="O117" t="n">
        <v>0</v>
      </c>
      <c r="P117" t="n">
        <v>0</v>
      </c>
      <c r="Q117" t="n">
        <v>0</v>
      </c>
      <c r="R117" s="2" t="inlineStr"/>
    </row>
    <row r="118" ht="15" customHeight="1">
      <c r="A118" t="inlineStr">
        <is>
          <t>A 29962-2024</t>
        </is>
      </c>
      <c r="B118" s="1" t="n">
        <v>45488.46452546296</v>
      </c>
      <c r="C118" s="1" t="n">
        <v>46128</v>
      </c>
      <c r="D118" t="inlineStr">
        <is>
          <t>VÄSTERBOTTENS LÄN</t>
        </is>
      </c>
      <c r="E118" t="inlineStr">
        <is>
          <t>ÅSELE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54432-2021</t>
        </is>
      </c>
      <c r="B119" s="1" t="n">
        <v>44472</v>
      </c>
      <c r="C119" s="1" t="n">
        <v>46128</v>
      </c>
      <c r="D119" t="inlineStr">
        <is>
          <t>VÄSTERBOTTENS LÄN</t>
        </is>
      </c>
      <c r="E119" t="inlineStr">
        <is>
          <t>ÅSELE</t>
        </is>
      </c>
      <c r="G119" t="n">
        <v>5.2</v>
      </c>
      <c r="H119" t="n">
        <v>0</v>
      </c>
      <c r="I119" t="n">
        <v>0</v>
      </c>
      <c r="J119" t="n">
        <v>0</v>
      </c>
      <c r="K119" t="n">
        <v>0</v>
      </c>
      <c r="L119" t="n">
        <v>0</v>
      </c>
      <c r="M119" t="n">
        <v>0</v>
      </c>
      <c r="N119" t="n">
        <v>0</v>
      </c>
      <c r="O119" t="n">
        <v>0</v>
      </c>
      <c r="P119" t="n">
        <v>0</v>
      </c>
      <c r="Q119" t="n">
        <v>0</v>
      </c>
      <c r="R119" s="2" t="inlineStr"/>
    </row>
    <row r="120" ht="15" customHeight="1">
      <c r="A120" t="inlineStr">
        <is>
          <t>A 61744-2024</t>
        </is>
      </c>
      <c r="B120" s="1" t="n">
        <v>45649</v>
      </c>
      <c r="C120" s="1" t="n">
        <v>46128</v>
      </c>
      <c r="D120" t="inlineStr">
        <is>
          <t>VÄSTERBOTTENS LÄN</t>
        </is>
      </c>
      <c r="E120" t="inlineStr">
        <is>
          <t>ÅSELE</t>
        </is>
      </c>
      <c r="G120" t="n">
        <v>6.6</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46128</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48033-2024</t>
        </is>
      </c>
      <c r="B122" s="1" t="n">
        <v>45589.49001157407</v>
      </c>
      <c r="C122" s="1" t="n">
        <v>46128</v>
      </c>
      <c r="D122" t="inlineStr">
        <is>
          <t>VÄSTERBOTTENS LÄN</t>
        </is>
      </c>
      <c r="E122" t="inlineStr">
        <is>
          <t>ÅSELE</t>
        </is>
      </c>
      <c r="F122" t="inlineStr">
        <is>
          <t>SCA</t>
        </is>
      </c>
      <c r="G122" t="n">
        <v>3.1</v>
      </c>
      <c r="H122" t="n">
        <v>0</v>
      </c>
      <c r="I122" t="n">
        <v>0</v>
      </c>
      <c r="J122" t="n">
        <v>0</v>
      </c>
      <c r="K122" t="n">
        <v>0</v>
      </c>
      <c r="L122" t="n">
        <v>0</v>
      </c>
      <c r="M122" t="n">
        <v>0</v>
      </c>
      <c r="N122" t="n">
        <v>0</v>
      </c>
      <c r="O122" t="n">
        <v>0</v>
      </c>
      <c r="P122" t="n">
        <v>0</v>
      </c>
      <c r="Q122" t="n">
        <v>0</v>
      </c>
      <c r="R122" s="2" t="inlineStr"/>
    </row>
    <row r="123" ht="15" customHeight="1">
      <c r="A123" t="inlineStr">
        <is>
          <t>A 69370-2021</t>
        </is>
      </c>
      <c r="B123" s="1" t="n">
        <v>44531</v>
      </c>
      <c r="C123" s="1" t="n">
        <v>46128</v>
      </c>
      <c r="D123" t="inlineStr">
        <is>
          <t>VÄSTERBOTTENS LÄN</t>
        </is>
      </c>
      <c r="E123" t="inlineStr">
        <is>
          <t>ÅSELE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52772-2024</t>
        </is>
      </c>
      <c r="B124" s="1" t="n">
        <v>45610</v>
      </c>
      <c r="C124" s="1" t="n">
        <v>46128</v>
      </c>
      <c r="D124" t="inlineStr">
        <is>
          <t>VÄSTERBOTTENS LÄN</t>
        </is>
      </c>
      <c r="E124" t="inlineStr">
        <is>
          <t>ÅSELE</t>
        </is>
      </c>
      <c r="F124" t="inlineStr">
        <is>
          <t>SCA</t>
        </is>
      </c>
      <c r="G124" t="n">
        <v>3.1</v>
      </c>
      <c r="H124" t="n">
        <v>0</v>
      </c>
      <c r="I124" t="n">
        <v>0</v>
      </c>
      <c r="J124" t="n">
        <v>0</v>
      </c>
      <c r="K124" t="n">
        <v>0</v>
      </c>
      <c r="L124" t="n">
        <v>0</v>
      </c>
      <c r="M124" t="n">
        <v>0</v>
      </c>
      <c r="N124" t="n">
        <v>0</v>
      </c>
      <c r="O124" t="n">
        <v>0</v>
      </c>
      <c r="P124" t="n">
        <v>0</v>
      </c>
      <c r="Q124" t="n">
        <v>0</v>
      </c>
      <c r="R124" s="2" t="inlineStr"/>
    </row>
    <row r="125" ht="15" customHeight="1">
      <c r="A125" t="inlineStr">
        <is>
          <t>A 10360-2025</t>
        </is>
      </c>
      <c r="B125" s="1" t="n">
        <v>45720</v>
      </c>
      <c r="C125" s="1" t="n">
        <v>46128</v>
      </c>
      <c r="D125" t="inlineStr">
        <is>
          <t>VÄSTERBOTTENS LÄN</t>
        </is>
      </c>
      <c r="E125" t="inlineStr">
        <is>
          <t>ÅSELE</t>
        </is>
      </c>
      <c r="G125" t="n">
        <v>0.8</v>
      </c>
      <c r="H125" t="n">
        <v>0</v>
      </c>
      <c r="I125" t="n">
        <v>0</v>
      </c>
      <c r="J125" t="n">
        <v>0</v>
      </c>
      <c r="K125" t="n">
        <v>0</v>
      </c>
      <c r="L125" t="n">
        <v>0</v>
      </c>
      <c r="M125" t="n">
        <v>0</v>
      </c>
      <c r="N125" t="n">
        <v>0</v>
      </c>
      <c r="O125" t="n">
        <v>0</v>
      </c>
      <c r="P125" t="n">
        <v>0</v>
      </c>
      <c r="Q125" t="n">
        <v>0</v>
      </c>
      <c r="R125" s="2" t="inlineStr"/>
    </row>
    <row r="126" ht="15" customHeight="1">
      <c r="A126" t="inlineStr">
        <is>
          <t>A 10381-2025</t>
        </is>
      </c>
      <c r="B126" s="1" t="n">
        <v>45720.57324074074</v>
      </c>
      <c r="C126" s="1" t="n">
        <v>46128</v>
      </c>
      <c r="D126" t="inlineStr">
        <is>
          <t>VÄSTERBOTTENS LÄN</t>
        </is>
      </c>
      <c r="E126" t="inlineStr">
        <is>
          <t>ÅSELE</t>
        </is>
      </c>
      <c r="F126" t="inlineStr">
        <is>
          <t>SCA</t>
        </is>
      </c>
      <c r="G126" t="n">
        <v>2.6</v>
      </c>
      <c r="H126" t="n">
        <v>0</v>
      </c>
      <c r="I126" t="n">
        <v>0</v>
      </c>
      <c r="J126" t="n">
        <v>0</v>
      </c>
      <c r="K126" t="n">
        <v>0</v>
      </c>
      <c r="L126" t="n">
        <v>0</v>
      </c>
      <c r="M126" t="n">
        <v>0</v>
      </c>
      <c r="N126" t="n">
        <v>0</v>
      </c>
      <c r="O126" t="n">
        <v>0</v>
      </c>
      <c r="P126" t="n">
        <v>0</v>
      </c>
      <c r="Q126" t="n">
        <v>0</v>
      </c>
      <c r="R126" s="2" t="inlineStr"/>
    </row>
    <row r="127" ht="15" customHeight="1">
      <c r="A127" t="inlineStr">
        <is>
          <t>A 31541-2024</t>
        </is>
      </c>
      <c r="B127" s="1" t="n">
        <v>45505</v>
      </c>
      <c r="C127" s="1" t="n">
        <v>46128</v>
      </c>
      <c r="D127" t="inlineStr">
        <is>
          <t>VÄSTERBOTTENS LÄN</t>
        </is>
      </c>
      <c r="E127" t="inlineStr">
        <is>
          <t>ÅSELE</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49428-2022</t>
        </is>
      </c>
      <c r="B128" s="1" t="n">
        <v>44859</v>
      </c>
      <c r="C128" s="1" t="n">
        <v>46128</v>
      </c>
      <c r="D128" t="inlineStr">
        <is>
          <t>VÄSTERBOTTENS LÄN</t>
        </is>
      </c>
      <c r="E128" t="inlineStr">
        <is>
          <t>ÅSELE</t>
        </is>
      </c>
      <c r="G128" t="n">
        <v>4.6</v>
      </c>
      <c r="H128" t="n">
        <v>0</v>
      </c>
      <c r="I128" t="n">
        <v>0</v>
      </c>
      <c r="J128" t="n">
        <v>0</v>
      </c>
      <c r="K128" t="n">
        <v>0</v>
      </c>
      <c r="L128" t="n">
        <v>0</v>
      </c>
      <c r="M128" t="n">
        <v>0</v>
      </c>
      <c r="N128" t="n">
        <v>0</v>
      </c>
      <c r="O128" t="n">
        <v>0</v>
      </c>
      <c r="P128" t="n">
        <v>0</v>
      </c>
      <c r="Q128" t="n">
        <v>0</v>
      </c>
      <c r="R128" s="2" t="inlineStr"/>
    </row>
    <row r="129" ht="15" customHeight="1">
      <c r="A129" t="inlineStr">
        <is>
          <t>A 18568-2022</t>
        </is>
      </c>
      <c r="B129" s="1" t="n">
        <v>44686.94269675926</v>
      </c>
      <c r="C129" s="1" t="n">
        <v>46128</v>
      </c>
      <c r="D129" t="inlineStr">
        <is>
          <t>VÄSTERBOTTENS LÄN</t>
        </is>
      </c>
      <c r="E129" t="inlineStr">
        <is>
          <t>ÅSELE</t>
        </is>
      </c>
      <c r="F129" t="inlineStr">
        <is>
          <t>SCA</t>
        </is>
      </c>
      <c r="G129" t="n">
        <v>0.4</v>
      </c>
      <c r="H129" t="n">
        <v>0</v>
      </c>
      <c r="I129" t="n">
        <v>0</v>
      </c>
      <c r="J129" t="n">
        <v>0</v>
      </c>
      <c r="K129" t="n">
        <v>0</v>
      </c>
      <c r="L129" t="n">
        <v>0</v>
      </c>
      <c r="M129" t="n">
        <v>0</v>
      </c>
      <c r="N129" t="n">
        <v>0</v>
      </c>
      <c r="O129" t="n">
        <v>0</v>
      </c>
      <c r="P129" t="n">
        <v>0</v>
      </c>
      <c r="Q129" t="n">
        <v>0</v>
      </c>
      <c r="R129" s="2" t="inlineStr"/>
    </row>
    <row r="130" ht="15" customHeight="1">
      <c r="A130" t="inlineStr">
        <is>
          <t>A 43737-2021</t>
        </is>
      </c>
      <c r="B130" s="1" t="n">
        <v>44433.64141203704</v>
      </c>
      <c r="C130" s="1" t="n">
        <v>46128</v>
      </c>
      <c r="D130" t="inlineStr">
        <is>
          <t>VÄSTERBOTTENS LÄN</t>
        </is>
      </c>
      <c r="E130" t="inlineStr">
        <is>
          <t>ÅSELE</t>
        </is>
      </c>
      <c r="F130" t="inlineStr">
        <is>
          <t>Naturvårdsverket</t>
        </is>
      </c>
      <c r="G130" t="n">
        <v>2.1</v>
      </c>
      <c r="H130" t="n">
        <v>0</v>
      </c>
      <c r="I130" t="n">
        <v>0</v>
      </c>
      <c r="J130" t="n">
        <v>0</v>
      </c>
      <c r="K130" t="n">
        <v>0</v>
      </c>
      <c r="L130" t="n">
        <v>0</v>
      </c>
      <c r="M130" t="n">
        <v>0</v>
      </c>
      <c r="N130" t="n">
        <v>0</v>
      </c>
      <c r="O130" t="n">
        <v>0</v>
      </c>
      <c r="P130" t="n">
        <v>0</v>
      </c>
      <c r="Q130" t="n">
        <v>0</v>
      </c>
      <c r="R130" s="2" t="inlineStr"/>
    </row>
    <row r="131" ht="15" customHeight="1">
      <c r="A131" t="inlineStr">
        <is>
          <t>A 62268-2021</t>
        </is>
      </c>
      <c r="B131" s="1" t="n">
        <v>44503</v>
      </c>
      <c r="C131" s="1" t="n">
        <v>46128</v>
      </c>
      <c r="D131" t="inlineStr">
        <is>
          <t>VÄSTERBOTTENS LÄN</t>
        </is>
      </c>
      <c r="E131" t="inlineStr">
        <is>
          <t>ÅSELE</t>
        </is>
      </c>
      <c r="F131" t="inlineStr">
        <is>
          <t>Holmen skog AB</t>
        </is>
      </c>
      <c r="G131" t="n">
        <v>6.5</v>
      </c>
      <c r="H131" t="n">
        <v>0</v>
      </c>
      <c r="I131" t="n">
        <v>0</v>
      </c>
      <c r="J131" t="n">
        <v>0</v>
      </c>
      <c r="K131" t="n">
        <v>0</v>
      </c>
      <c r="L131" t="n">
        <v>0</v>
      </c>
      <c r="M131" t="n">
        <v>0</v>
      </c>
      <c r="N131" t="n">
        <v>0</v>
      </c>
      <c r="O131" t="n">
        <v>0</v>
      </c>
      <c r="P131" t="n">
        <v>0</v>
      </c>
      <c r="Q131" t="n">
        <v>0</v>
      </c>
      <c r="R131" s="2" t="inlineStr"/>
    </row>
    <row r="132" ht="15" customHeight="1">
      <c r="A132" t="inlineStr">
        <is>
          <t>A 20276-2025</t>
        </is>
      </c>
      <c r="B132" s="1" t="n">
        <v>45774.32366898148</v>
      </c>
      <c r="C132" s="1" t="n">
        <v>46128</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35561-2021</t>
        </is>
      </c>
      <c r="B133" s="1" t="n">
        <v>44385.93583333334</v>
      </c>
      <c r="C133" s="1" t="n">
        <v>46128</v>
      </c>
      <c r="D133" t="inlineStr">
        <is>
          <t>VÄSTERBOTTENS LÄN</t>
        </is>
      </c>
      <c r="E133" t="inlineStr">
        <is>
          <t>ÅSELE</t>
        </is>
      </c>
      <c r="F133" t="inlineStr">
        <is>
          <t>SCA</t>
        </is>
      </c>
      <c r="G133" t="n">
        <v>0.9</v>
      </c>
      <c r="H133" t="n">
        <v>0</v>
      </c>
      <c r="I133" t="n">
        <v>0</v>
      </c>
      <c r="J133" t="n">
        <v>0</v>
      </c>
      <c r="K133" t="n">
        <v>0</v>
      </c>
      <c r="L133" t="n">
        <v>0</v>
      </c>
      <c r="M133" t="n">
        <v>0</v>
      </c>
      <c r="N133" t="n">
        <v>0</v>
      </c>
      <c r="O133" t="n">
        <v>0</v>
      </c>
      <c r="P133" t="n">
        <v>0</v>
      </c>
      <c r="Q133" t="n">
        <v>0</v>
      </c>
      <c r="R133" s="2" t="inlineStr"/>
    </row>
    <row r="134" ht="15" customHeight="1">
      <c r="A134" t="inlineStr">
        <is>
          <t>A 26980-2024</t>
        </is>
      </c>
      <c r="B134" s="1" t="n">
        <v>45471</v>
      </c>
      <c r="C134" s="1" t="n">
        <v>46128</v>
      </c>
      <c r="D134" t="inlineStr">
        <is>
          <t>VÄSTERBOTTENS LÄN</t>
        </is>
      </c>
      <c r="E134" t="inlineStr">
        <is>
          <t>ÅSELE</t>
        </is>
      </c>
      <c r="G134" t="n">
        <v>7.7</v>
      </c>
      <c r="H134" t="n">
        <v>0</v>
      </c>
      <c r="I134" t="n">
        <v>0</v>
      </c>
      <c r="J134" t="n">
        <v>0</v>
      </c>
      <c r="K134" t="n">
        <v>0</v>
      </c>
      <c r="L134" t="n">
        <v>0</v>
      </c>
      <c r="M134" t="n">
        <v>0</v>
      </c>
      <c r="N134" t="n">
        <v>0</v>
      </c>
      <c r="O134" t="n">
        <v>0</v>
      </c>
      <c r="P134" t="n">
        <v>0</v>
      </c>
      <c r="Q134" t="n">
        <v>0</v>
      </c>
      <c r="R134" s="2" t="inlineStr"/>
    </row>
    <row r="135" ht="15" customHeight="1">
      <c r="A135" t="inlineStr">
        <is>
          <t>A 28954-2024</t>
        </is>
      </c>
      <c r="B135" s="1" t="n">
        <v>45481.40775462963</v>
      </c>
      <c r="C135" s="1" t="n">
        <v>46128</v>
      </c>
      <c r="D135" t="inlineStr">
        <is>
          <t>VÄSTERBOTTENS LÄN</t>
        </is>
      </c>
      <c r="E135" t="inlineStr">
        <is>
          <t>ÅSELE</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27301-2021</t>
        </is>
      </c>
      <c r="B136" s="1" t="n">
        <v>44350</v>
      </c>
      <c r="C136" s="1" t="n">
        <v>46128</v>
      </c>
      <c r="D136" t="inlineStr">
        <is>
          <t>VÄSTERBOTTENS LÄN</t>
        </is>
      </c>
      <c r="E136" t="inlineStr">
        <is>
          <t>ÅSELE</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49803-2021</t>
        </is>
      </c>
      <c r="B137" s="1" t="n">
        <v>44455.60459490741</v>
      </c>
      <c r="C137" s="1" t="n">
        <v>46128</v>
      </c>
      <c r="D137" t="inlineStr">
        <is>
          <t>VÄSTERBOTTENS LÄN</t>
        </is>
      </c>
      <c r="E137" t="inlineStr">
        <is>
          <t>ÅSELE</t>
        </is>
      </c>
      <c r="F137" t="inlineStr">
        <is>
          <t>Holmen skog AB</t>
        </is>
      </c>
      <c r="G137" t="n">
        <v>13.7</v>
      </c>
      <c r="H137" t="n">
        <v>0</v>
      </c>
      <c r="I137" t="n">
        <v>0</v>
      </c>
      <c r="J137" t="n">
        <v>0</v>
      </c>
      <c r="K137" t="n">
        <v>0</v>
      </c>
      <c r="L137" t="n">
        <v>0</v>
      </c>
      <c r="M137" t="n">
        <v>0</v>
      </c>
      <c r="N137" t="n">
        <v>0</v>
      </c>
      <c r="O137" t="n">
        <v>0</v>
      </c>
      <c r="P137" t="n">
        <v>0</v>
      </c>
      <c r="Q137" t="n">
        <v>0</v>
      </c>
      <c r="R137" s="2" t="inlineStr"/>
    </row>
    <row r="138" ht="15" customHeight="1">
      <c r="A138" t="inlineStr">
        <is>
          <t>A 22945-2024</t>
        </is>
      </c>
      <c r="B138" s="1" t="n">
        <v>45448.94569444445</v>
      </c>
      <c r="C138" s="1" t="n">
        <v>46128</v>
      </c>
      <c r="D138" t="inlineStr">
        <is>
          <t>VÄSTERBOTTENS LÄN</t>
        </is>
      </c>
      <c r="E138" t="inlineStr">
        <is>
          <t>ÅSELE</t>
        </is>
      </c>
      <c r="F138" t="inlineStr">
        <is>
          <t>SCA</t>
        </is>
      </c>
      <c r="G138" t="n">
        <v>7.5</v>
      </c>
      <c r="H138" t="n">
        <v>0</v>
      </c>
      <c r="I138" t="n">
        <v>0</v>
      </c>
      <c r="J138" t="n">
        <v>0</v>
      </c>
      <c r="K138" t="n">
        <v>0</v>
      </c>
      <c r="L138" t="n">
        <v>0</v>
      </c>
      <c r="M138" t="n">
        <v>0</v>
      </c>
      <c r="N138" t="n">
        <v>0</v>
      </c>
      <c r="O138" t="n">
        <v>0</v>
      </c>
      <c r="P138" t="n">
        <v>0</v>
      </c>
      <c r="Q138" t="n">
        <v>0</v>
      </c>
      <c r="R138" s="2" t="inlineStr"/>
    </row>
    <row r="139" ht="15" customHeight="1">
      <c r="A139" t="inlineStr">
        <is>
          <t>A 16806-2025</t>
        </is>
      </c>
      <c r="B139" s="1" t="n">
        <v>45754.62675925926</v>
      </c>
      <c r="C139" s="1" t="n">
        <v>46128</v>
      </c>
      <c r="D139" t="inlineStr">
        <is>
          <t>VÄSTERBOTTENS LÄN</t>
        </is>
      </c>
      <c r="E139" t="inlineStr">
        <is>
          <t>ÅSELE</t>
        </is>
      </c>
      <c r="F139" t="inlineStr">
        <is>
          <t>Holmen skog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61299-2021</t>
        </is>
      </c>
      <c r="B140" s="1" t="n">
        <v>44498.62789351852</v>
      </c>
      <c r="C140" s="1" t="n">
        <v>46128</v>
      </c>
      <c r="D140" t="inlineStr">
        <is>
          <t>VÄSTERBOTTENS LÄN</t>
        </is>
      </c>
      <c r="E140" t="inlineStr">
        <is>
          <t>ÅSELE</t>
        </is>
      </c>
      <c r="F140" t="inlineStr">
        <is>
          <t>Sveaskog</t>
        </is>
      </c>
      <c r="G140" t="n">
        <v>5.8</v>
      </c>
      <c r="H140" t="n">
        <v>0</v>
      </c>
      <c r="I140" t="n">
        <v>0</v>
      </c>
      <c r="J140" t="n">
        <v>0</v>
      </c>
      <c r="K140" t="n">
        <v>0</v>
      </c>
      <c r="L140" t="n">
        <v>0</v>
      </c>
      <c r="M140" t="n">
        <v>0</v>
      </c>
      <c r="N140" t="n">
        <v>0</v>
      </c>
      <c r="O140" t="n">
        <v>0</v>
      </c>
      <c r="P140" t="n">
        <v>0</v>
      </c>
      <c r="Q140" t="n">
        <v>0</v>
      </c>
      <c r="R140" s="2" t="inlineStr"/>
    </row>
    <row r="141" ht="15" customHeight="1">
      <c r="A141" t="inlineStr">
        <is>
          <t>A 4078-2025</t>
        </is>
      </c>
      <c r="B141" s="1" t="n">
        <v>45684.65501157408</v>
      </c>
      <c r="C141" s="1" t="n">
        <v>46128</v>
      </c>
      <c r="D141" t="inlineStr">
        <is>
          <t>VÄSTERBOTTENS LÄN</t>
        </is>
      </c>
      <c r="E141" t="inlineStr">
        <is>
          <t>ÅSELE</t>
        </is>
      </c>
      <c r="G141" t="n">
        <v>2.4</v>
      </c>
      <c r="H141" t="n">
        <v>0</v>
      </c>
      <c r="I141" t="n">
        <v>0</v>
      </c>
      <c r="J141" t="n">
        <v>0</v>
      </c>
      <c r="K141" t="n">
        <v>0</v>
      </c>
      <c r="L141" t="n">
        <v>0</v>
      </c>
      <c r="M141" t="n">
        <v>0</v>
      </c>
      <c r="N141" t="n">
        <v>0</v>
      </c>
      <c r="O141" t="n">
        <v>0</v>
      </c>
      <c r="P141" t="n">
        <v>0</v>
      </c>
      <c r="Q141" t="n">
        <v>0</v>
      </c>
      <c r="R141" s="2" t="inlineStr"/>
    </row>
    <row r="142" ht="15" customHeight="1">
      <c r="A142" t="inlineStr">
        <is>
          <t>A 22935-2024</t>
        </is>
      </c>
      <c r="B142" s="1" t="n">
        <v>45448.94409722222</v>
      </c>
      <c r="C142" s="1" t="n">
        <v>46128</v>
      </c>
      <c r="D142" t="inlineStr">
        <is>
          <t>VÄSTERBOTTENS LÄN</t>
        </is>
      </c>
      <c r="E142" t="inlineStr">
        <is>
          <t>ÅSELE</t>
        </is>
      </c>
      <c r="F142" t="inlineStr">
        <is>
          <t>SCA</t>
        </is>
      </c>
      <c r="G142" t="n">
        <v>3.3</v>
      </c>
      <c r="H142" t="n">
        <v>0</v>
      </c>
      <c r="I142" t="n">
        <v>0</v>
      </c>
      <c r="J142" t="n">
        <v>0</v>
      </c>
      <c r="K142" t="n">
        <v>0</v>
      </c>
      <c r="L142" t="n">
        <v>0</v>
      </c>
      <c r="M142" t="n">
        <v>0</v>
      </c>
      <c r="N142" t="n">
        <v>0</v>
      </c>
      <c r="O142" t="n">
        <v>0</v>
      </c>
      <c r="P142" t="n">
        <v>0</v>
      </c>
      <c r="Q142" t="n">
        <v>0</v>
      </c>
      <c r="R142" s="2" t="inlineStr"/>
    </row>
    <row r="143" ht="15" customHeight="1">
      <c r="A143" t="inlineStr">
        <is>
          <t>A 7475-2025</t>
        </is>
      </c>
      <c r="B143" s="1" t="n">
        <v>45705.46724537037</v>
      </c>
      <c r="C143" s="1" t="n">
        <v>46128</v>
      </c>
      <c r="D143" t="inlineStr">
        <is>
          <t>VÄSTERBOTTENS LÄN</t>
        </is>
      </c>
      <c r="E143" t="inlineStr">
        <is>
          <t>ÅSELE</t>
        </is>
      </c>
      <c r="G143" t="n">
        <v>4.4</v>
      </c>
      <c r="H143" t="n">
        <v>0</v>
      </c>
      <c r="I143" t="n">
        <v>0</v>
      </c>
      <c r="J143" t="n">
        <v>0</v>
      </c>
      <c r="K143" t="n">
        <v>0</v>
      </c>
      <c r="L143" t="n">
        <v>0</v>
      </c>
      <c r="M143" t="n">
        <v>0</v>
      </c>
      <c r="N143" t="n">
        <v>0</v>
      </c>
      <c r="O143" t="n">
        <v>0</v>
      </c>
      <c r="P143" t="n">
        <v>0</v>
      </c>
      <c r="Q143" t="n">
        <v>0</v>
      </c>
      <c r="R143" s="2" t="inlineStr"/>
    </row>
    <row r="144" ht="15" customHeight="1">
      <c r="A144" t="inlineStr">
        <is>
          <t>A 7621-2025</t>
        </is>
      </c>
      <c r="B144" s="1" t="n">
        <v>45705.71922453704</v>
      </c>
      <c r="C144" s="1" t="n">
        <v>46128</v>
      </c>
      <c r="D144" t="inlineStr">
        <is>
          <t>VÄSTERBOTTENS LÄN</t>
        </is>
      </c>
      <c r="E144" t="inlineStr">
        <is>
          <t>ÅSELE</t>
        </is>
      </c>
      <c r="G144" t="n">
        <v>5.9</v>
      </c>
      <c r="H144" t="n">
        <v>0</v>
      </c>
      <c r="I144" t="n">
        <v>0</v>
      </c>
      <c r="J144" t="n">
        <v>0</v>
      </c>
      <c r="K144" t="n">
        <v>0</v>
      </c>
      <c r="L144" t="n">
        <v>0</v>
      </c>
      <c r="M144" t="n">
        <v>0</v>
      </c>
      <c r="N144" t="n">
        <v>0</v>
      </c>
      <c r="O144" t="n">
        <v>0</v>
      </c>
      <c r="P144" t="n">
        <v>0</v>
      </c>
      <c r="Q144" t="n">
        <v>0</v>
      </c>
      <c r="R144" s="2" t="inlineStr"/>
    </row>
    <row r="145" ht="15" customHeight="1">
      <c r="A145" t="inlineStr">
        <is>
          <t>A 23648-2023</t>
        </is>
      </c>
      <c r="B145" s="1" t="n">
        <v>45077.54615740741</v>
      </c>
      <c r="C145" s="1" t="n">
        <v>46128</v>
      </c>
      <c r="D145" t="inlineStr">
        <is>
          <t>VÄSTERBOTTENS LÄN</t>
        </is>
      </c>
      <c r="E145" t="inlineStr">
        <is>
          <t>ÅSELE</t>
        </is>
      </c>
      <c r="F145" t="inlineStr">
        <is>
          <t>Naturvårdsverket</t>
        </is>
      </c>
      <c r="G145" t="n">
        <v>1.4</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46128</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32359-2022</t>
        </is>
      </c>
      <c r="B147" s="1" t="n">
        <v>44781</v>
      </c>
      <c r="C147" s="1" t="n">
        <v>46128</v>
      </c>
      <c r="D147" t="inlineStr">
        <is>
          <t>VÄSTERBOTTENS LÄN</t>
        </is>
      </c>
      <c r="E147" t="inlineStr">
        <is>
          <t>ÅSELE</t>
        </is>
      </c>
      <c r="F147" t="inlineStr">
        <is>
          <t>SCA</t>
        </is>
      </c>
      <c r="G147" t="n">
        <v>11.8</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46128</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46128</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1640-2025</t>
        </is>
      </c>
      <c r="B150" s="1" t="n">
        <v>45670</v>
      </c>
      <c r="C150" s="1" t="n">
        <v>46128</v>
      </c>
      <c r="D150" t="inlineStr">
        <is>
          <t>VÄSTERBOTTENS LÄN</t>
        </is>
      </c>
      <c r="E150" t="inlineStr">
        <is>
          <t>ÅSELE</t>
        </is>
      </c>
      <c r="G150" t="n">
        <v>2.9</v>
      </c>
      <c r="H150" t="n">
        <v>0</v>
      </c>
      <c r="I150" t="n">
        <v>0</v>
      </c>
      <c r="J150" t="n">
        <v>0</v>
      </c>
      <c r="K150" t="n">
        <v>0</v>
      </c>
      <c r="L150" t="n">
        <v>0</v>
      </c>
      <c r="M150" t="n">
        <v>0</v>
      </c>
      <c r="N150" t="n">
        <v>0</v>
      </c>
      <c r="O150" t="n">
        <v>0</v>
      </c>
      <c r="P150" t="n">
        <v>0</v>
      </c>
      <c r="Q150" t="n">
        <v>0</v>
      </c>
      <c r="R150" s="2" t="inlineStr"/>
    </row>
    <row r="151" ht="15" customHeight="1">
      <c r="A151" t="inlineStr">
        <is>
          <t>A 18317-2025</t>
        </is>
      </c>
      <c r="B151" s="1" t="n">
        <v>45762.45550925926</v>
      </c>
      <c r="C151" s="1" t="n">
        <v>46128</v>
      </c>
      <c r="D151" t="inlineStr">
        <is>
          <t>VÄSTERBOTTENS LÄN</t>
        </is>
      </c>
      <c r="E151" t="inlineStr">
        <is>
          <t>ÅSELE</t>
        </is>
      </c>
      <c r="G151" t="n">
        <v>1.1</v>
      </c>
      <c r="H151" t="n">
        <v>0</v>
      </c>
      <c r="I151" t="n">
        <v>0</v>
      </c>
      <c r="J151" t="n">
        <v>0</v>
      </c>
      <c r="K151" t="n">
        <v>0</v>
      </c>
      <c r="L151" t="n">
        <v>0</v>
      </c>
      <c r="M151" t="n">
        <v>0</v>
      </c>
      <c r="N151" t="n">
        <v>0</v>
      </c>
      <c r="O151" t="n">
        <v>0</v>
      </c>
      <c r="P151" t="n">
        <v>0</v>
      </c>
      <c r="Q151" t="n">
        <v>0</v>
      </c>
      <c r="R151" s="2" t="inlineStr"/>
    </row>
    <row r="152" ht="15" customHeight="1">
      <c r="A152" t="inlineStr">
        <is>
          <t>A 61398-2022</t>
        </is>
      </c>
      <c r="B152" s="1" t="n">
        <v>44915.94388888889</v>
      </c>
      <c r="C152" s="1" t="n">
        <v>46128</v>
      </c>
      <c r="D152" t="inlineStr">
        <is>
          <t>VÄSTERBOTTENS LÄN</t>
        </is>
      </c>
      <c r="E152" t="inlineStr">
        <is>
          <t>ÅSELE</t>
        </is>
      </c>
      <c r="F152" t="inlineStr">
        <is>
          <t>SCA</t>
        </is>
      </c>
      <c r="G152" t="n">
        <v>7.2</v>
      </c>
      <c r="H152" t="n">
        <v>0</v>
      </c>
      <c r="I152" t="n">
        <v>0</v>
      </c>
      <c r="J152" t="n">
        <v>0</v>
      </c>
      <c r="K152" t="n">
        <v>0</v>
      </c>
      <c r="L152" t="n">
        <v>0</v>
      </c>
      <c r="M152" t="n">
        <v>0</v>
      </c>
      <c r="N152" t="n">
        <v>0</v>
      </c>
      <c r="O152" t="n">
        <v>0</v>
      </c>
      <c r="P152" t="n">
        <v>0</v>
      </c>
      <c r="Q152" t="n">
        <v>0</v>
      </c>
      <c r="R152" s="2" t="inlineStr"/>
    </row>
    <row r="153" ht="15" customHeight="1">
      <c r="A153" t="inlineStr">
        <is>
          <t>A 5022-2024</t>
        </is>
      </c>
      <c r="B153" s="1" t="n">
        <v>45329</v>
      </c>
      <c r="C153" s="1" t="n">
        <v>46128</v>
      </c>
      <c r="D153" t="inlineStr">
        <is>
          <t>VÄSTERBOTTENS LÄN</t>
        </is>
      </c>
      <c r="E153" t="inlineStr">
        <is>
          <t>ÅSELE</t>
        </is>
      </c>
      <c r="F153" t="inlineStr">
        <is>
          <t>Övriga Aktiebolag</t>
        </is>
      </c>
      <c r="G153" t="n">
        <v>1.9</v>
      </c>
      <c r="H153" t="n">
        <v>0</v>
      </c>
      <c r="I153" t="n">
        <v>0</v>
      </c>
      <c r="J153" t="n">
        <v>0</v>
      </c>
      <c r="K153" t="n">
        <v>0</v>
      </c>
      <c r="L153" t="n">
        <v>0</v>
      </c>
      <c r="M153" t="n">
        <v>0</v>
      </c>
      <c r="N153" t="n">
        <v>0</v>
      </c>
      <c r="O153" t="n">
        <v>0</v>
      </c>
      <c r="P153" t="n">
        <v>0</v>
      </c>
      <c r="Q153" t="n">
        <v>0</v>
      </c>
      <c r="R153" s="2" t="inlineStr"/>
    </row>
    <row r="154" ht="15" customHeight="1">
      <c r="A154" t="inlineStr">
        <is>
          <t>A 45475-2024</t>
        </is>
      </c>
      <c r="B154" s="1" t="n">
        <v>45576.82554398148</v>
      </c>
      <c r="C154" s="1" t="n">
        <v>46128</v>
      </c>
      <c r="D154" t="inlineStr">
        <is>
          <t>VÄSTERBOTTENS LÄN</t>
        </is>
      </c>
      <c r="E154" t="inlineStr">
        <is>
          <t>ÅSELE</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61289-2021</t>
        </is>
      </c>
      <c r="B155" s="1" t="n">
        <v>44498.61892361111</v>
      </c>
      <c r="C155" s="1" t="n">
        <v>46128</v>
      </c>
      <c r="D155" t="inlineStr">
        <is>
          <t>VÄSTERBOTTENS LÄN</t>
        </is>
      </c>
      <c r="E155" t="inlineStr">
        <is>
          <t>ÅSELE</t>
        </is>
      </c>
      <c r="F155" t="inlineStr">
        <is>
          <t>Sveaskog</t>
        </is>
      </c>
      <c r="G155" t="n">
        <v>3.3</v>
      </c>
      <c r="H155" t="n">
        <v>0</v>
      </c>
      <c r="I155" t="n">
        <v>0</v>
      </c>
      <c r="J155" t="n">
        <v>0</v>
      </c>
      <c r="K155" t="n">
        <v>0</v>
      </c>
      <c r="L155" t="n">
        <v>0</v>
      </c>
      <c r="M155" t="n">
        <v>0</v>
      </c>
      <c r="N155" t="n">
        <v>0</v>
      </c>
      <c r="O155" t="n">
        <v>0</v>
      </c>
      <c r="P155" t="n">
        <v>0</v>
      </c>
      <c r="Q155" t="n">
        <v>0</v>
      </c>
      <c r="R155" s="2" t="inlineStr"/>
    </row>
    <row r="156" ht="15" customHeight="1">
      <c r="A156" t="inlineStr">
        <is>
          <t>A 48250-2024</t>
        </is>
      </c>
      <c r="B156" s="1" t="n">
        <v>45590</v>
      </c>
      <c r="C156" s="1" t="n">
        <v>46128</v>
      </c>
      <c r="D156" t="inlineStr">
        <is>
          <t>VÄSTERBOTTENS LÄN</t>
        </is>
      </c>
      <c r="E156" t="inlineStr">
        <is>
          <t>ÅSELE</t>
        </is>
      </c>
      <c r="F156" t="inlineStr">
        <is>
          <t>SCA</t>
        </is>
      </c>
      <c r="G156" t="n">
        <v>3.6</v>
      </c>
      <c r="H156" t="n">
        <v>0</v>
      </c>
      <c r="I156" t="n">
        <v>0</v>
      </c>
      <c r="J156" t="n">
        <v>0</v>
      </c>
      <c r="K156" t="n">
        <v>0</v>
      </c>
      <c r="L156" t="n">
        <v>0</v>
      </c>
      <c r="M156" t="n">
        <v>0</v>
      </c>
      <c r="N156" t="n">
        <v>0</v>
      </c>
      <c r="O156" t="n">
        <v>0</v>
      </c>
      <c r="P156" t="n">
        <v>0</v>
      </c>
      <c r="Q156" t="n">
        <v>0</v>
      </c>
      <c r="R156" s="2" t="inlineStr"/>
    </row>
    <row r="157" ht="15" customHeight="1">
      <c r="A157" t="inlineStr">
        <is>
          <t>A 38460-2025</t>
        </is>
      </c>
      <c r="B157" s="1" t="n">
        <v>45883.71945601852</v>
      </c>
      <c r="C157" s="1" t="n">
        <v>46128</v>
      </c>
      <c r="D157" t="inlineStr">
        <is>
          <t>VÄSTERBOTTENS LÄN</t>
        </is>
      </c>
      <c r="E157" t="inlineStr">
        <is>
          <t>ÅSELE</t>
        </is>
      </c>
      <c r="F157" t="inlineStr">
        <is>
          <t>SCA</t>
        </is>
      </c>
      <c r="G157" t="n">
        <v>10.2</v>
      </c>
      <c r="H157" t="n">
        <v>0</v>
      </c>
      <c r="I157" t="n">
        <v>0</v>
      </c>
      <c r="J157" t="n">
        <v>0</v>
      </c>
      <c r="K157" t="n">
        <v>0</v>
      </c>
      <c r="L157" t="n">
        <v>0</v>
      </c>
      <c r="M157" t="n">
        <v>0</v>
      </c>
      <c r="N157" t="n">
        <v>0</v>
      </c>
      <c r="O157" t="n">
        <v>0</v>
      </c>
      <c r="P157" t="n">
        <v>0</v>
      </c>
      <c r="Q157" t="n">
        <v>0</v>
      </c>
      <c r="R157" s="2" t="inlineStr"/>
    </row>
    <row r="158" ht="15" customHeight="1">
      <c r="A158" t="inlineStr">
        <is>
          <t>A 8964-2025</t>
        </is>
      </c>
      <c r="B158" s="1" t="n">
        <v>45713</v>
      </c>
      <c r="C158" s="1" t="n">
        <v>46128</v>
      </c>
      <c r="D158" t="inlineStr">
        <is>
          <t>VÄSTERBOTTENS LÄN</t>
        </is>
      </c>
      <c r="E158" t="inlineStr">
        <is>
          <t>ÅSELE</t>
        </is>
      </c>
      <c r="F158" t="inlineStr">
        <is>
          <t>SCA</t>
        </is>
      </c>
      <c r="G158" t="n">
        <v>20.5</v>
      </c>
      <c r="H158" t="n">
        <v>0</v>
      </c>
      <c r="I158" t="n">
        <v>0</v>
      </c>
      <c r="J158" t="n">
        <v>0</v>
      </c>
      <c r="K158" t="n">
        <v>0</v>
      </c>
      <c r="L158" t="n">
        <v>0</v>
      </c>
      <c r="M158" t="n">
        <v>0</v>
      </c>
      <c r="N158" t="n">
        <v>0</v>
      </c>
      <c r="O158" t="n">
        <v>0</v>
      </c>
      <c r="P158" t="n">
        <v>0</v>
      </c>
      <c r="Q158" t="n">
        <v>0</v>
      </c>
      <c r="R158" s="2" t="inlineStr"/>
    </row>
    <row r="159" ht="15" customHeight="1">
      <c r="A159" t="inlineStr">
        <is>
          <t>A 22011-2022</t>
        </is>
      </c>
      <c r="B159" s="1" t="n">
        <v>44711</v>
      </c>
      <c r="C159" s="1" t="n">
        <v>46128</v>
      </c>
      <c r="D159" t="inlineStr">
        <is>
          <t>VÄSTERBOTTENS LÄN</t>
        </is>
      </c>
      <c r="E159" t="inlineStr">
        <is>
          <t>ÅSELE</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61800-2023</t>
        </is>
      </c>
      <c r="B160" s="1" t="n">
        <v>45265.95873842593</v>
      </c>
      <c r="C160" s="1" t="n">
        <v>46128</v>
      </c>
      <c r="D160" t="inlineStr">
        <is>
          <t>VÄSTERBOTTENS LÄN</t>
        </is>
      </c>
      <c r="E160" t="inlineStr">
        <is>
          <t>ÅSELE</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38979-2022</t>
        </is>
      </c>
      <c r="B161" s="1" t="n">
        <v>44816</v>
      </c>
      <c r="C161" s="1" t="n">
        <v>46128</v>
      </c>
      <c r="D161" t="inlineStr">
        <is>
          <t>VÄSTERBOTTENS LÄN</t>
        </is>
      </c>
      <c r="E161" t="inlineStr">
        <is>
          <t>ÅSELE</t>
        </is>
      </c>
      <c r="F161" t="inlineStr">
        <is>
          <t>Sveaskog</t>
        </is>
      </c>
      <c r="G161" t="n">
        <v>11.1</v>
      </c>
      <c r="H161" t="n">
        <v>0</v>
      </c>
      <c r="I161" t="n">
        <v>0</v>
      </c>
      <c r="J161" t="n">
        <v>0</v>
      </c>
      <c r="K161" t="n">
        <v>0</v>
      </c>
      <c r="L161" t="n">
        <v>0</v>
      </c>
      <c r="M161" t="n">
        <v>0</v>
      </c>
      <c r="N161" t="n">
        <v>0</v>
      </c>
      <c r="O161" t="n">
        <v>0</v>
      </c>
      <c r="P161" t="n">
        <v>0</v>
      </c>
      <c r="Q161" t="n">
        <v>0</v>
      </c>
      <c r="R161" s="2" t="inlineStr"/>
    </row>
    <row r="162" ht="15" customHeight="1">
      <c r="A162" t="inlineStr">
        <is>
          <t>A 57498-2024</t>
        </is>
      </c>
      <c r="B162" s="1" t="n">
        <v>45629</v>
      </c>
      <c r="C162" s="1" t="n">
        <v>46128</v>
      </c>
      <c r="D162" t="inlineStr">
        <is>
          <t>VÄSTERBOTTENS LÄN</t>
        </is>
      </c>
      <c r="E162" t="inlineStr">
        <is>
          <t>ÅSELE</t>
        </is>
      </c>
      <c r="G162" t="n">
        <v>3.5</v>
      </c>
      <c r="H162" t="n">
        <v>0</v>
      </c>
      <c r="I162" t="n">
        <v>0</v>
      </c>
      <c r="J162" t="n">
        <v>0</v>
      </c>
      <c r="K162" t="n">
        <v>0</v>
      </c>
      <c r="L162" t="n">
        <v>0</v>
      </c>
      <c r="M162" t="n">
        <v>0</v>
      </c>
      <c r="N162" t="n">
        <v>0</v>
      </c>
      <c r="O162" t="n">
        <v>0</v>
      </c>
      <c r="P162" t="n">
        <v>0</v>
      </c>
      <c r="Q162" t="n">
        <v>0</v>
      </c>
      <c r="R162" s="2" t="inlineStr"/>
    </row>
    <row r="163" ht="15" customHeight="1">
      <c r="A163" t="inlineStr">
        <is>
          <t>A 25553-2024</t>
        </is>
      </c>
      <c r="B163" s="1" t="n">
        <v>45463.57846064815</v>
      </c>
      <c r="C163" s="1" t="n">
        <v>46128</v>
      </c>
      <c r="D163" t="inlineStr">
        <is>
          <t>VÄSTERBOTTENS LÄN</t>
        </is>
      </c>
      <c r="E163" t="inlineStr">
        <is>
          <t>ÅSELE</t>
        </is>
      </c>
      <c r="F163" t="inlineStr">
        <is>
          <t>Sveaskog</t>
        </is>
      </c>
      <c r="G163" t="n">
        <v>13.5</v>
      </c>
      <c r="H163" t="n">
        <v>0</v>
      </c>
      <c r="I163" t="n">
        <v>0</v>
      </c>
      <c r="J163" t="n">
        <v>0</v>
      </c>
      <c r="K163" t="n">
        <v>0</v>
      </c>
      <c r="L163" t="n">
        <v>0</v>
      </c>
      <c r="M163" t="n">
        <v>0</v>
      </c>
      <c r="N163" t="n">
        <v>0</v>
      </c>
      <c r="O163" t="n">
        <v>0</v>
      </c>
      <c r="P163" t="n">
        <v>0</v>
      </c>
      <c r="Q163" t="n">
        <v>0</v>
      </c>
      <c r="R163" s="2" t="inlineStr"/>
    </row>
    <row r="164" ht="15" customHeight="1">
      <c r="A164" t="inlineStr">
        <is>
          <t>A 21117-2022</t>
        </is>
      </c>
      <c r="B164" s="1" t="n">
        <v>44704.59678240741</v>
      </c>
      <c r="C164" s="1" t="n">
        <v>46128</v>
      </c>
      <c r="D164" t="inlineStr">
        <is>
          <t>VÄSTERBOTTENS LÄN</t>
        </is>
      </c>
      <c r="E164" t="inlineStr">
        <is>
          <t>ÅSELE</t>
        </is>
      </c>
      <c r="F164" t="inlineStr">
        <is>
          <t>Holmen skog AB</t>
        </is>
      </c>
      <c r="G164" t="n">
        <v>9.4</v>
      </c>
      <c r="H164" t="n">
        <v>0</v>
      </c>
      <c r="I164" t="n">
        <v>0</v>
      </c>
      <c r="J164" t="n">
        <v>0</v>
      </c>
      <c r="K164" t="n">
        <v>0</v>
      </c>
      <c r="L164" t="n">
        <v>0</v>
      </c>
      <c r="M164" t="n">
        <v>0</v>
      </c>
      <c r="N164" t="n">
        <v>0</v>
      </c>
      <c r="O164" t="n">
        <v>0</v>
      </c>
      <c r="P164" t="n">
        <v>0</v>
      </c>
      <c r="Q164" t="n">
        <v>0</v>
      </c>
      <c r="R164" s="2" t="inlineStr"/>
    </row>
    <row r="165" ht="15" customHeight="1">
      <c r="A165" t="inlineStr">
        <is>
          <t>A 21131-2022</t>
        </is>
      </c>
      <c r="B165" s="1" t="n">
        <v>44704.6177662037</v>
      </c>
      <c r="C165" s="1" t="n">
        <v>46128</v>
      </c>
      <c r="D165" t="inlineStr">
        <is>
          <t>VÄSTERBOTTENS LÄN</t>
        </is>
      </c>
      <c r="E165" t="inlineStr">
        <is>
          <t>ÅSELE</t>
        </is>
      </c>
      <c r="F165" t="inlineStr">
        <is>
          <t>Holmen skog AB</t>
        </is>
      </c>
      <c r="G165" t="n">
        <v>2.2</v>
      </c>
      <c r="H165" t="n">
        <v>0</v>
      </c>
      <c r="I165" t="n">
        <v>0</v>
      </c>
      <c r="J165" t="n">
        <v>0</v>
      </c>
      <c r="K165" t="n">
        <v>0</v>
      </c>
      <c r="L165" t="n">
        <v>0</v>
      </c>
      <c r="M165" t="n">
        <v>0</v>
      </c>
      <c r="N165" t="n">
        <v>0</v>
      </c>
      <c r="O165" t="n">
        <v>0</v>
      </c>
      <c r="P165" t="n">
        <v>0</v>
      </c>
      <c r="Q165" t="n">
        <v>0</v>
      </c>
      <c r="R165" s="2" t="inlineStr"/>
    </row>
    <row r="166" ht="15" customHeight="1">
      <c r="A166" t="inlineStr">
        <is>
          <t>A 48299-2024</t>
        </is>
      </c>
      <c r="B166" s="1" t="n">
        <v>45590</v>
      </c>
      <c r="C166" s="1" t="n">
        <v>46128</v>
      </c>
      <c r="D166" t="inlineStr">
        <is>
          <t>VÄSTERBOTTENS LÄN</t>
        </is>
      </c>
      <c r="E166" t="inlineStr">
        <is>
          <t>ÅSELE</t>
        </is>
      </c>
      <c r="G166" t="n">
        <v>0.9</v>
      </c>
      <c r="H166" t="n">
        <v>0</v>
      </c>
      <c r="I166" t="n">
        <v>0</v>
      </c>
      <c r="J166" t="n">
        <v>0</v>
      </c>
      <c r="K166" t="n">
        <v>0</v>
      </c>
      <c r="L166" t="n">
        <v>0</v>
      </c>
      <c r="M166" t="n">
        <v>0</v>
      </c>
      <c r="N166" t="n">
        <v>0</v>
      </c>
      <c r="O166" t="n">
        <v>0</v>
      </c>
      <c r="P166" t="n">
        <v>0</v>
      </c>
      <c r="Q166" t="n">
        <v>0</v>
      </c>
      <c r="R166" s="2" t="inlineStr"/>
    </row>
    <row r="167" ht="15" customHeight="1">
      <c r="A167" t="inlineStr">
        <is>
          <t>A 4084-2023</t>
        </is>
      </c>
      <c r="B167" s="1" t="n">
        <v>44952</v>
      </c>
      <c r="C167" s="1" t="n">
        <v>46128</v>
      </c>
      <c r="D167" t="inlineStr">
        <is>
          <t>VÄSTERBOTTENS LÄN</t>
        </is>
      </c>
      <c r="E167" t="inlineStr">
        <is>
          <t>ÅSELE</t>
        </is>
      </c>
      <c r="G167" t="n">
        <v>4.5</v>
      </c>
      <c r="H167" t="n">
        <v>0</v>
      </c>
      <c r="I167" t="n">
        <v>0</v>
      </c>
      <c r="J167" t="n">
        <v>0</v>
      </c>
      <c r="K167" t="n">
        <v>0</v>
      </c>
      <c r="L167" t="n">
        <v>0</v>
      </c>
      <c r="M167" t="n">
        <v>0</v>
      </c>
      <c r="N167" t="n">
        <v>0</v>
      </c>
      <c r="O167" t="n">
        <v>0</v>
      </c>
      <c r="P167" t="n">
        <v>0</v>
      </c>
      <c r="Q167" t="n">
        <v>0</v>
      </c>
      <c r="R167" s="2" t="inlineStr"/>
    </row>
    <row r="168" ht="15" customHeight="1">
      <c r="A168" t="inlineStr">
        <is>
          <t>A 57800-2023</t>
        </is>
      </c>
      <c r="B168" s="1" t="n">
        <v>45246.96921296296</v>
      </c>
      <c r="C168" s="1" t="n">
        <v>46128</v>
      </c>
      <c r="D168" t="inlineStr">
        <is>
          <t>VÄSTERBOTTENS LÄN</t>
        </is>
      </c>
      <c r="E168" t="inlineStr">
        <is>
          <t>ÅSELE</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18301-2025</t>
        </is>
      </c>
      <c r="B169" s="1" t="n">
        <v>45762.43146990741</v>
      </c>
      <c r="C169" s="1" t="n">
        <v>46128</v>
      </c>
      <c r="D169" t="inlineStr">
        <is>
          <t>VÄSTERBOTTENS LÄN</t>
        </is>
      </c>
      <c r="E169" t="inlineStr">
        <is>
          <t>ÅSELE</t>
        </is>
      </c>
      <c r="G169" t="n">
        <v>7.1</v>
      </c>
      <c r="H169" t="n">
        <v>0</v>
      </c>
      <c r="I169" t="n">
        <v>0</v>
      </c>
      <c r="J169" t="n">
        <v>0</v>
      </c>
      <c r="K169" t="n">
        <v>0</v>
      </c>
      <c r="L169" t="n">
        <v>0</v>
      </c>
      <c r="M169" t="n">
        <v>0</v>
      </c>
      <c r="N169" t="n">
        <v>0</v>
      </c>
      <c r="O169" t="n">
        <v>0</v>
      </c>
      <c r="P169" t="n">
        <v>0</v>
      </c>
      <c r="Q169" t="n">
        <v>0</v>
      </c>
      <c r="R169" s="2" t="inlineStr"/>
    </row>
    <row r="170" ht="15" customHeight="1">
      <c r="A170" t="inlineStr">
        <is>
          <t>A 26395-2023</t>
        </is>
      </c>
      <c r="B170" s="1" t="n">
        <v>45092.35770833334</v>
      </c>
      <c r="C170" s="1" t="n">
        <v>46128</v>
      </c>
      <c r="D170" t="inlineStr">
        <is>
          <t>VÄSTERBOTTENS LÄN</t>
        </is>
      </c>
      <c r="E170" t="inlineStr">
        <is>
          <t>ÅSELE</t>
        </is>
      </c>
      <c r="F170" t="inlineStr">
        <is>
          <t>Holmen skog AB</t>
        </is>
      </c>
      <c r="G170" t="n">
        <v>4.1</v>
      </c>
      <c r="H170" t="n">
        <v>0</v>
      </c>
      <c r="I170" t="n">
        <v>0</v>
      </c>
      <c r="J170" t="n">
        <v>0</v>
      </c>
      <c r="K170" t="n">
        <v>0</v>
      </c>
      <c r="L170" t="n">
        <v>0</v>
      </c>
      <c r="M170" t="n">
        <v>0</v>
      </c>
      <c r="N170" t="n">
        <v>0</v>
      </c>
      <c r="O170" t="n">
        <v>0</v>
      </c>
      <c r="P170" t="n">
        <v>0</v>
      </c>
      <c r="Q170" t="n">
        <v>0</v>
      </c>
      <c r="R170" s="2" t="inlineStr"/>
    </row>
    <row r="171" ht="15" customHeight="1">
      <c r="A171" t="inlineStr">
        <is>
          <t>A 41300-2024</t>
        </is>
      </c>
      <c r="B171" s="1" t="n">
        <v>45559.61655092592</v>
      </c>
      <c r="C171" s="1" t="n">
        <v>46128</v>
      </c>
      <c r="D171" t="inlineStr">
        <is>
          <t>VÄSTERBOTTENS LÄN</t>
        </is>
      </c>
      <c r="E171" t="inlineStr">
        <is>
          <t>ÅSELE</t>
        </is>
      </c>
      <c r="F171" t="inlineStr">
        <is>
          <t>Naturvårdsverket</t>
        </is>
      </c>
      <c r="G171" t="n">
        <v>3.1</v>
      </c>
      <c r="H171" t="n">
        <v>0</v>
      </c>
      <c r="I171" t="n">
        <v>0</v>
      </c>
      <c r="J171" t="n">
        <v>0</v>
      </c>
      <c r="K171" t="n">
        <v>0</v>
      </c>
      <c r="L171" t="n">
        <v>0</v>
      </c>
      <c r="M171" t="n">
        <v>0</v>
      </c>
      <c r="N171" t="n">
        <v>0</v>
      </c>
      <c r="O171" t="n">
        <v>0</v>
      </c>
      <c r="P171" t="n">
        <v>0</v>
      </c>
      <c r="Q171" t="n">
        <v>0</v>
      </c>
      <c r="R171" s="2" t="inlineStr"/>
    </row>
    <row r="172" ht="15" customHeight="1">
      <c r="A172" t="inlineStr">
        <is>
          <t>A 41321-2024</t>
        </is>
      </c>
      <c r="B172" s="1" t="n">
        <v>45559.64984953704</v>
      </c>
      <c r="C172" s="1" t="n">
        <v>46128</v>
      </c>
      <c r="D172" t="inlineStr">
        <is>
          <t>VÄSTERBOTTENS LÄN</t>
        </is>
      </c>
      <c r="E172" t="inlineStr">
        <is>
          <t>ÅSELE</t>
        </is>
      </c>
      <c r="F172" t="inlineStr">
        <is>
          <t>Naturvårdsverket</t>
        </is>
      </c>
      <c r="G172" t="n">
        <v>1.3</v>
      </c>
      <c r="H172" t="n">
        <v>0</v>
      </c>
      <c r="I172" t="n">
        <v>0</v>
      </c>
      <c r="J172" t="n">
        <v>0</v>
      </c>
      <c r="K172" t="n">
        <v>0</v>
      </c>
      <c r="L172" t="n">
        <v>0</v>
      </c>
      <c r="M172" t="n">
        <v>0</v>
      </c>
      <c r="N172" t="n">
        <v>0</v>
      </c>
      <c r="O172" t="n">
        <v>0</v>
      </c>
      <c r="P172" t="n">
        <v>0</v>
      </c>
      <c r="Q172" t="n">
        <v>0</v>
      </c>
      <c r="R172" s="2" t="inlineStr"/>
    </row>
    <row r="173" ht="15" customHeight="1">
      <c r="A173" t="inlineStr">
        <is>
          <t>A 22739-2023</t>
        </is>
      </c>
      <c r="B173" s="1" t="n">
        <v>45071.92619212963</v>
      </c>
      <c r="C173" s="1" t="n">
        <v>46128</v>
      </c>
      <c r="D173" t="inlineStr">
        <is>
          <t>VÄSTERBOTTENS LÄN</t>
        </is>
      </c>
      <c r="E173" t="inlineStr">
        <is>
          <t>ÅSELE</t>
        </is>
      </c>
      <c r="G173" t="n">
        <v>4.1</v>
      </c>
      <c r="H173" t="n">
        <v>0</v>
      </c>
      <c r="I173" t="n">
        <v>0</v>
      </c>
      <c r="J173" t="n">
        <v>0</v>
      </c>
      <c r="K173" t="n">
        <v>0</v>
      </c>
      <c r="L173" t="n">
        <v>0</v>
      </c>
      <c r="M173" t="n">
        <v>0</v>
      </c>
      <c r="N173" t="n">
        <v>0</v>
      </c>
      <c r="O173" t="n">
        <v>0</v>
      </c>
      <c r="P173" t="n">
        <v>0</v>
      </c>
      <c r="Q173" t="n">
        <v>0</v>
      </c>
      <c r="R173" s="2" t="inlineStr"/>
    </row>
    <row r="174" ht="15" customHeight="1">
      <c r="A174" t="inlineStr">
        <is>
          <t>A 38616-2025</t>
        </is>
      </c>
      <c r="B174" s="1" t="n">
        <v>45884.54922453704</v>
      </c>
      <c r="C174" s="1" t="n">
        <v>46128</v>
      </c>
      <c r="D174" t="inlineStr">
        <is>
          <t>VÄSTERBOTTENS LÄN</t>
        </is>
      </c>
      <c r="E174" t="inlineStr">
        <is>
          <t>ÅSELE</t>
        </is>
      </c>
      <c r="G174" t="n">
        <v>1.6</v>
      </c>
      <c r="H174" t="n">
        <v>0</v>
      </c>
      <c r="I174" t="n">
        <v>0</v>
      </c>
      <c r="J174" t="n">
        <v>0</v>
      </c>
      <c r="K174" t="n">
        <v>0</v>
      </c>
      <c r="L174" t="n">
        <v>0</v>
      </c>
      <c r="M174" t="n">
        <v>0</v>
      </c>
      <c r="N174" t="n">
        <v>0</v>
      </c>
      <c r="O174" t="n">
        <v>0</v>
      </c>
      <c r="P174" t="n">
        <v>0</v>
      </c>
      <c r="Q174" t="n">
        <v>0</v>
      </c>
      <c r="R174" s="2" t="inlineStr"/>
    </row>
    <row r="175" ht="15" customHeight="1">
      <c r="A175" t="inlineStr">
        <is>
          <t>A 38418-2025</t>
        </is>
      </c>
      <c r="B175" s="1" t="n">
        <v>45883.61994212963</v>
      </c>
      <c r="C175" s="1" t="n">
        <v>46128</v>
      </c>
      <c r="D175" t="inlineStr">
        <is>
          <t>VÄSTERBOTTENS LÄN</t>
        </is>
      </c>
      <c r="E175" t="inlineStr">
        <is>
          <t>ÅSELE</t>
        </is>
      </c>
      <c r="F175" t="inlineStr">
        <is>
          <t>Holmen skog AB</t>
        </is>
      </c>
      <c r="G175" t="n">
        <v>2.4</v>
      </c>
      <c r="H175" t="n">
        <v>0</v>
      </c>
      <c r="I175" t="n">
        <v>0</v>
      </c>
      <c r="J175" t="n">
        <v>0</v>
      </c>
      <c r="K175" t="n">
        <v>0</v>
      </c>
      <c r="L175" t="n">
        <v>0</v>
      </c>
      <c r="M175" t="n">
        <v>0</v>
      </c>
      <c r="N175" t="n">
        <v>0</v>
      </c>
      <c r="O175" t="n">
        <v>0</v>
      </c>
      <c r="P175" t="n">
        <v>0</v>
      </c>
      <c r="Q175" t="n">
        <v>0</v>
      </c>
      <c r="R175" s="2" t="inlineStr"/>
    </row>
    <row r="176" ht="15" customHeight="1">
      <c r="A176" t="inlineStr">
        <is>
          <t>A 53018-2024</t>
        </is>
      </c>
      <c r="B176" s="1" t="n">
        <v>45611</v>
      </c>
      <c r="C176" s="1" t="n">
        <v>46128</v>
      </c>
      <c r="D176" t="inlineStr">
        <is>
          <t>VÄSTERBOTTENS LÄN</t>
        </is>
      </c>
      <c r="E176" t="inlineStr">
        <is>
          <t>ÅSELE</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38451-2025</t>
        </is>
      </c>
      <c r="B177" s="1" t="n">
        <v>45883.67800925926</v>
      </c>
      <c r="C177" s="1" t="n">
        <v>46128</v>
      </c>
      <c r="D177" t="inlineStr">
        <is>
          <t>VÄSTERBOTTENS LÄN</t>
        </is>
      </c>
      <c r="E177" t="inlineStr">
        <is>
          <t>ÅSELE</t>
        </is>
      </c>
      <c r="F177" t="inlineStr">
        <is>
          <t>SCA</t>
        </is>
      </c>
      <c r="G177" t="n">
        <v>2.1</v>
      </c>
      <c r="H177" t="n">
        <v>0</v>
      </c>
      <c r="I177" t="n">
        <v>0</v>
      </c>
      <c r="J177" t="n">
        <v>0</v>
      </c>
      <c r="K177" t="n">
        <v>0</v>
      </c>
      <c r="L177" t="n">
        <v>0</v>
      </c>
      <c r="M177" t="n">
        <v>0</v>
      </c>
      <c r="N177" t="n">
        <v>0</v>
      </c>
      <c r="O177" t="n">
        <v>0</v>
      </c>
      <c r="P177" t="n">
        <v>0</v>
      </c>
      <c r="Q177" t="n">
        <v>0</v>
      </c>
      <c r="R177" s="2" t="inlineStr"/>
    </row>
    <row r="178" ht="15" customHeight="1">
      <c r="A178" t="inlineStr">
        <is>
          <t>A 38452-2025</t>
        </is>
      </c>
      <c r="B178" s="1" t="n">
        <v>45883.67813657408</v>
      </c>
      <c r="C178" s="1" t="n">
        <v>46128</v>
      </c>
      <c r="D178" t="inlineStr">
        <is>
          <t>VÄSTERBOTTENS LÄN</t>
        </is>
      </c>
      <c r="E178" t="inlineStr">
        <is>
          <t>ÅSELE</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20068-2022</t>
        </is>
      </c>
      <c r="B179" s="1" t="n">
        <v>44697</v>
      </c>
      <c r="C179" s="1" t="n">
        <v>46128</v>
      </c>
      <c r="D179" t="inlineStr">
        <is>
          <t>VÄSTERBOTTENS LÄN</t>
        </is>
      </c>
      <c r="E179" t="inlineStr">
        <is>
          <t>ÅSELE</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20154-2025</t>
        </is>
      </c>
      <c r="B180" s="1" t="n">
        <v>45772.55646990741</v>
      </c>
      <c r="C180" s="1" t="n">
        <v>46128</v>
      </c>
      <c r="D180" t="inlineStr">
        <is>
          <t>VÄSTERBOTTENS LÄN</t>
        </is>
      </c>
      <c r="E180" t="inlineStr">
        <is>
          <t>ÅSELE</t>
        </is>
      </c>
      <c r="F180" t="inlineStr">
        <is>
          <t>Holmen skog AB</t>
        </is>
      </c>
      <c r="G180" t="n">
        <v>6.3</v>
      </c>
      <c r="H180" t="n">
        <v>0</v>
      </c>
      <c r="I180" t="n">
        <v>0</v>
      </c>
      <c r="J180" t="n">
        <v>0</v>
      </c>
      <c r="K180" t="n">
        <v>0</v>
      </c>
      <c r="L180" t="n">
        <v>0</v>
      </c>
      <c r="M180" t="n">
        <v>0</v>
      </c>
      <c r="N180" t="n">
        <v>0</v>
      </c>
      <c r="O180" t="n">
        <v>0</v>
      </c>
      <c r="P180" t="n">
        <v>0</v>
      </c>
      <c r="Q180" t="n">
        <v>0</v>
      </c>
      <c r="R180" s="2" t="inlineStr"/>
    </row>
    <row r="181" ht="15" customHeight="1">
      <c r="A181" t="inlineStr">
        <is>
          <t>A 38449-2025</t>
        </is>
      </c>
      <c r="B181" s="1" t="n">
        <v>45883.67765046296</v>
      </c>
      <c r="C181" s="1" t="n">
        <v>46128</v>
      </c>
      <c r="D181" t="inlineStr">
        <is>
          <t>VÄSTERBOTTENS LÄN</t>
        </is>
      </c>
      <c r="E181" t="inlineStr">
        <is>
          <t>ÅSELE</t>
        </is>
      </c>
      <c r="F181" t="inlineStr">
        <is>
          <t>SCA</t>
        </is>
      </c>
      <c r="G181" t="n">
        <v>6.4</v>
      </c>
      <c r="H181" t="n">
        <v>0</v>
      </c>
      <c r="I181" t="n">
        <v>0</v>
      </c>
      <c r="J181" t="n">
        <v>0</v>
      </c>
      <c r="K181" t="n">
        <v>0</v>
      </c>
      <c r="L181" t="n">
        <v>0</v>
      </c>
      <c r="M181" t="n">
        <v>0</v>
      </c>
      <c r="N181" t="n">
        <v>0</v>
      </c>
      <c r="O181" t="n">
        <v>0</v>
      </c>
      <c r="P181" t="n">
        <v>0</v>
      </c>
      <c r="Q181" t="n">
        <v>0</v>
      </c>
      <c r="R181" s="2" t="inlineStr"/>
    </row>
    <row r="182" ht="15" customHeight="1">
      <c r="A182" t="inlineStr">
        <is>
          <t>A 13348-2023</t>
        </is>
      </c>
      <c r="B182" s="1" t="n">
        <v>45005</v>
      </c>
      <c r="C182" s="1" t="n">
        <v>46128</v>
      </c>
      <c r="D182" t="inlineStr">
        <is>
          <t>VÄSTERBOTTENS LÄN</t>
        </is>
      </c>
      <c r="E182" t="inlineStr">
        <is>
          <t>ÅSELE</t>
        </is>
      </c>
      <c r="G182" t="n">
        <v>4.5</v>
      </c>
      <c r="H182" t="n">
        <v>0</v>
      </c>
      <c r="I182" t="n">
        <v>0</v>
      </c>
      <c r="J182" t="n">
        <v>0</v>
      </c>
      <c r="K182" t="n">
        <v>0</v>
      </c>
      <c r="L182" t="n">
        <v>0</v>
      </c>
      <c r="M182" t="n">
        <v>0</v>
      </c>
      <c r="N182" t="n">
        <v>0</v>
      </c>
      <c r="O182" t="n">
        <v>0</v>
      </c>
      <c r="P182" t="n">
        <v>0</v>
      </c>
      <c r="Q182" t="n">
        <v>0</v>
      </c>
      <c r="R182" s="2" t="inlineStr"/>
    </row>
    <row r="183" ht="15" customHeight="1">
      <c r="A183" t="inlineStr">
        <is>
          <t>A 30588-2024</t>
        </is>
      </c>
      <c r="B183" s="1" t="n">
        <v>45492</v>
      </c>
      <c r="C183" s="1" t="n">
        <v>46128</v>
      </c>
      <c r="D183" t="inlineStr">
        <is>
          <t>VÄSTERBOTTENS LÄN</t>
        </is>
      </c>
      <c r="E183" t="inlineStr">
        <is>
          <t>ÅSELE</t>
        </is>
      </c>
      <c r="F183" t="inlineStr">
        <is>
          <t>SCA</t>
        </is>
      </c>
      <c r="G183" t="n">
        <v>1.7</v>
      </c>
      <c r="H183" t="n">
        <v>0</v>
      </c>
      <c r="I183" t="n">
        <v>0</v>
      </c>
      <c r="J183" t="n">
        <v>0</v>
      </c>
      <c r="K183" t="n">
        <v>0</v>
      </c>
      <c r="L183" t="n">
        <v>0</v>
      </c>
      <c r="M183" t="n">
        <v>0</v>
      </c>
      <c r="N183" t="n">
        <v>0</v>
      </c>
      <c r="O183" t="n">
        <v>0</v>
      </c>
      <c r="P183" t="n">
        <v>0</v>
      </c>
      <c r="Q183" t="n">
        <v>0</v>
      </c>
      <c r="R183" s="2" t="inlineStr"/>
    </row>
    <row r="184" ht="15" customHeight="1">
      <c r="A184" t="inlineStr">
        <is>
          <t>A 38222-2025</t>
        </is>
      </c>
      <c r="B184" s="1" t="n">
        <v>45883.34452546296</v>
      </c>
      <c r="C184" s="1" t="n">
        <v>46128</v>
      </c>
      <c r="D184" t="inlineStr">
        <is>
          <t>VÄSTERBOTTENS LÄN</t>
        </is>
      </c>
      <c r="E184" t="inlineStr">
        <is>
          <t>ÅSELE</t>
        </is>
      </c>
      <c r="F184" t="inlineStr">
        <is>
          <t>SCA</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37822-2025</t>
        </is>
      </c>
      <c r="B185" s="1" t="n">
        <v>45881.40665509259</v>
      </c>
      <c r="C185" s="1" t="n">
        <v>46128</v>
      </c>
      <c r="D185" t="inlineStr">
        <is>
          <t>VÄSTERBOTTENS LÄN</t>
        </is>
      </c>
      <c r="E185" t="inlineStr">
        <is>
          <t>ÅSELE</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37849-2025</t>
        </is>
      </c>
      <c r="B186" s="1" t="n">
        <v>45881.44828703703</v>
      </c>
      <c r="C186" s="1" t="n">
        <v>46128</v>
      </c>
      <c r="D186" t="inlineStr">
        <is>
          <t>VÄSTERBOTTENS LÄN</t>
        </is>
      </c>
      <c r="E186" t="inlineStr">
        <is>
          <t>ÅSELE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54958-2024</t>
        </is>
      </c>
      <c r="B187" s="1" t="n">
        <v>45619.7193287037</v>
      </c>
      <c r="C187" s="1" t="n">
        <v>46128</v>
      </c>
      <c r="D187" t="inlineStr">
        <is>
          <t>VÄSTERBOTTENS LÄN</t>
        </is>
      </c>
      <c r="E187" t="inlineStr">
        <is>
          <t>ÅSELE</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28087-2023</t>
        </is>
      </c>
      <c r="B188" s="1" t="n">
        <v>45099</v>
      </c>
      <c r="C188" s="1" t="n">
        <v>46128</v>
      </c>
      <c r="D188" t="inlineStr">
        <is>
          <t>VÄSTERBOTTENS LÄN</t>
        </is>
      </c>
      <c r="E188" t="inlineStr">
        <is>
          <t>ÅSELE</t>
        </is>
      </c>
      <c r="F188" t="inlineStr">
        <is>
          <t>Holmen skog AB</t>
        </is>
      </c>
      <c r="G188" t="n">
        <v>2.3</v>
      </c>
      <c r="H188" t="n">
        <v>0</v>
      </c>
      <c r="I188" t="n">
        <v>0</v>
      </c>
      <c r="J188" t="n">
        <v>0</v>
      </c>
      <c r="K188" t="n">
        <v>0</v>
      </c>
      <c r="L188" t="n">
        <v>0</v>
      </c>
      <c r="M188" t="n">
        <v>0</v>
      </c>
      <c r="N188" t="n">
        <v>0</v>
      </c>
      <c r="O188" t="n">
        <v>0</v>
      </c>
      <c r="P188" t="n">
        <v>0</v>
      </c>
      <c r="Q188" t="n">
        <v>0</v>
      </c>
      <c r="R188" s="2" t="inlineStr"/>
    </row>
    <row r="189" ht="15" customHeight="1">
      <c r="A189" t="inlineStr">
        <is>
          <t>A 55623-2024</t>
        </is>
      </c>
      <c r="B189" s="1" t="n">
        <v>45622.59480324074</v>
      </c>
      <c r="C189" s="1" t="n">
        <v>46128</v>
      </c>
      <c r="D189" t="inlineStr">
        <is>
          <t>VÄSTERBOTTENS LÄN</t>
        </is>
      </c>
      <c r="E189" t="inlineStr">
        <is>
          <t>ÅSELE</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39401-2022</t>
        </is>
      </c>
      <c r="B190" s="1" t="n">
        <v>44817.94894675926</v>
      </c>
      <c r="C190" s="1" t="n">
        <v>46128</v>
      </c>
      <c r="D190" t="inlineStr">
        <is>
          <t>VÄSTERBOTTENS LÄN</t>
        </is>
      </c>
      <c r="E190" t="inlineStr">
        <is>
          <t>ÅSELE</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28955-2024</t>
        </is>
      </c>
      <c r="B191" s="1" t="n">
        <v>45481</v>
      </c>
      <c r="C191" s="1" t="n">
        <v>46128</v>
      </c>
      <c r="D191" t="inlineStr">
        <is>
          <t>VÄSTERBOTTENS LÄN</t>
        </is>
      </c>
      <c r="E191" t="inlineStr">
        <is>
          <t>ÅSELE</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28960-2024</t>
        </is>
      </c>
      <c r="B192" s="1" t="n">
        <v>45481</v>
      </c>
      <c r="C192" s="1" t="n">
        <v>46128</v>
      </c>
      <c r="D192" t="inlineStr">
        <is>
          <t>VÄSTERBOTTENS LÄN</t>
        </is>
      </c>
      <c r="E192" t="inlineStr">
        <is>
          <t>ÅSELE</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28961-2024</t>
        </is>
      </c>
      <c r="B193" s="1" t="n">
        <v>45481</v>
      </c>
      <c r="C193" s="1" t="n">
        <v>46128</v>
      </c>
      <c r="D193" t="inlineStr">
        <is>
          <t>VÄSTERBOTTENS LÄN</t>
        </is>
      </c>
      <c r="E193" t="inlineStr">
        <is>
          <t>ÅSELE</t>
        </is>
      </c>
      <c r="F193" t="inlineStr">
        <is>
          <t>Sveaskog</t>
        </is>
      </c>
      <c r="G193" t="n">
        <v>4.1</v>
      </c>
      <c r="H193" t="n">
        <v>0</v>
      </c>
      <c r="I193" t="n">
        <v>0</v>
      </c>
      <c r="J193" t="n">
        <v>0</v>
      </c>
      <c r="K193" t="n">
        <v>0</v>
      </c>
      <c r="L193" t="n">
        <v>0</v>
      </c>
      <c r="M193" t="n">
        <v>0</v>
      </c>
      <c r="N193" t="n">
        <v>0</v>
      </c>
      <c r="O193" t="n">
        <v>0</v>
      </c>
      <c r="P193" t="n">
        <v>0</v>
      </c>
      <c r="Q193" t="n">
        <v>0</v>
      </c>
      <c r="R193" s="2" t="inlineStr"/>
    </row>
    <row r="194" ht="15" customHeight="1">
      <c r="A194" t="inlineStr">
        <is>
          <t>A 5012-2024</t>
        </is>
      </c>
      <c r="B194" s="1" t="n">
        <v>45329</v>
      </c>
      <c r="C194" s="1" t="n">
        <v>46128</v>
      </c>
      <c r="D194" t="inlineStr">
        <is>
          <t>VÄSTERBOTTENS LÄN</t>
        </is>
      </c>
      <c r="E194" t="inlineStr">
        <is>
          <t>ÅSELE</t>
        </is>
      </c>
      <c r="F194" t="inlineStr">
        <is>
          <t>Övriga Aktiebolag</t>
        </is>
      </c>
      <c r="G194" t="n">
        <v>2.4</v>
      </c>
      <c r="H194" t="n">
        <v>0</v>
      </c>
      <c r="I194" t="n">
        <v>0</v>
      </c>
      <c r="J194" t="n">
        <v>0</v>
      </c>
      <c r="K194" t="n">
        <v>0</v>
      </c>
      <c r="L194" t="n">
        <v>0</v>
      </c>
      <c r="M194" t="n">
        <v>0</v>
      </c>
      <c r="N194" t="n">
        <v>0</v>
      </c>
      <c r="O194" t="n">
        <v>0</v>
      </c>
      <c r="P194" t="n">
        <v>0</v>
      </c>
      <c r="Q194" t="n">
        <v>0</v>
      </c>
      <c r="R194" s="2" t="inlineStr"/>
    </row>
    <row r="195" ht="15" customHeight="1">
      <c r="A195" t="inlineStr">
        <is>
          <t>A 35950-2023</t>
        </is>
      </c>
      <c r="B195" s="1" t="n">
        <v>45148</v>
      </c>
      <c r="C195" s="1" t="n">
        <v>46128</v>
      </c>
      <c r="D195" t="inlineStr">
        <is>
          <t>VÄSTERBOTTENS LÄN</t>
        </is>
      </c>
      <c r="E195" t="inlineStr">
        <is>
          <t>ÅSELE</t>
        </is>
      </c>
      <c r="G195" t="n">
        <v>1.9</v>
      </c>
      <c r="H195" t="n">
        <v>0</v>
      </c>
      <c r="I195" t="n">
        <v>0</v>
      </c>
      <c r="J195" t="n">
        <v>0</v>
      </c>
      <c r="K195" t="n">
        <v>0</v>
      </c>
      <c r="L195" t="n">
        <v>0</v>
      </c>
      <c r="M195" t="n">
        <v>0</v>
      </c>
      <c r="N195" t="n">
        <v>0</v>
      </c>
      <c r="O195" t="n">
        <v>0</v>
      </c>
      <c r="P195" t="n">
        <v>0</v>
      </c>
      <c r="Q195" t="n">
        <v>0</v>
      </c>
      <c r="R195" s="2" t="inlineStr"/>
    </row>
    <row r="196" ht="15" customHeight="1">
      <c r="A196" t="inlineStr">
        <is>
          <t>A 28609-2021</t>
        </is>
      </c>
      <c r="B196" s="1" t="n">
        <v>44356.93478009259</v>
      </c>
      <c r="C196" s="1" t="n">
        <v>46128</v>
      </c>
      <c r="D196" t="inlineStr">
        <is>
          <t>VÄSTERBOTTENS LÄN</t>
        </is>
      </c>
      <c r="E196" t="inlineStr">
        <is>
          <t>ÅSELE</t>
        </is>
      </c>
      <c r="F196" t="inlineStr">
        <is>
          <t>SCA</t>
        </is>
      </c>
      <c r="G196" t="n">
        <v>3.1</v>
      </c>
      <c r="H196" t="n">
        <v>0</v>
      </c>
      <c r="I196" t="n">
        <v>0</v>
      </c>
      <c r="J196" t="n">
        <v>0</v>
      </c>
      <c r="K196" t="n">
        <v>0</v>
      </c>
      <c r="L196" t="n">
        <v>0</v>
      </c>
      <c r="M196" t="n">
        <v>0</v>
      </c>
      <c r="N196" t="n">
        <v>0</v>
      </c>
      <c r="O196" t="n">
        <v>0</v>
      </c>
      <c r="P196" t="n">
        <v>0</v>
      </c>
      <c r="Q196" t="n">
        <v>0</v>
      </c>
      <c r="R196" s="2" t="inlineStr"/>
    </row>
    <row r="197" ht="15" customHeight="1">
      <c r="A197" t="inlineStr">
        <is>
          <t>A 42206-2024</t>
        </is>
      </c>
      <c r="B197" s="1" t="n">
        <v>45562.52640046296</v>
      </c>
      <c r="C197" s="1" t="n">
        <v>46128</v>
      </c>
      <c r="D197" t="inlineStr">
        <is>
          <t>VÄSTERBOTTENS LÄN</t>
        </is>
      </c>
      <c r="E197" t="inlineStr">
        <is>
          <t>ÅSELE</t>
        </is>
      </c>
      <c r="F197" t="inlineStr">
        <is>
          <t>Holmen skog AB</t>
        </is>
      </c>
      <c r="G197" t="n">
        <v>6.7</v>
      </c>
      <c r="H197" t="n">
        <v>0</v>
      </c>
      <c r="I197" t="n">
        <v>0</v>
      </c>
      <c r="J197" t="n">
        <v>0</v>
      </c>
      <c r="K197" t="n">
        <v>0</v>
      </c>
      <c r="L197" t="n">
        <v>0</v>
      </c>
      <c r="M197" t="n">
        <v>0</v>
      </c>
      <c r="N197" t="n">
        <v>0</v>
      </c>
      <c r="O197" t="n">
        <v>0</v>
      </c>
      <c r="P197" t="n">
        <v>0</v>
      </c>
      <c r="Q197" t="n">
        <v>0</v>
      </c>
      <c r="R197" s="2" t="inlineStr"/>
    </row>
    <row r="198" ht="15" customHeight="1">
      <c r="A198" t="inlineStr">
        <is>
          <t>A 37869-2025</t>
        </is>
      </c>
      <c r="B198" s="1" t="n">
        <v>45881.47364583334</v>
      </c>
      <c r="C198" s="1" t="n">
        <v>46128</v>
      </c>
      <c r="D198" t="inlineStr">
        <is>
          <t>VÄSTERBOTTENS LÄN</t>
        </is>
      </c>
      <c r="E198" t="inlineStr">
        <is>
          <t>ÅSELE</t>
        </is>
      </c>
      <c r="F198" t="inlineStr">
        <is>
          <t>Kommuner</t>
        </is>
      </c>
      <c r="G198" t="n">
        <v>5.6</v>
      </c>
      <c r="H198" t="n">
        <v>0</v>
      </c>
      <c r="I198" t="n">
        <v>0</v>
      </c>
      <c r="J198" t="n">
        <v>0</v>
      </c>
      <c r="K198" t="n">
        <v>0</v>
      </c>
      <c r="L198" t="n">
        <v>0</v>
      </c>
      <c r="M198" t="n">
        <v>0</v>
      </c>
      <c r="N198" t="n">
        <v>0</v>
      </c>
      <c r="O198" t="n">
        <v>0</v>
      </c>
      <c r="P198" t="n">
        <v>0</v>
      </c>
      <c r="Q198" t="n">
        <v>0</v>
      </c>
      <c r="R198" s="2" t="inlineStr"/>
    </row>
    <row r="199" ht="15" customHeight="1">
      <c r="A199" t="inlineStr">
        <is>
          <t>A 56446-2024</t>
        </is>
      </c>
      <c r="B199" s="1" t="n">
        <v>45625.42743055556</v>
      </c>
      <c r="C199" s="1" t="n">
        <v>46128</v>
      </c>
      <c r="D199" t="inlineStr">
        <is>
          <t>VÄSTERBOTTENS LÄN</t>
        </is>
      </c>
      <c r="E199" t="inlineStr">
        <is>
          <t>ÅSELE</t>
        </is>
      </c>
      <c r="F199" t="inlineStr">
        <is>
          <t>SCA</t>
        </is>
      </c>
      <c r="G199" t="n">
        <v>12</v>
      </c>
      <c r="H199" t="n">
        <v>0</v>
      </c>
      <c r="I199" t="n">
        <v>0</v>
      </c>
      <c r="J199" t="n">
        <v>0</v>
      </c>
      <c r="K199" t="n">
        <v>0</v>
      </c>
      <c r="L199" t="n">
        <v>0</v>
      </c>
      <c r="M199" t="n">
        <v>0</v>
      </c>
      <c r="N199" t="n">
        <v>0</v>
      </c>
      <c r="O199" t="n">
        <v>0</v>
      </c>
      <c r="P199" t="n">
        <v>0</v>
      </c>
      <c r="Q199" t="n">
        <v>0</v>
      </c>
      <c r="R199" s="2" t="inlineStr"/>
    </row>
    <row r="200" ht="15" customHeight="1">
      <c r="A200" t="inlineStr">
        <is>
          <t>A 4901-2024</t>
        </is>
      </c>
      <c r="B200" s="1" t="n">
        <v>45329</v>
      </c>
      <c r="C200" s="1" t="n">
        <v>46128</v>
      </c>
      <c r="D200" t="inlineStr">
        <is>
          <t>VÄSTERBOTTENS LÄN</t>
        </is>
      </c>
      <c r="E200" t="inlineStr">
        <is>
          <t>ÅSELE</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28889-2024</t>
        </is>
      </c>
      <c r="B201" s="1" t="n">
        <v>45479.9489699074</v>
      </c>
      <c r="C201" s="1" t="n">
        <v>46128</v>
      </c>
      <c r="D201" t="inlineStr">
        <is>
          <t>VÄSTERBOTTENS LÄN</t>
        </is>
      </c>
      <c r="E201" t="inlineStr">
        <is>
          <t>ÅSELE</t>
        </is>
      </c>
      <c r="F201" t="inlineStr">
        <is>
          <t>SCA</t>
        </is>
      </c>
      <c r="G201" t="n">
        <v>10.9</v>
      </c>
      <c r="H201" t="n">
        <v>0</v>
      </c>
      <c r="I201" t="n">
        <v>0</v>
      </c>
      <c r="J201" t="n">
        <v>0</v>
      </c>
      <c r="K201" t="n">
        <v>0</v>
      </c>
      <c r="L201" t="n">
        <v>0</v>
      </c>
      <c r="M201" t="n">
        <v>0</v>
      </c>
      <c r="N201" t="n">
        <v>0</v>
      </c>
      <c r="O201" t="n">
        <v>0</v>
      </c>
      <c r="P201" t="n">
        <v>0</v>
      </c>
      <c r="Q201" t="n">
        <v>0</v>
      </c>
      <c r="R201" s="2" t="inlineStr"/>
    </row>
    <row r="202" ht="15" customHeight="1">
      <c r="A202" t="inlineStr">
        <is>
          <t>A 38224-2025</t>
        </is>
      </c>
      <c r="B202" s="1" t="n">
        <v>45883.34482638889</v>
      </c>
      <c r="C202" s="1" t="n">
        <v>46128</v>
      </c>
      <c r="D202" t="inlineStr">
        <is>
          <t>VÄSTERBOTTENS LÄN</t>
        </is>
      </c>
      <c r="E202" t="inlineStr">
        <is>
          <t>ÅSELE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36115-2024</t>
        </is>
      </c>
      <c r="B203" s="1" t="n">
        <v>45534.30681712963</v>
      </c>
      <c r="C203" s="1" t="n">
        <v>46128</v>
      </c>
      <c r="D203" t="inlineStr">
        <is>
          <t>VÄSTERBOTTENS LÄN</t>
        </is>
      </c>
      <c r="E203" t="inlineStr">
        <is>
          <t>ÅSELE</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7512-2023</t>
        </is>
      </c>
      <c r="B204" s="1" t="n">
        <v>44971.93078703704</v>
      </c>
      <c r="C204" s="1" t="n">
        <v>46128</v>
      </c>
      <c r="D204" t="inlineStr">
        <is>
          <t>VÄSTERBOTTENS LÄN</t>
        </is>
      </c>
      <c r="E204" t="inlineStr">
        <is>
          <t>ÅSELE</t>
        </is>
      </c>
      <c r="G204" t="n">
        <v>0.8</v>
      </c>
      <c r="H204" t="n">
        <v>0</v>
      </c>
      <c r="I204" t="n">
        <v>0</v>
      </c>
      <c r="J204" t="n">
        <v>0</v>
      </c>
      <c r="K204" t="n">
        <v>0</v>
      </c>
      <c r="L204" t="n">
        <v>0</v>
      </c>
      <c r="M204" t="n">
        <v>0</v>
      </c>
      <c r="N204" t="n">
        <v>0</v>
      </c>
      <c r="O204" t="n">
        <v>0</v>
      </c>
      <c r="P204" t="n">
        <v>0</v>
      </c>
      <c r="Q204" t="n">
        <v>0</v>
      </c>
      <c r="R204" s="2" t="inlineStr"/>
    </row>
    <row r="205" ht="15" customHeight="1">
      <c r="A205" t="inlineStr">
        <is>
          <t>A 42689-2024</t>
        </is>
      </c>
      <c r="B205" s="1" t="n">
        <v>45566.40032407407</v>
      </c>
      <c r="C205" s="1" t="n">
        <v>46128</v>
      </c>
      <c r="D205" t="inlineStr">
        <is>
          <t>VÄSTERBOTTENS LÄN</t>
        </is>
      </c>
      <c r="E205" t="inlineStr">
        <is>
          <t>ÅSELE</t>
        </is>
      </c>
      <c r="F205" t="inlineStr">
        <is>
          <t>Holmen skog AB</t>
        </is>
      </c>
      <c r="G205" t="n">
        <v>2</v>
      </c>
      <c r="H205" t="n">
        <v>0</v>
      </c>
      <c r="I205" t="n">
        <v>0</v>
      </c>
      <c r="J205" t="n">
        <v>0</v>
      </c>
      <c r="K205" t="n">
        <v>0</v>
      </c>
      <c r="L205" t="n">
        <v>0</v>
      </c>
      <c r="M205" t="n">
        <v>0</v>
      </c>
      <c r="N205" t="n">
        <v>0</v>
      </c>
      <c r="O205" t="n">
        <v>0</v>
      </c>
      <c r="P205" t="n">
        <v>0</v>
      </c>
      <c r="Q205" t="n">
        <v>0</v>
      </c>
      <c r="R205" s="2" t="inlineStr"/>
    </row>
    <row r="206" ht="15" customHeight="1">
      <c r="A206" t="inlineStr">
        <is>
          <t>A 1275-2025</t>
        </is>
      </c>
      <c r="B206" s="1" t="n">
        <v>45666</v>
      </c>
      <c r="C206" s="1" t="n">
        <v>46128</v>
      </c>
      <c r="D206" t="inlineStr">
        <is>
          <t>VÄSTERBOTTENS LÄN</t>
        </is>
      </c>
      <c r="E206" t="inlineStr">
        <is>
          <t>ÅSELE</t>
        </is>
      </c>
      <c r="G206" t="n">
        <v>8.1</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46128</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1733-2025</t>
        </is>
      </c>
      <c r="B208" s="1" t="n">
        <v>45671</v>
      </c>
      <c r="C208" s="1" t="n">
        <v>46128</v>
      </c>
      <c r="D208" t="inlineStr">
        <is>
          <t>VÄSTERBOTTENS LÄN</t>
        </is>
      </c>
      <c r="E208" t="inlineStr">
        <is>
          <t>ÅSELE</t>
        </is>
      </c>
      <c r="F208" t="inlineStr">
        <is>
          <t>Sveaskog</t>
        </is>
      </c>
      <c r="G208" t="n">
        <v>18.2</v>
      </c>
      <c r="H208" t="n">
        <v>0</v>
      </c>
      <c r="I208" t="n">
        <v>0</v>
      </c>
      <c r="J208" t="n">
        <v>0</v>
      </c>
      <c r="K208" t="n">
        <v>0</v>
      </c>
      <c r="L208" t="n">
        <v>0</v>
      </c>
      <c r="M208" t="n">
        <v>0</v>
      </c>
      <c r="N208" t="n">
        <v>0</v>
      </c>
      <c r="O208" t="n">
        <v>0</v>
      </c>
      <c r="P208" t="n">
        <v>0</v>
      </c>
      <c r="Q208" t="n">
        <v>0</v>
      </c>
      <c r="R208" s="2" t="inlineStr"/>
    </row>
    <row r="209" ht="15" customHeight="1">
      <c r="A209" t="inlineStr">
        <is>
          <t>A 41408-2024</t>
        </is>
      </c>
      <c r="B209" s="1" t="n">
        <v>45560.34202546296</v>
      </c>
      <c r="C209" s="1" t="n">
        <v>46128</v>
      </c>
      <c r="D209" t="inlineStr">
        <is>
          <t>VÄSTERBOTTENS LÄN</t>
        </is>
      </c>
      <c r="E209" t="inlineStr">
        <is>
          <t>ÅSELE</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7498-2025</t>
        </is>
      </c>
      <c r="B210" s="1" t="n">
        <v>45705</v>
      </c>
      <c r="C210" s="1" t="n">
        <v>46128</v>
      </c>
      <c r="D210" t="inlineStr">
        <is>
          <t>VÄSTERBOTTENS LÄN</t>
        </is>
      </c>
      <c r="E210" t="inlineStr">
        <is>
          <t>ÅSELE</t>
        </is>
      </c>
      <c r="F210" t="inlineStr">
        <is>
          <t>Holmen skog AB</t>
        </is>
      </c>
      <c r="G210" t="n">
        <v>10.1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46128</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27946-2024</t>
        </is>
      </c>
      <c r="B212" s="1" t="n">
        <v>45476.31981481481</v>
      </c>
      <c r="C212" s="1" t="n">
        <v>46128</v>
      </c>
      <c r="D212" t="inlineStr">
        <is>
          <t>VÄSTERBOTTENS LÄN</t>
        </is>
      </c>
      <c r="E212" t="inlineStr">
        <is>
          <t>ÅSELE</t>
        </is>
      </c>
      <c r="F212" t="inlineStr">
        <is>
          <t>Sveaskog</t>
        </is>
      </c>
      <c r="G212" t="n">
        <v>7.5</v>
      </c>
      <c r="H212" t="n">
        <v>0</v>
      </c>
      <c r="I212" t="n">
        <v>0</v>
      </c>
      <c r="J212" t="n">
        <v>0</v>
      </c>
      <c r="K212" t="n">
        <v>0</v>
      </c>
      <c r="L212" t="n">
        <v>0</v>
      </c>
      <c r="M212" t="n">
        <v>0</v>
      </c>
      <c r="N212" t="n">
        <v>0</v>
      </c>
      <c r="O212" t="n">
        <v>0</v>
      </c>
      <c r="P212" t="n">
        <v>0</v>
      </c>
      <c r="Q212" t="n">
        <v>0</v>
      </c>
      <c r="R212" s="2" t="inlineStr"/>
    </row>
    <row r="213" ht="15" customHeight="1">
      <c r="A213" t="inlineStr">
        <is>
          <t>A 35780-2023</t>
        </is>
      </c>
      <c r="B213" s="1" t="n">
        <v>45148.3397337963</v>
      </c>
      <c r="C213" s="1" t="n">
        <v>46128</v>
      </c>
      <c r="D213" t="inlineStr">
        <is>
          <t>VÄSTERBOTTENS LÄN</t>
        </is>
      </c>
      <c r="E213" t="inlineStr">
        <is>
          <t>ÅSELE</t>
        </is>
      </c>
      <c r="F213" t="inlineStr">
        <is>
          <t>Holmen skog AB</t>
        </is>
      </c>
      <c r="G213" t="n">
        <v>2.8</v>
      </c>
      <c r="H213" t="n">
        <v>0</v>
      </c>
      <c r="I213" t="n">
        <v>0</v>
      </c>
      <c r="J213" t="n">
        <v>0</v>
      </c>
      <c r="K213" t="n">
        <v>0</v>
      </c>
      <c r="L213" t="n">
        <v>0</v>
      </c>
      <c r="M213" t="n">
        <v>0</v>
      </c>
      <c r="N213" t="n">
        <v>0</v>
      </c>
      <c r="O213" t="n">
        <v>0</v>
      </c>
      <c r="P213" t="n">
        <v>0</v>
      </c>
      <c r="Q213" t="n">
        <v>0</v>
      </c>
      <c r="R213" s="2" t="inlineStr"/>
    </row>
    <row r="214" ht="15" customHeight="1">
      <c r="A214" t="inlineStr">
        <is>
          <t>A 30167-2025</t>
        </is>
      </c>
      <c r="B214" s="1" t="n">
        <v>45827</v>
      </c>
      <c r="C214" s="1" t="n">
        <v>46128</v>
      </c>
      <c r="D214" t="inlineStr">
        <is>
          <t>VÄSTERBOTTENS LÄN</t>
        </is>
      </c>
      <c r="E214" t="inlineStr">
        <is>
          <t>ÅSELE</t>
        </is>
      </c>
      <c r="G214" t="n">
        <v>3.1</v>
      </c>
      <c r="H214" t="n">
        <v>0</v>
      </c>
      <c r="I214" t="n">
        <v>0</v>
      </c>
      <c r="J214" t="n">
        <v>0</v>
      </c>
      <c r="K214" t="n">
        <v>0</v>
      </c>
      <c r="L214" t="n">
        <v>0</v>
      </c>
      <c r="M214" t="n">
        <v>0</v>
      </c>
      <c r="N214" t="n">
        <v>0</v>
      </c>
      <c r="O214" t="n">
        <v>0</v>
      </c>
      <c r="P214" t="n">
        <v>0</v>
      </c>
      <c r="Q214" t="n">
        <v>0</v>
      </c>
      <c r="R214" s="2" t="inlineStr"/>
    </row>
    <row r="215" ht="15" customHeight="1">
      <c r="A215" t="inlineStr">
        <is>
          <t>A 14925-2023</t>
        </is>
      </c>
      <c r="B215" s="1" t="n">
        <v>45014</v>
      </c>
      <c r="C215" s="1" t="n">
        <v>46128</v>
      </c>
      <c r="D215" t="inlineStr">
        <is>
          <t>VÄSTERBOTTENS LÄN</t>
        </is>
      </c>
      <c r="E215" t="inlineStr">
        <is>
          <t>ÅSELE</t>
        </is>
      </c>
      <c r="G215" t="n">
        <v>9.4</v>
      </c>
      <c r="H215" t="n">
        <v>0</v>
      </c>
      <c r="I215" t="n">
        <v>0</v>
      </c>
      <c r="J215" t="n">
        <v>0</v>
      </c>
      <c r="K215" t="n">
        <v>0</v>
      </c>
      <c r="L215" t="n">
        <v>0</v>
      </c>
      <c r="M215" t="n">
        <v>0</v>
      </c>
      <c r="N215" t="n">
        <v>0</v>
      </c>
      <c r="O215" t="n">
        <v>0</v>
      </c>
      <c r="P215" t="n">
        <v>0</v>
      </c>
      <c r="Q215" t="n">
        <v>0</v>
      </c>
      <c r="R215" s="2" t="inlineStr"/>
    </row>
    <row r="216" ht="15" customHeight="1">
      <c r="A216" t="inlineStr">
        <is>
          <t>A 5247-2024</t>
        </is>
      </c>
      <c r="B216" s="1" t="n">
        <v>45330.93173611111</v>
      </c>
      <c r="C216" s="1" t="n">
        <v>46128</v>
      </c>
      <c r="D216" t="inlineStr">
        <is>
          <t>VÄSTERBOTTENS LÄN</t>
        </is>
      </c>
      <c r="E216" t="inlineStr">
        <is>
          <t>ÅSELE</t>
        </is>
      </c>
      <c r="G216" t="n">
        <v>2.6</v>
      </c>
      <c r="H216" t="n">
        <v>0</v>
      </c>
      <c r="I216" t="n">
        <v>0</v>
      </c>
      <c r="J216" t="n">
        <v>0</v>
      </c>
      <c r="K216" t="n">
        <v>0</v>
      </c>
      <c r="L216" t="n">
        <v>0</v>
      </c>
      <c r="M216" t="n">
        <v>0</v>
      </c>
      <c r="N216" t="n">
        <v>0</v>
      </c>
      <c r="O216" t="n">
        <v>0</v>
      </c>
      <c r="P216" t="n">
        <v>0</v>
      </c>
      <c r="Q216" t="n">
        <v>0</v>
      </c>
      <c r="R216" s="2" t="inlineStr"/>
    </row>
    <row r="217" ht="15" customHeight="1">
      <c r="A217" t="inlineStr">
        <is>
          <t>A 31475-2024</t>
        </is>
      </c>
      <c r="B217" s="1" t="n">
        <v>45505.95209490741</v>
      </c>
      <c r="C217" s="1" t="n">
        <v>46128</v>
      </c>
      <c r="D217" t="inlineStr">
        <is>
          <t>VÄSTERBOTTENS LÄN</t>
        </is>
      </c>
      <c r="E217" t="inlineStr">
        <is>
          <t>ÅSELE</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65038-2023</t>
        </is>
      </c>
      <c r="B218" s="1" t="n">
        <v>45282</v>
      </c>
      <c r="C218" s="1" t="n">
        <v>46128</v>
      </c>
      <c r="D218" t="inlineStr">
        <is>
          <t>VÄSTERBOTTENS LÄN</t>
        </is>
      </c>
      <c r="E218" t="inlineStr">
        <is>
          <t>ÅSELE</t>
        </is>
      </c>
      <c r="G218" t="n">
        <v>1</v>
      </c>
      <c r="H218" t="n">
        <v>0</v>
      </c>
      <c r="I218" t="n">
        <v>0</v>
      </c>
      <c r="J218" t="n">
        <v>0</v>
      </c>
      <c r="K218" t="n">
        <v>0</v>
      </c>
      <c r="L218" t="n">
        <v>0</v>
      </c>
      <c r="M218" t="n">
        <v>0</v>
      </c>
      <c r="N218" t="n">
        <v>0</v>
      </c>
      <c r="O218" t="n">
        <v>0</v>
      </c>
      <c r="P218" t="n">
        <v>0</v>
      </c>
      <c r="Q218" t="n">
        <v>0</v>
      </c>
      <c r="R218" s="2" t="inlineStr"/>
    </row>
    <row r="219" ht="15" customHeight="1">
      <c r="A219" t="inlineStr">
        <is>
          <t>A 32057-2024</t>
        </is>
      </c>
      <c r="B219" s="1" t="n">
        <v>45510</v>
      </c>
      <c r="C219" s="1" t="n">
        <v>46128</v>
      </c>
      <c r="D219" t="inlineStr">
        <is>
          <t>VÄSTERBOTTENS LÄN</t>
        </is>
      </c>
      <c r="E219" t="inlineStr">
        <is>
          <t>ÅSELE</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33523-2021</t>
        </is>
      </c>
      <c r="B220" s="1" t="n">
        <v>44377.76381944444</v>
      </c>
      <c r="C220" s="1" t="n">
        <v>46128</v>
      </c>
      <c r="D220" t="inlineStr">
        <is>
          <t>VÄSTERBOTTENS LÄN</t>
        </is>
      </c>
      <c r="E220" t="inlineStr">
        <is>
          <t>ÅSELE</t>
        </is>
      </c>
      <c r="G220" t="n">
        <v>1.1</v>
      </c>
      <c r="H220" t="n">
        <v>0</v>
      </c>
      <c r="I220" t="n">
        <v>0</v>
      </c>
      <c r="J220" t="n">
        <v>0</v>
      </c>
      <c r="K220" t="n">
        <v>0</v>
      </c>
      <c r="L220" t="n">
        <v>0</v>
      </c>
      <c r="M220" t="n">
        <v>0</v>
      </c>
      <c r="N220" t="n">
        <v>0</v>
      </c>
      <c r="O220" t="n">
        <v>0</v>
      </c>
      <c r="P220" t="n">
        <v>0</v>
      </c>
      <c r="Q220" t="n">
        <v>0</v>
      </c>
      <c r="R220" s="2" t="inlineStr"/>
    </row>
    <row r="221" ht="15" customHeight="1">
      <c r="A221" t="inlineStr">
        <is>
          <t>A 30618-2023</t>
        </is>
      </c>
      <c r="B221" s="1" t="n">
        <v>45112.41425925926</v>
      </c>
      <c r="C221" s="1" t="n">
        <v>46128</v>
      </c>
      <c r="D221" t="inlineStr">
        <is>
          <t>VÄSTERBOTTENS LÄN</t>
        </is>
      </c>
      <c r="E221" t="inlineStr">
        <is>
          <t>ÅSELE</t>
        </is>
      </c>
      <c r="F221" t="inlineStr">
        <is>
          <t>Sveaskog</t>
        </is>
      </c>
      <c r="G221" t="n">
        <v>18.7</v>
      </c>
      <c r="H221" t="n">
        <v>0</v>
      </c>
      <c r="I221" t="n">
        <v>0</v>
      </c>
      <c r="J221" t="n">
        <v>0</v>
      </c>
      <c r="K221" t="n">
        <v>0</v>
      </c>
      <c r="L221" t="n">
        <v>0</v>
      </c>
      <c r="M221" t="n">
        <v>0</v>
      </c>
      <c r="N221" t="n">
        <v>0</v>
      </c>
      <c r="O221" t="n">
        <v>0</v>
      </c>
      <c r="P221" t="n">
        <v>0</v>
      </c>
      <c r="Q221" t="n">
        <v>0</v>
      </c>
      <c r="R221" s="2" t="inlineStr"/>
    </row>
    <row r="222" ht="15" customHeight="1">
      <c r="A222" t="inlineStr">
        <is>
          <t>A 26540-2022</t>
        </is>
      </c>
      <c r="B222" s="1" t="n">
        <v>44739</v>
      </c>
      <c r="C222" s="1" t="n">
        <v>46128</v>
      </c>
      <c r="D222" t="inlineStr">
        <is>
          <t>VÄSTERBOTTENS LÄN</t>
        </is>
      </c>
      <c r="E222" t="inlineStr">
        <is>
          <t>ÅSELE</t>
        </is>
      </c>
      <c r="G222" t="n">
        <v>10.8</v>
      </c>
      <c r="H222" t="n">
        <v>0</v>
      </c>
      <c r="I222" t="n">
        <v>0</v>
      </c>
      <c r="J222" t="n">
        <v>0</v>
      </c>
      <c r="K222" t="n">
        <v>0</v>
      </c>
      <c r="L222" t="n">
        <v>0</v>
      </c>
      <c r="M222" t="n">
        <v>0</v>
      </c>
      <c r="N222" t="n">
        <v>0</v>
      </c>
      <c r="O222" t="n">
        <v>0</v>
      </c>
      <c r="P222" t="n">
        <v>0</v>
      </c>
      <c r="Q222" t="n">
        <v>0</v>
      </c>
      <c r="R222" s="2" t="inlineStr"/>
    </row>
    <row r="223" ht="15" customHeight="1">
      <c r="A223" t="inlineStr">
        <is>
          <t>A 18936-2025</t>
        </is>
      </c>
      <c r="B223" s="1" t="n">
        <v>45764.48995370371</v>
      </c>
      <c r="C223" s="1" t="n">
        <v>46128</v>
      </c>
      <c r="D223" t="inlineStr">
        <is>
          <t>VÄSTERBOTTENS LÄN</t>
        </is>
      </c>
      <c r="E223" t="inlineStr">
        <is>
          <t>ÅSELE</t>
        </is>
      </c>
      <c r="F223" t="inlineStr">
        <is>
          <t>SCA</t>
        </is>
      </c>
      <c r="G223" t="n">
        <v>6.1</v>
      </c>
      <c r="H223" t="n">
        <v>0</v>
      </c>
      <c r="I223" t="n">
        <v>0</v>
      </c>
      <c r="J223" t="n">
        <v>0</v>
      </c>
      <c r="K223" t="n">
        <v>0</v>
      </c>
      <c r="L223" t="n">
        <v>0</v>
      </c>
      <c r="M223" t="n">
        <v>0</v>
      </c>
      <c r="N223" t="n">
        <v>0</v>
      </c>
      <c r="O223" t="n">
        <v>0</v>
      </c>
      <c r="P223" t="n">
        <v>0</v>
      </c>
      <c r="Q223" t="n">
        <v>0</v>
      </c>
      <c r="R223" s="2" t="inlineStr"/>
    </row>
    <row r="224" ht="15" customHeight="1">
      <c r="A224" t="inlineStr">
        <is>
          <t>A 45298-2024</t>
        </is>
      </c>
      <c r="B224" s="1" t="n">
        <v>45576</v>
      </c>
      <c r="C224" s="1" t="n">
        <v>46128</v>
      </c>
      <c r="D224" t="inlineStr">
        <is>
          <t>VÄSTERBOTTENS LÄN</t>
        </is>
      </c>
      <c r="E224" t="inlineStr">
        <is>
          <t>ÅSELE</t>
        </is>
      </c>
      <c r="F224" t="inlineStr">
        <is>
          <t>Sveaskog</t>
        </is>
      </c>
      <c r="G224" t="n">
        <v>5.8</v>
      </c>
      <c r="H224" t="n">
        <v>0</v>
      </c>
      <c r="I224" t="n">
        <v>0</v>
      </c>
      <c r="J224" t="n">
        <v>0</v>
      </c>
      <c r="K224" t="n">
        <v>0</v>
      </c>
      <c r="L224" t="n">
        <v>0</v>
      </c>
      <c r="M224" t="n">
        <v>0</v>
      </c>
      <c r="N224" t="n">
        <v>0</v>
      </c>
      <c r="O224" t="n">
        <v>0</v>
      </c>
      <c r="P224" t="n">
        <v>0</v>
      </c>
      <c r="Q224" t="n">
        <v>0</v>
      </c>
      <c r="R224" s="2" t="inlineStr"/>
    </row>
    <row r="225" ht="15" customHeight="1">
      <c r="A225" t="inlineStr">
        <is>
          <t>A 25569-2024</t>
        </is>
      </c>
      <c r="B225" s="1" t="n">
        <v>45463.58702546296</v>
      </c>
      <c r="C225" s="1" t="n">
        <v>46128</v>
      </c>
      <c r="D225" t="inlineStr">
        <is>
          <t>VÄSTERBOTTENS LÄN</t>
        </is>
      </c>
      <c r="E225" t="inlineStr">
        <is>
          <t>ÅSELE</t>
        </is>
      </c>
      <c r="F225" t="inlineStr">
        <is>
          <t>Sveaskog</t>
        </is>
      </c>
      <c r="G225" t="n">
        <v>28.7</v>
      </c>
      <c r="H225" t="n">
        <v>0</v>
      </c>
      <c r="I225" t="n">
        <v>0</v>
      </c>
      <c r="J225" t="n">
        <v>0</v>
      </c>
      <c r="K225" t="n">
        <v>0</v>
      </c>
      <c r="L225" t="n">
        <v>0</v>
      </c>
      <c r="M225" t="n">
        <v>0</v>
      </c>
      <c r="N225" t="n">
        <v>0</v>
      </c>
      <c r="O225" t="n">
        <v>0</v>
      </c>
      <c r="P225" t="n">
        <v>0</v>
      </c>
      <c r="Q225" t="n">
        <v>0</v>
      </c>
      <c r="R225" s="2" t="inlineStr"/>
    </row>
    <row r="226" ht="15" customHeight="1">
      <c r="A226" t="inlineStr">
        <is>
          <t>A 39109-2025</t>
        </is>
      </c>
      <c r="B226" s="1" t="n">
        <v>45888.53960648148</v>
      </c>
      <c r="C226" s="1" t="n">
        <v>46128</v>
      </c>
      <c r="D226" t="inlineStr">
        <is>
          <t>VÄSTERBOTTENS LÄN</t>
        </is>
      </c>
      <c r="E226" t="inlineStr">
        <is>
          <t>ÅSELE</t>
        </is>
      </c>
      <c r="G226" t="n">
        <v>7.1</v>
      </c>
      <c r="H226" t="n">
        <v>0</v>
      </c>
      <c r="I226" t="n">
        <v>0</v>
      </c>
      <c r="J226" t="n">
        <v>0</v>
      </c>
      <c r="K226" t="n">
        <v>0</v>
      </c>
      <c r="L226" t="n">
        <v>0</v>
      </c>
      <c r="M226" t="n">
        <v>0</v>
      </c>
      <c r="N226" t="n">
        <v>0</v>
      </c>
      <c r="O226" t="n">
        <v>0</v>
      </c>
      <c r="P226" t="n">
        <v>0</v>
      </c>
      <c r="Q226" t="n">
        <v>0</v>
      </c>
      <c r="R226" s="2" t="inlineStr"/>
    </row>
    <row r="227" ht="15" customHeight="1">
      <c r="A227" t="inlineStr">
        <is>
          <t>A 39111-2025</t>
        </is>
      </c>
      <c r="B227" s="1" t="n">
        <v>45888.54513888889</v>
      </c>
      <c r="C227" s="1" t="n">
        <v>46128</v>
      </c>
      <c r="D227" t="inlineStr">
        <is>
          <t>VÄSTERBOTTENS LÄN</t>
        </is>
      </c>
      <c r="E227" t="inlineStr">
        <is>
          <t>ÅSELE</t>
        </is>
      </c>
      <c r="G227" t="n">
        <v>1.4</v>
      </c>
      <c r="H227" t="n">
        <v>0</v>
      </c>
      <c r="I227" t="n">
        <v>0</v>
      </c>
      <c r="J227" t="n">
        <v>0</v>
      </c>
      <c r="K227" t="n">
        <v>0</v>
      </c>
      <c r="L227" t="n">
        <v>0</v>
      </c>
      <c r="M227" t="n">
        <v>0</v>
      </c>
      <c r="N227" t="n">
        <v>0</v>
      </c>
      <c r="O227" t="n">
        <v>0</v>
      </c>
      <c r="P227" t="n">
        <v>0</v>
      </c>
      <c r="Q227" t="n">
        <v>0</v>
      </c>
      <c r="R227" s="2" t="inlineStr"/>
    </row>
    <row r="228" ht="15" customHeight="1">
      <c r="A228" t="inlineStr">
        <is>
          <t>A 33012-2023</t>
        </is>
      </c>
      <c r="B228" s="1" t="n">
        <v>45113</v>
      </c>
      <c r="C228" s="1" t="n">
        <v>46128</v>
      </c>
      <c r="D228" t="inlineStr">
        <is>
          <t>VÄSTERBOTTENS LÄN</t>
        </is>
      </c>
      <c r="E228" t="inlineStr">
        <is>
          <t>ÅSELE</t>
        </is>
      </c>
      <c r="G228" t="n">
        <v>6.3</v>
      </c>
      <c r="H228" t="n">
        <v>0</v>
      </c>
      <c r="I228" t="n">
        <v>0</v>
      </c>
      <c r="J228" t="n">
        <v>0</v>
      </c>
      <c r="K228" t="n">
        <v>0</v>
      </c>
      <c r="L228" t="n">
        <v>0</v>
      </c>
      <c r="M228" t="n">
        <v>0</v>
      </c>
      <c r="N228" t="n">
        <v>0</v>
      </c>
      <c r="O228" t="n">
        <v>0</v>
      </c>
      <c r="P228" t="n">
        <v>0</v>
      </c>
      <c r="Q228" t="n">
        <v>0</v>
      </c>
      <c r="R228" s="2" t="inlineStr"/>
    </row>
    <row r="229" ht="15" customHeight="1">
      <c r="A229" t="inlineStr">
        <is>
          <t>A 1872-2023</t>
        </is>
      </c>
      <c r="B229" s="1" t="n">
        <v>44938.93849537037</v>
      </c>
      <c r="C229" s="1" t="n">
        <v>46128</v>
      </c>
      <c r="D229" t="inlineStr">
        <is>
          <t>VÄSTERBOTTENS LÄN</t>
        </is>
      </c>
      <c r="E229" t="inlineStr">
        <is>
          <t>ÅSELE</t>
        </is>
      </c>
      <c r="F229" t="inlineStr">
        <is>
          <t>SCA</t>
        </is>
      </c>
      <c r="G229" t="n">
        <v>0.9</v>
      </c>
      <c r="H229" t="n">
        <v>0</v>
      </c>
      <c r="I229" t="n">
        <v>0</v>
      </c>
      <c r="J229" t="n">
        <v>0</v>
      </c>
      <c r="K229" t="n">
        <v>0</v>
      </c>
      <c r="L229" t="n">
        <v>0</v>
      </c>
      <c r="M229" t="n">
        <v>0</v>
      </c>
      <c r="N229" t="n">
        <v>0</v>
      </c>
      <c r="O229" t="n">
        <v>0</v>
      </c>
      <c r="P229" t="n">
        <v>0</v>
      </c>
      <c r="Q229" t="n">
        <v>0</v>
      </c>
      <c r="R229" s="2" t="inlineStr"/>
    </row>
    <row r="230" ht="15" customHeight="1">
      <c r="A230" t="inlineStr">
        <is>
          <t>A 20036-2025</t>
        </is>
      </c>
      <c r="B230" s="1" t="n">
        <v>45772.36670138889</v>
      </c>
      <c r="C230" s="1" t="n">
        <v>46128</v>
      </c>
      <c r="D230" t="inlineStr">
        <is>
          <t>VÄSTERBOTTENS LÄN</t>
        </is>
      </c>
      <c r="E230" t="inlineStr">
        <is>
          <t>ÅSELE</t>
        </is>
      </c>
      <c r="F230" t="inlineStr">
        <is>
          <t>Holmen skog AB</t>
        </is>
      </c>
      <c r="G230" t="n">
        <v>2.6</v>
      </c>
      <c r="H230" t="n">
        <v>0</v>
      </c>
      <c r="I230" t="n">
        <v>0</v>
      </c>
      <c r="J230" t="n">
        <v>0</v>
      </c>
      <c r="K230" t="n">
        <v>0</v>
      </c>
      <c r="L230" t="n">
        <v>0</v>
      </c>
      <c r="M230" t="n">
        <v>0</v>
      </c>
      <c r="N230" t="n">
        <v>0</v>
      </c>
      <c r="O230" t="n">
        <v>0</v>
      </c>
      <c r="P230" t="n">
        <v>0</v>
      </c>
      <c r="Q230" t="n">
        <v>0</v>
      </c>
      <c r="R230" s="2" t="inlineStr"/>
    </row>
    <row r="231" ht="15" customHeight="1">
      <c r="A231" t="inlineStr">
        <is>
          <t>A 45477-2024</t>
        </is>
      </c>
      <c r="B231" s="1" t="n">
        <v>45576.83114583333</v>
      </c>
      <c r="C231" s="1" t="n">
        <v>46128</v>
      </c>
      <c r="D231" t="inlineStr">
        <is>
          <t>VÄSTERBOTTENS LÄN</t>
        </is>
      </c>
      <c r="E231" t="inlineStr">
        <is>
          <t>ÅSELE</t>
        </is>
      </c>
      <c r="F231" t="inlineStr">
        <is>
          <t>Sveaskog</t>
        </is>
      </c>
      <c r="G231" t="n">
        <v>5.2</v>
      </c>
      <c r="H231" t="n">
        <v>0</v>
      </c>
      <c r="I231" t="n">
        <v>0</v>
      </c>
      <c r="J231" t="n">
        <v>0</v>
      </c>
      <c r="K231" t="n">
        <v>0</v>
      </c>
      <c r="L231" t="n">
        <v>0</v>
      </c>
      <c r="M231" t="n">
        <v>0</v>
      </c>
      <c r="N231" t="n">
        <v>0</v>
      </c>
      <c r="O231" t="n">
        <v>0</v>
      </c>
      <c r="P231" t="n">
        <v>0</v>
      </c>
      <c r="Q231" t="n">
        <v>0</v>
      </c>
      <c r="R231" s="2" t="inlineStr"/>
    </row>
    <row r="232" ht="15" customHeight="1">
      <c r="A232" t="inlineStr">
        <is>
          <t>A 48488-2023</t>
        </is>
      </c>
      <c r="B232" s="1" t="n">
        <v>45206</v>
      </c>
      <c r="C232" s="1" t="n">
        <v>46128</v>
      </c>
      <c r="D232" t="inlineStr">
        <is>
          <t>VÄSTERBOTTENS LÄN</t>
        </is>
      </c>
      <c r="E232" t="inlineStr">
        <is>
          <t>ÅSELE</t>
        </is>
      </c>
      <c r="F232" t="inlineStr">
        <is>
          <t>SCA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39591-2025</t>
        </is>
      </c>
      <c r="B233" s="1" t="n">
        <v>45890</v>
      </c>
      <c r="C233" s="1" t="n">
        <v>46128</v>
      </c>
      <c r="D233" t="inlineStr">
        <is>
          <t>VÄSTERBOTTENS LÄN</t>
        </is>
      </c>
      <c r="E233" t="inlineStr">
        <is>
          <t>ÅSELE</t>
        </is>
      </c>
      <c r="F233" t="inlineStr">
        <is>
          <t>SCA</t>
        </is>
      </c>
      <c r="G233" t="n">
        <v>13.5</v>
      </c>
      <c r="H233" t="n">
        <v>0</v>
      </c>
      <c r="I233" t="n">
        <v>0</v>
      </c>
      <c r="J233" t="n">
        <v>0</v>
      </c>
      <c r="K233" t="n">
        <v>0</v>
      </c>
      <c r="L233" t="n">
        <v>0</v>
      </c>
      <c r="M233" t="n">
        <v>0</v>
      </c>
      <c r="N233" t="n">
        <v>0</v>
      </c>
      <c r="O233" t="n">
        <v>0</v>
      </c>
      <c r="P233" t="n">
        <v>0</v>
      </c>
      <c r="Q233" t="n">
        <v>0</v>
      </c>
      <c r="R233" s="2" t="inlineStr"/>
    </row>
    <row r="234" ht="15" customHeight="1">
      <c r="A234" t="inlineStr">
        <is>
          <t>A 39472-2025</t>
        </is>
      </c>
      <c r="B234" s="1" t="n">
        <v>45890.34418981482</v>
      </c>
      <c r="C234" s="1" t="n">
        <v>46128</v>
      </c>
      <c r="D234" t="inlineStr">
        <is>
          <t>VÄSTERBOTTENS LÄN</t>
        </is>
      </c>
      <c r="E234" t="inlineStr">
        <is>
          <t>ÅSELE</t>
        </is>
      </c>
      <c r="F234" t="inlineStr">
        <is>
          <t>SCA</t>
        </is>
      </c>
      <c r="G234" t="n">
        <v>8.6</v>
      </c>
      <c r="H234" t="n">
        <v>0</v>
      </c>
      <c r="I234" t="n">
        <v>0</v>
      </c>
      <c r="J234" t="n">
        <v>0</v>
      </c>
      <c r="K234" t="n">
        <v>0</v>
      </c>
      <c r="L234" t="n">
        <v>0</v>
      </c>
      <c r="M234" t="n">
        <v>0</v>
      </c>
      <c r="N234" t="n">
        <v>0</v>
      </c>
      <c r="O234" t="n">
        <v>0</v>
      </c>
      <c r="P234" t="n">
        <v>0</v>
      </c>
      <c r="Q234" t="n">
        <v>0</v>
      </c>
      <c r="R234" s="2" t="inlineStr"/>
    </row>
    <row r="235" ht="15" customHeight="1">
      <c r="A235" t="inlineStr">
        <is>
          <t>A 39248-2025</t>
        </is>
      </c>
      <c r="B235" s="1" t="n">
        <v>45889.3547800926</v>
      </c>
      <c r="C235" s="1" t="n">
        <v>46128</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39251-2025</t>
        </is>
      </c>
      <c r="B236" s="1" t="n">
        <v>45889.36145833333</v>
      </c>
      <c r="C236" s="1" t="n">
        <v>46128</v>
      </c>
      <c r="D236" t="inlineStr">
        <is>
          <t>VÄSTERBOTTENS LÄN</t>
        </is>
      </c>
      <c r="E236" t="inlineStr">
        <is>
          <t>ÅSELE</t>
        </is>
      </c>
      <c r="G236" t="n">
        <v>1.7</v>
      </c>
      <c r="H236" t="n">
        <v>0</v>
      </c>
      <c r="I236" t="n">
        <v>0</v>
      </c>
      <c r="J236" t="n">
        <v>0</v>
      </c>
      <c r="K236" t="n">
        <v>0</v>
      </c>
      <c r="L236" t="n">
        <v>0</v>
      </c>
      <c r="M236" t="n">
        <v>0</v>
      </c>
      <c r="N236" t="n">
        <v>0</v>
      </c>
      <c r="O236" t="n">
        <v>0</v>
      </c>
      <c r="P236" t="n">
        <v>0</v>
      </c>
      <c r="Q236" t="n">
        <v>0</v>
      </c>
      <c r="R236" s="2" t="inlineStr"/>
    </row>
    <row r="237" ht="15" customHeight="1">
      <c r="A237" t="inlineStr">
        <is>
          <t>A 22093-2023</t>
        </is>
      </c>
      <c r="B237" s="1" t="n">
        <v>45068</v>
      </c>
      <c r="C237" s="1" t="n">
        <v>46128</v>
      </c>
      <c r="D237" t="inlineStr">
        <is>
          <t>VÄSTERBOTTENS LÄN</t>
        </is>
      </c>
      <c r="E237" t="inlineStr">
        <is>
          <t>ÅSELE</t>
        </is>
      </c>
      <c r="G237" t="n">
        <v>1.9</v>
      </c>
      <c r="H237" t="n">
        <v>0</v>
      </c>
      <c r="I237" t="n">
        <v>0</v>
      </c>
      <c r="J237" t="n">
        <v>0</v>
      </c>
      <c r="K237" t="n">
        <v>0</v>
      </c>
      <c r="L237" t="n">
        <v>0</v>
      </c>
      <c r="M237" t="n">
        <v>0</v>
      </c>
      <c r="N237" t="n">
        <v>0</v>
      </c>
      <c r="O237" t="n">
        <v>0</v>
      </c>
      <c r="P237" t="n">
        <v>0</v>
      </c>
      <c r="Q237" t="n">
        <v>0</v>
      </c>
      <c r="R237" s="2" t="inlineStr"/>
    </row>
    <row r="238" ht="15" customHeight="1">
      <c r="A238" t="inlineStr">
        <is>
          <t>A 42601-2024</t>
        </is>
      </c>
      <c r="B238" s="1" t="n">
        <v>45565</v>
      </c>
      <c r="C238" s="1" t="n">
        <v>46128</v>
      </c>
      <c r="D238" t="inlineStr">
        <is>
          <t>VÄSTERBOTTENS LÄN</t>
        </is>
      </c>
      <c r="E238" t="inlineStr">
        <is>
          <t>ÅSELE</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43048-2024</t>
        </is>
      </c>
      <c r="B239" s="1" t="n">
        <v>45567</v>
      </c>
      <c r="C239" s="1" t="n">
        <v>46128</v>
      </c>
      <c r="D239" t="inlineStr">
        <is>
          <t>VÄSTERBOTTENS LÄN</t>
        </is>
      </c>
      <c r="E239" t="inlineStr">
        <is>
          <t>ÅSELE</t>
        </is>
      </c>
      <c r="G239" t="n">
        <v>4.8</v>
      </c>
      <c r="H239" t="n">
        <v>0</v>
      </c>
      <c r="I239" t="n">
        <v>0</v>
      </c>
      <c r="J239" t="n">
        <v>0</v>
      </c>
      <c r="K239" t="n">
        <v>0</v>
      </c>
      <c r="L239" t="n">
        <v>0</v>
      </c>
      <c r="M239" t="n">
        <v>0</v>
      </c>
      <c r="N239" t="n">
        <v>0</v>
      </c>
      <c r="O239" t="n">
        <v>0</v>
      </c>
      <c r="P239" t="n">
        <v>0</v>
      </c>
      <c r="Q239" t="n">
        <v>0</v>
      </c>
      <c r="R239" s="2" t="inlineStr"/>
    </row>
    <row r="240" ht="15" customHeight="1">
      <c r="A240" t="inlineStr">
        <is>
          <t>A 39557-2025</t>
        </is>
      </c>
      <c r="B240" s="1" t="n">
        <v>45890</v>
      </c>
      <c r="C240" s="1" t="n">
        <v>46128</v>
      </c>
      <c r="D240" t="inlineStr">
        <is>
          <t>VÄSTERBOTTENS LÄN</t>
        </is>
      </c>
      <c r="E240" t="inlineStr">
        <is>
          <t>ÅSELE</t>
        </is>
      </c>
      <c r="F240" t="inlineStr">
        <is>
          <t>SCA</t>
        </is>
      </c>
      <c r="G240" t="n">
        <v>5.8</v>
      </c>
      <c r="H240" t="n">
        <v>0</v>
      </c>
      <c r="I240" t="n">
        <v>0</v>
      </c>
      <c r="J240" t="n">
        <v>0</v>
      </c>
      <c r="K240" t="n">
        <v>0</v>
      </c>
      <c r="L240" t="n">
        <v>0</v>
      </c>
      <c r="M240" t="n">
        <v>0</v>
      </c>
      <c r="N240" t="n">
        <v>0</v>
      </c>
      <c r="O240" t="n">
        <v>0</v>
      </c>
      <c r="P240" t="n">
        <v>0</v>
      </c>
      <c r="Q240" t="n">
        <v>0</v>
      </c>
      <c r="R240" s="2" t="inlineStr"/>
    </row>
    <row r="241" ht="15" customHeight="1">
      <c r="A241" t="inlineStr">
        <is>
          <t>A 48670-2023</t>
        </is>
      </c>
      <c r="B241" s="1" t="n">
        <v>45208.62702546296</v>
      </c>
      <c r="C241" s="1" t="n">
        <v>46128</v>
      </c>
      <c r="D241" t="inlineStr">
        <is>
          <t>VÄSTERBOTTENS LÄN</t>
        </is>
      </c>
      <c r="E241" t="inlineStr">
        <is>
          <t>ÅSELE</t>
        </is>
      </c>
      <c r="F241" t="inlineStr">
        <is>
          <t>Naturvårdsverket</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39431-2025</t>
        </is>
      </c>
      <c r="B242" s="1" t="n">
        <v>45889</v>
      </c>
      <c r="C242" s="1" t="n">
        <v>46128</v>
      </c>
      <c r="D242" t="inlineStr">
        <is>
          <t>VÄSTERBOTTENS LÄN</t>
        </is>
      </c>
      <c r="E242" t="inlineStr">
        <is>
          <t>ÅSELE</t>
        </is>
      </c>
      <c r="F242" t="inlineStr">
        <is>
          <t>SCA</t>
        </is>
      </c>
      <c r="G242" t="n">
        <v>14.4</v>
      </c>
      <c r="H242" t="n">
        <v>0</v>
      </c>
      <c r="I242" t="n">
        <v>0</v>
      </c>
      <c r="J242" t="n">
        <v>0</v>
      </c>
      <c r="K242" t="n">
        <v>0</v>
      </c>
      <c r="L242" t="n">
        <v>0</v>
      </c>
      <c r="M242" t="n">
        <v>0</v>
      </c>
      <c r="N242" t="n">
        <v>0</v>
      </c>
      <c r="O242" t="n">
        <v>0</v>
      </c>
      <c r="P242" t="n">
        <v>0</v>
      </c>
      <c r="Q242" t="n">
        <v>0</v>
      </c>
      <c r="R242" s="2" t="inlineStr"/>
    </row>
    <row r="243" ht="15" customHeight="1">
      <c r="A243" t="inlineStr">
        <is>
          <t>A 39437-2025</t>
        </is>
      </c>
      <c r="B243" s="1" t="n">
        <v>45889.67877314815</v>
      </c>
      <c r="C243" s="1" t="n">
        <v>46128</v>
      </c>
      <c r="D243" t="inlineStr">
        <is>
          <t>VÄSTERBOTTENS LÄN</t>
        </is>
      </c>
      <c r="E243" t="inlineStr">
        <is>
          <t>ÅSELE</t>
        </is>
      </c>
      <c r="F243" t="inlineStr">
        <is>
          <t>SCA</t>
        </is>
      </c>
      <c r="G243" t="n">
        <v>4.6</v>
      </c>
      <c r="H243" t="n">
        <v>0</v>
      </c>
      <c r="I243" t="n">
        <v>0</v>
      </c>
      <c r="J243" t="n">
        <v>0</v>
      </c>
      <c r="K243" t="n">
        <v>0</v>
      </c>
      <c r="L243" t="n">
        <v>0</v>
      </c>
      <c r="M243" t="n">
        <v>0</v>
      </c>
      <c r="N243" t="n">
        <v>0</v>
      </c>
      <c r="O243" t="n">
        <v>0</v>
      </c>
      <c r="P243" t="n">
        <v>0</v>
      </c>
      <c r="Q243" t="n">
        <v>0</v>
      </c>
      <c r="R243" s="2" t="inlineStr"/>
    </row>
    <row r="244" ht="15" customHeight="1">
      <c r="A244" t="inlineStr">
        <is>
          <t>A 39556-2025</t>
        </is>
      </c>
      <c r="B244" s="1" t="n">
        <v>45890</v>
      </c>
      <c r="C244" s="1" t="n">
        <v>46128</v>
      </c>
      <c r="D244" t="inlineStr">
        <is>
          <t>VÄSTERBOTTENS LÄN</t>
        </is>
      </c>
      <c r="E244" t="inlineStr">
        <is>
          <t>ÅSELE</t>
        </is>
      </c>
      <c r="F244" t="inlineStr">
        <is>
          <t>SCA</t>
        </is>
      </c>
      <c r="G244" t="n">
        <v>5.7</v>
      </c>
      <c r="H244" t="n">
        <v>0</v>
      </c>
      <c r="I244" t="n">
        <v>0</v>
      </c>
      <c r="J244" t="n">
        <v>0</v>
      </c>
      <c r="K244" t="n">
        <v>0</v>
      </c>
      <c r="L244" t="n">
        <v>0</v>
      </c>
      <c r="M244" t="n">
        <v>0</v>
      </c>
      <c r="N244" t="n">
        <v>0</v>
      </c>
      <c r="O244" t="n">
        <v>0</v>
      </c>
      <c r="P244" t="n">
        <v>0</v>
      </c>
      <c r="Q244" t="n">
        <v>0</v>
      </c>
      <c r="R244" s="2" t="inlineStr"/>
    </row>
    <row r="245" ht="15" customHeight="1">
      <c r="A245" t="inlineStr">
        <is>
          <t>A 39647-2025</t>
        </is>
      </c>
      <c r="B245" s="1" t="n">
        <v>45890</v>
      </c>
      <c r="C245" s="1" t="n">
        <v>46128</v>
      </c>
      <c r="D245" t="inlineStr">
        <is>
          <t>VÄSTERBOTTENS LÄN</t>
        </is>
      </c>
      <c r="E245" t="inlineStr">
        <is>
          <t>ÅSELE</t>
        </is>
      </c>
      <c r="F245" t="inlineStr">
        <is>
          <t>SCA</t>
        </is>
      </c>
      <c r="G245" t="n">
        <v>11.4</v>
      </c>
      <c r="H245" t="n">
        <v>0</v>
      </c>
      <c r="I245" t="n">
        <v>0</v>
      </c>
      <c r="J245" t="n">
        <v>0</v>
      </c>
      <c r="K245" t="n">
        <v>0</v>
      </c>
      <c r="L245" t="n">
        <v>0</v>
      </c>
      <c r="M245" t="n">
        <v>0</v>
      </c>
      <c r="N245" t="n">
        <v>0</v>
      </c>
      <c r="O245" t="n">
        <v>0</v>
      </c>
      <c r="P245" t="n">
        <v>0</v>
      </c>
      <c r="Q245" t="n">
        <v>0</v>
      </c>
      <c r="R245" s="2" t="inlineStr"/>
    </row>
    <row r="246" ht="15" customHeight="1">
      <c r="A246" t="inlineStr">
        <is>
          <t>A 40969-2024</t>
        </is>
      </c>
      <c r="B246" s="1" t="n">
        <v>45558</v>
      </c>
      <c r="C246" s="1" t="n">
        <v>46128</v>
      </c>
      <c r="D246" t="inlineStr">
        <is>
          <t>VÄSTERBOTTENS LÄN</t>
        </is>
      </c>
      <c r="E246" t="inlineStr">
        <is>
          <t>ÅSELE</t>
        </is>
      </c>
      <c r="F246" t="inlineStr">
        <is>
          <t>Sveaskog</t>
        </is>
      </c>
      <c r="G246" t="n">
        <v>14.2</v>
      </c>
      <c r="H246" t="n">
        <v>0</v>
      </c>
      <c r="I246" t="n">
        <v>0</v>
      </c>
      <c r="J246" t="n">
        <v>0</v>
      </c>
      <c r="K246" t="n">
        <v>0</v>
      </c>
      <c r="L246" t="n">
        <v>0</v>
      </c>
      <c r="M246" t="n">
        <v>0</v>
      </c>
      <c r="N246" t="n">
        <v>0</v>
      </c>
      <c r="O246" t="n">
        <v>0</v>
      </c>
      <c r="P246" t="n">
        <v>0</v>
      </c>
      <c r="Q246" t="n">
        <v>0</v>
      </c>
      <c r="R246" s="2" t="inlineStr"/>
    </row>
    <row r="247" ht="15" customHeight="1">
      <c r="A247" t="inlineStr">
        <is>
          <t>A 38590-2021</t>
        </is>
      </c>
      <c r="B247" s="1" t="n">
        <v>44407</v>
      </c>
      <c r="C247" s="1" t="n">
        <v>46128</v>
      </c>
      <c r="D247" t="inlineStr">
        <is>
          <t>VÄSTERBOTTENS LÄN</t>
        </is>
      </c>
      <c r="E247" t="inlineStr">
        <is>
          <t>ÅSELE</t>
        </is>
      </c>
      <c r="F247" t="inlineStr">
        <is>
          <t>SCA</t>
        </is>
      </c>
      <c r="G247" t="n">
        <v>107.3</v>
      </c>
      <c r="H247" t="n">
        <v>0</v>
      </c>
      <c r="I247" t="n">
        <v>0</v>
      </c>
      <c r="J247" t="n">
        <v>0</v>
      </c>
      <c r="K247" t="n">
        <v>0</v>
      </c>
      <c r="L247" t="n">
        <v>0</v>
      </c>
      <c r="M247" t="n">
        <v>0</v>
      </c>
      <c r="N247" t="n">
        <v>0</v>
      </c>
      <c r="O247" t="n">
        <v>0</v>
      </c>
      <c r="P247" t="n">
        <v>0</v>
      </c>
      <c r="Q247" t="n">
        <v>0</v>
      </c>
      <c r="R247" s="2" t="inlineStr"/>
    </row>
    <row r="248" ht="15" customHeight="1">
      <c r="A248" t="inlineStr">
        <is>
          <t>A 70186-2021</t>
        </is>
      </c>
      <c r="B248" s="1" t="n">
        <v>44533.94483796296</v>
      </c>
      <c r="C248" s="1" t="n">
        <v>46128</v>
      </c>
      <c r="D248" t="inlineStr">
        <is>
          <t>VÄSTERBOTTENS LÄN</t>
        </is>
      </c>
      <c r="E248" t="inlineStr">
        <is>
          <t>ÅSELE</t>
        </is>
      </c>
      <c r="F248" t="inlineStr">
        <is>
          <t>SCA</t>
        </is>
      </c>
      <c r="G248" t="n">
        <v>6.4</v>
      </c>
      <c r="H248" t="n">
        <v>0</v>
      </c>
      <c r="I248" t="n">
        <v>0</v>
      </c>
      <c r="J248" t="n">
        <v>0</v>
      </c>
      <c r="K248" t="n">
        <v>0</v>
      </c>
      <c r="L248" t="n">
        <v>0</v>
      </c>
      <c r="M248" t="n">
        <v>0</v>
      </c>
      <c r="N248" t="n">
        <v>0</v>
      </c>
      <c r="O248" t="n">
        <v>0</v>
      </c>
      <c r="P248" t="n">
        <v>0</v>
      </c>
      <c r="Q248" t="n">
        <v>0</v>
      </c>
      <c r="R248" s="2" t="inlineStr"/>
    </row>
    <row r="249" ht="15" customHeight="1">
      <c r="A249" t="inlineStr">
        <is>
          <t>A 40124-2025</t>
        </is>
      </c>
      <c r="B249" s="1" t="n">
        <v>45894.53172453704</v>
      </c>
      <c r="C249" s="1" t="n">
        <v>46128</v>
      </c>
      <c r="D249" t="inlineStr">
        <is>
          <t>VÄSTERBOTTENS LÄN</t>
        </is>
      </c>
      <c r="E249" t="inlineStr">
        <is>
          <t>ÅSELE</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40035-2025</t>
        </is>
      </c>
      <c r="B250" s="1" t="n">
        <v>45894.38201388889</v>
      </c>
      <c r="C250" s="1" t="n">
        <v>46128</v>
      </c>
      <c r="D250" t="inlineStr">
        <is>
          <t>VÄSTERBOTTENS LÄN</t>
        </is>
      </c>
      <c r="E250" t="inlineStr">
        <is>
          <t>ÅSELE</t>
        </is>
      </c>
      <c r="G250" t="n">
        <v>3.3</v>
      </c>
      <c r="H250" t="n">
        <v>0</v>
      </c>
      <c r="I250" t="n">
        <v>0</v>
      </c>
      <c r="J250" t="n">
        <v>0</v>
      </c>
      <c r="K250" t="n">
        <v>0</v>
      </c>
      <c r="L250" t="n">
        <v>0</v>
      </c>
      <c r="M250" t="n">
        <v>0</v>
      </c>
      <c r="N250" t="n">
        <v>0</v>
      </c>
      <c r="O250" t="n">
        <v>0</v>
      </c>
      <c r="P250" t="n">
        <v>0</v>
      </c>
      <c r="Q250" t="n">
        <v>0</v>
      </c>
      <c r="R250" s="2" t="inlineStr"/>
    </row>
    <row r="251" ht="15" customHeight="1">
      <c r="A251" t="inlineStr">
        <is>
          <t>A 31348-2023</t>
        </is>
      </c>
      <c r="B251" s="1" t="n">
        <v>45114.4889699074</v>
      </c>
      <c r="C251" s="1" t="n">
        <v>46128</v>
      </c>
      <c r="D251" t="inlineStr">
        <is>
          <t>VÄSTERBOTTENS LÄN</t>
        </is>
      </c>
      <c r="E251" t="inlineStr">
        <is>
          <t>ÅSELE</t>
        </is>
      </c>
      <c r="F251" t="inlineStr">
        <is>
          <t>Holmen skog AB</t>
        </is>
      </c>
      <c r="G251" t="n">
        <v>5.8</v>
      </c>
      <c r="H251" t="n">
        <v>0</v>
      </c>
      <c r="I251" t="n">
        <v>0</v>
      </c>
      <c r="J251" t="n">
        <v>0</v>
      </c>
      <c r="K251" t="n">
        <v>0</v>
      </c>
      <c r="L251" t="n">
        <v>0</v>
      </c>
      <c r="M251" t="n">
        <v>0</v>
      </c>
      <c r="N251" t="n">
        <v>0</v>
      </c>
      <c r="O251" t="n">
        <v>0</v>
      </c>
      <c r="P251" t="n">
        <v>0</v>
      </c>
      <c r="Q251" t="n">
        <v>0</v>
      </c>
      <c r="R251" s="2" t="inlineStr"/>
    </row>
    <row r="252" ht="15" customHeight="1">
      <c r="A252" t="inlineStr">
        <is>
          <t>A 40223-2025</t>
        </is>
      </c>
      <c r="B252" s="1" t="n">
        <v>45894.69829861111</v>
      </c>
      <c r="C252" s="1" t="n">
        <v>46128</v>
      </c>
      <c r="D252" t="inlineStr">
        <is>
          <t>VÄSTERBOTTENS LÄN</t>
        </is>
      </c>
      <c r="E252" t="inlineStr">
        <is>
          <t>ÅSELE</t>
        </is>
      </c>
      <c r="F252" t="inlineStr">
        <is>
          <t>SCA</t>
        </is>
      </c>
      <c r="G252" t="n">
        <v>11.6</v>
      </c>
      <c r="H252" t="n">
        <v>0</v>
      </c>
      <c r="I252" t="n">
        <v>0</v>
      </c>
      <c r="J252" t="n">
        <v>0</v>
      </c>
      <c r="K252" t="n">
        <v>0</v>
      </c>
      <c r="L252" t="n">
        <v>0</v>
      </c>
      <c r="M252" t="n">
        <v>0</v>
      </c>
      <c r="N252" t="n">
        <v>0</v>
      </c>
      <c r="O252" t="n">
        <v>0</v>
      </c>
      <c r="P252" t="n">
        <v>0</v>
      </c>
      <c r="Q252" t="n">
        <v>0</v>
      </c>
      <c r="R252" s="2" t="inlineStr"/>
    </row>
    <row r="253" ht="15" customHeight="1">
      <c r="A253" t="inlineStr">
        <is>
          <t>A 25558-2024</t>
        </is>
      </c>
      <c r="B253" s="1" t="n">
        <v>45463.58045138889</v>
      </c>
      <c r="C253" s="1" t="n">
        <v>46128</v>
      </c>
      <c r="D253" t="inlineStr">
        <is>
          <t>VÄSTERBOTTENS LÄN</t>
        </is>
      </c>
      <c r="E253" t="inlineStr">
        <is>
          <t>ÅSELE</t>
        </is>
      </c>
      <c r="F253" t="inlineStr">
        <is>
          <t>Sveaskog</t>
        </is>
      </c>
      <c r="G253" t="n">
        <v>18.1</v>
      </c>
      <c r="H253" t="n">
        <v>0</v>
      </c>
      <c r="I253" t="n">
        <v>0</v>
      </c>
      <c r="J253" t="n">
        <v>0</v>
      </c>
      <c r="K253" t="n">
        <v>0</v>
      </c>
      <c r="L253" t="n">
        <v>0</v>
      </c>
      <c r="M253" t="n">
        <v>0</v>
      </c>
      <c r="N253" t="n">
        <v>0</v>
      </c>
      <c r="O253" t="n">
        <v>0</v>
      </c>
      <c r="P253" t="n">
        <v>0</v>
      </c>
      <c r="Q253" t="n">
        <v>0</v>
      </c>
      <c r="R253" s="2" t="inlineStr"/>
    </row>
    <row r="254" ht="15" customHeight="1">
      <c r="A254" t="inlineStr">
        <is>
          <t>A 40028-2025</t>
        </is>
      </c>
      <c r="B254" s="1" t="n">
        <v>45894.37039351852</v>
      </c>
      <c r="C254" s="1" t="n">
        <v>46128</v>
      </c>
      <c r="D254" t="inlineStr">
        <is>
          <t>VÄSTERBOTTENS LÄN</t>
        </is>
      </c>
      <c r="E254" t="inlineStr">
        <is>
          <t>ÅSELE</t>
        </is>
      </c>
      <c r="G254" t="n">
        <v>5.3</v>
      </c>
      <c r="H254" t="n">
        <v>0</v>
      </c>
      <c r="I254" t="n">
        <v>0</v>
      </c>
      <c r="J254" t="n">
        <v>0</v>
      </c>
      <c r="K254" t="n">
        <v>0</v>
      </c>
      <c r="L254" t="n">
        <v>0</v>
      </c>
      <c r="M254" t="n">
        <v>0</v>
      </c>
      <c r="N254" t="n">
        <v>0</v>
      </c>
      <c r="O254" t="n">
        <v>0</v>
      </c>
      <c r="P254" t="n">
        <v>0</v>
      </c>
      <c r="Q254" t="n">
        <v>0</v>
      </c>
      <c r="R254" s="2" t="inlineStr"/>
    </row>
    <row r="255" ht="15" customHeight="1">
      <c r="A255" t="inlineStr">
        <is>
          <t>A 39978-2025</t>
        </is>
      </c>
      <c r="B255" s="1" t="n">
        <v>45893.69837962963</v>
      </c>
      <c r="C255" s="1" t="n">
        <v>46128</v>
      </c>
      <c r="D255" t="inlineStr">
        <is>
          <t>VÄSTERBOTTENS LÄN</t>
        </is>
      </c>
      <c r="E255" t="inlineStr">
        <is>
          <t>ÅSELE</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39971-2025</t>
        </is>
      </c>
      <c r="B256" s="1" t="n">
        <v>45892.69835648148</v>
      </c>
      <c r="C256" s="1" t="n">
        <v>46128</v>
      </c>
      <c r="D256" t="inlineStr">
        <is>
          <t>VÄSTERBOTTENS LÄN</t>
        </is>
      </c>
      <c r="E256" t="inlineStr">
        <is>
          <t>ÅSELE</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2609-2024</t>
        </is>
      </c>
      <c r="B257" s="1" t="n">
        <v>45313</v>
      </c>
      <c r="C257" s="1" t="n">
        <v>46128</v>
      </c>
      <c r="D257" t="inlineStr">
        <is>
          <t>VÄSTERBOTTENS LÄN</t>
        </is>
      </c>
      <c r="E257" t="inlineStr">
        <is>
          <t>ÅSELE</t>
        </is>
      </c>
      <c r="F257" t="inlineStr">
        <is>
          <t>Övriga Aktiebolag</t>
        </is>
      </c>
      <c r="G257" t="n">
        <v>5.5</v>
      </c>
      <c r="H257" t="n">
        <v>0</v>
      </c>
      <c r="I257" t="n">
        <v>0</v>
      </c>
      <c r="J257" t="n">
        <v>0</v>
      </c>
      <c r="K257" t="n">
        <v>0</v>
      </c>
      <c r="L257" t="n">
        <v>0</v>
      </c>
      <c r="M257" t="n">
        <v>0</v>
      </c>
      <c r="N257" t="n">
        <v>0</v>
      </c>
      <c r="O257" t="n">
        <v>0</v>
      </c>
      <c r="P257" t="n">
        <v>0</v>
      </c>
      <c r="Q257" t="n">
        <v>0</v>
      </c>
      <c r="R257" s="2" t="inlineStr"/>
    </row>
    <row r="258" ht="15" customHeight="1">
      <c r="A258" t="inlineStr">
        <is>
          <t>A 40125-2025</t>
        </is>
      </c>
      <c r="B258" s="1" t="n">
        <v>45894.53178240741</v>
      </c>
      <c r="C258" s="1" t="n">
        <v>46128</v>
      </c>
      <c r="D258" t="inlineStr">
        <is>
          <t>VÄSTERBOTTENS LÄN</t>
        </is>
      </c>
      <c r="E258" t="inlineStr">
        <is>
          <t>ÅSELE</t>
        </is>
      </c>
      <c r="F258" t="inlineStr">
        <is>
          <t>SCA</t>
        </is>
      </c>
      <c r="G258" t="n">
        <v>5.7</v>
      </c>
      <c r="H258" t="n">
        <v>0</v>
      </c>
      <c r="I258" t="n">
        <v>0</v>
      </c>
      <c r="J258" t="n">
        <v>0</v>
      </c>
      <c r="K258" t="n">
        <v>0</v>
      </c>
      <c r="L258" t="n">
        <v>0</v>
      </c>
      <c r="M258" t="n">
        <v>0</v>
      </c>
      <c r="N258" t="n">
        <v>0</v>
      </c>
      <c r="O258" t="n">
        <v>0</v>
      </c>
      <c r="P258" t="n">
        <v>0</v>
      </c>
      <c r="Q258" t="n">
        <v>0</v>
      </c>
      <c r="R258" s="2" t="inlineStr"/>
    </row>
    <row r="259" ht="15" customHeight="1">
      <c r="A259" t="inlineStr">
        <is>
          <t>A 48248-2024</t>
        </is>
      </c>
      <c r="B259" s="1" t="n">
        <v>45590.40659722222</v>
      </c>
      <c r="C259" s="1" t="n">
        <v>46128</v>
      </c>
      <c r="D259" t="inlineStr">
        <is>
          <t>VÄSTERBOTTENS LÄN</t>
        </is>
      </c>
      <c r="E259" t="inlineStr">
        <is>
          <t>ÅSELE</t>
        </is>
      </c>
      <c r="F259" t="inlineStr">
        <is>
          <t>SCA</t>
        </is>
      </c>
      <c r="G259" t="n">
        <v>4</v>
      </c>
      <c r="H259" t="n">
        <v>0</v>
      </c>
      <c r="I259" t="n">
        <v>0</v>
      </c>
      <c r="J259" t="n">
        <v>0</v>
      </c>
      <c r="K259" t="n">
        <v>0</v>
      </c>
      <c r="L259" t="n">
        <v>0</v>
      </c>
      <c r="M259" t="n">
        <v>0</v>
      </c>
      <c r="N259" t="n">
        <v>0</v>
      </c>
      <c r="O259" t="n">
        <v>0</v>
      </c>
      <c r="P259" t="n">
        <v>0</v>
      </c>
      <c r="Q259" t="n">
        <v>0</v>
      </c>
      <c r="R259" s="2" t="inlineStr"/>
    </row>
    <row r="260" ht="15" customHeight="1">
      <c r="A260" t="inlineStr">
        <is>
          <t>A 31184-2023</t>
        </is>
      </c>
      <c r="B260" s="1" t="n">
        <v>45113</v>
      </c>
      <c r="C260" s="1" t="n">
        <v>46128</v>
      </c>
      <c r="D260" t="inlineStr">
        <is>
          <t>VÄSTERBOTTENS LÄN</t>
        </is>
      </c>
      <c r="E260" t="inlineStr">
        <is>
          <t>ÅSELE</t>
        </is>
      </c>
      <c r="F260" t="inlineStr">
        <is>
          <t>SCA</t>
        </is>
      </c>
      <c r="G260" t="n">
        <v>7.2</v>
      </c>
      <c r="H260" t="n">
        <v>0</v>
      </c>
      <c r="I260" t="n">
        <v>0</v>
      </c>
      <c r="J260" t="n">
        <v>0</v>
      </c>
      <c r="K260" t="n">
        <v>0</v>
      </c>
      <c r="L260" t="n">
        <v>0</v>
      </c>
      <c r="M260" t="n">
        <v>0</v>
      </c>
      <c r="N260" t="n">
        <v>0</v>
      </c>
      <c r="O260" t="n">
        <v>0</v>
      </c>
      <c r="P260" t="n">
        <v>0</v>
      </c>
      <c r="Q260" t="n">
        <v>0</v>
      </c>
      <c r="R260" s="2" t="inlineStr"/>
    </row>
    <row r="261" ht="15" customHeight="1">
      <c r="A261" t="inlineStr">
        <is>
          <t>A 917-2025</t>
        </is>
      </c>
      <c r="B261" s="1" t="n">
        <v>45665.77418981482</v>
      </c>
      <c r="C261" s="1" t="n">
        <v>46128</v>
      </c>
      <c r="D261" t="inlineStr">
        <is>
          <t>VÄSTERBOTTENS LÄN</t>
        </is>
      </c>
      <c r="E261" t="inlineStr">
        <is>
          <t>ÅSELE</t>
        </is>
      </c>
      <c r="G261" t="n">
        <v>1.8</v>
      </c>
      <c r="H261" t="n">
        <v>0</v>
      </c>
      <c r="I261" t="n">
        <v>0</v>
      </c>
      <c r="J261" t="n">
        <v>0</v>
      </c>
      <c r="K261" t="n">
        <v>0</v>
      </c>
      <c r="L261" t="n">
        <v>0</v>
      </c>
      <c r="M261" t="n">
        <v>0</v>
      </c>
      <c r="N261" t="n">
        <v>0</v>
      </c>
      <c r="O261" t="n">
        <v>0</v>
      </c>
      <c r="P261" t="n">
        <v>0</v>
      </c>
      <c r="Q261" t="n">
        <v>0</v>
      </c>
      <c r="R261" s="2" t="inlineStr"/>
    </row>
    <row r="262" ht="15" customHeight="1">
      <c r="A262" t="inlineStr">
        <is>
          <t>A 36880-2023</t>
        </is>
      </c>
      <c r="B262" s="1" t="n">
        <v>45154.58393518518</v>
      </c>
      <c r="C262" s="1" t="n">
        <v>46128</v>
      </c>
      <c r="D262" t="inlineStr">
        <is>
          <t>VÄSTERBOTTENS LÄN</t>
        </is>
      </c>
      <c r="E262" t="inlineStr">
        <is>
          <t>ÅSELE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40479-2025</t>
        </is>
      </c>
      <c r="B263" s="1" t="n">
        <v>45895.72991898148</v>
      </c>
      <c r="C263" s="1" t="n">
        <v>46128</v>
      </c>
      <c r="D263" t="inlineStr">
        <is>
          <t>VÄSTERBOTTENS LÄN</t>
        </is>
      </c>
      <c r="E263" t="inlineStr">
        <is>
          <t>ÅSELE</t>
        </is>
      </c>
      <c r="F263" t="inlineStr">
        <is>
          <t>Naturvårdsverket</t>
        </is>
      </c>
      <c r="G263" t="n">
        <v>4.4</v>
      </c>
      <c r="H263" t="n">
        <v>0</v>
      </c>
      <c r="I263" t="n">
        <v>0</v>
      </c>
      <c r="J263" t="n">
        <v>0</v>
      </c>
      <c r="K263" t="n">
        <v>0</v>
      </c>
      <c r="L263" t="n">
        <v>0</v>
      </c>
      <c r="M263" t="n">
        <v>0</v>
      </c>
      <c r="N263" t="n">
        <v>0</v>
      </c>
      <c r="O263" t="n">
        <v>0</v>
      </c>
      <c r="P263" t="n">
        <v>0</v>
      </c>
      <c r="Q263" t="n">
        <v>0</v>
      </c>
      <c r="R263" s="2" t="inlineStr"/>
    </row>
    <row r="264" ht="15" customHeight="1">
      <c r="A264" t="inlineStr">
        <is>
          <t>A 58807-2024</t>
        </is>
      </c>
      <c r="B264" s="1" t="n">
        <v>45636</v>
      </c>
      <c r="C264" s="1" t="n">
        <v>46128</v>
      </c>
      <c r="D264" t="inlineStr">
        <is>
          <t>VÄSTERBOTTENS LÄN</t>
        </is>
      </c>
      <c r="E264" t="inlineStr">
        <is>
          <t>ÅSELE</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40349-2025</t>
        </is>
      </c>
      <c r="B265" s="1" t="n">
        <v>45895.48251157408</v>
      </c>
      <c r="C265" s="1" t="n">
        <v>46128</v>
      </c>
      <c r="D265" t="inlineStr">
        <is>
          <t>VÄSTERBOTTENS LÄN</t>
        </is>
      </c>
      <c r="E265" t="inlineStr">
        <is>
          <t>ÅSELE</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40454-2025</t>
        </is>
      </c>
      <c r="B266" s="1" t="n">
        <v>45895.63664351852</v>
      </c>
      <c r="C266" s="1" t="n">
        <v>46128</v>
      </c>
      <c r="D266" t="inlineStr">
        <is>
          <t>VÄSTERBOTTENS LÄN</t>
        </is>
      </c>
      <c r="E266" t="inlineStr">
        <is>
          <t>ÅSELE</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26030-2021</t>
        </is>
      </c>
      <c r="B267" s="1" t="n">
        <v>44344</v>
      </c>
      <c r="C267" s="1" t="n">
        <v>46128</v>
      </c>
      <c r="D267" t="inlineStr">
        <is>
          <t>VÄSTERBOTTENS LÄN</t>
        </is>
      </c>
      <c r="E267" t="inlineStr">
        <is>
          <t>ÅSELE</t>
        </is>
      </c>
      <c r="G267" t="n">
        <v>1.1</v>
      </c>
      <c r="H267" t="n">
        <v>0</v>
      </c>
      <c r="I267" t="n">
        <v>0</v>
      </c>
      <c r="J267" t="n">
        <v>0</v>
      </c>
      <c r="K267" t="n">
        <v>0</v>
      </c>
      <c r="L267" t="n">
        <v>0</v>
      </c>
      <c r="M267" t="n">
        <v>0</v>
      </c>
      <c r="N267" t="n">
        <v>0</v>
      </c>
      <c r="O267" t="n">
        <v>0</v>
      </c>
      <c r="P267" t="n">
        <v>0</v>
      </c>
      <c r="Q267" t="n">
        <v>0</v>
      </c>
      <c r="R267" s="2" t="inlineStr"/>
    </row>
    <row r="268" ht="15" customHeight="1">
      <c r="A268" t="inlineStr">
        <is>
          <t>A 40350-2025</t>
        </is>
      </c>
      <c r="B268" s="1" t="n">
        <v>45895.48373842592</v>
      </c>
      <c r="C268" s="1" t="n">
        <v>46128</v>
      </c>
      <c r="D268" t="inlineStr">
        <is>
          <t>VÄSTERBOTTENS LÄN</t>
        </is>
      </c>
      <c r="E268" t="inlineStr">
        <is>
          <t>ÅSELE</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21935-2021</t>
        </is>
      </c>
      <c r="B269" s="1" t="n">
        <v>44322.93407407407</v>
      </c>
      <c r="C269" s="1" t="n">
        <v>46128</v>
      </c>
      <c r="D269" t="inlineStr">
        <is>
          <t>VÄSTERBOTTENS LÄN</t>
        </is>
      </c>
      <c r="E269" t="inlineStr">
        <is>
          <t>ÅSELE</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41160-2025</t>
        </is>
      </c>
      <c r="B270" s="1" t="n">
        <v>45898.53180555555</v>
      </c>
      <c r="C270" s="1" t="n">
        <v>46128</v>
      </c>
      <c r="D270" t="inlineStr">
        <is>
          <t>VÄSTERBOTTENS LÄN</t>
        </is>
      </c>
      <c r="E270" t="inlineStr">
        <is>
          <t>ÅSELE</t>
        </is>
      </c>
      <c r="F270" t="inlineStr">
        <is>
          <t>SCA</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41177-2025</t>
        </is>
      </c>
      <c r="B271" s="1" t="n">
        <v>45898.55245370371</v>
      </c>
      <c r="C271" s="1" t="n">
        <v>46128</v>
      </c>
      <c r="D271" t="inlineStr">
        <is>
          <t>VÄSTERBOTTENS LÄN</t>
        </is>
      </c>
      <c r="E271" t="inlineStr">
        <is>
          <t>ÅSELE</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46173-2023</t>
        </is>
      </c>
      <c r="B272" s="1" t="n">
        <v>45196.6055324074</v>
      </c>
      <c r="C272" s="1" t="n">
        <v>46128</v>
      </c>
      <c r="D272" t="inlineStr">
        <is>
          <t>VÄSTERBOTTENS LÄN</t>
        </is>
      </c>
      <c r="E272" t="inlineStr">
        <is>
          <t>ÅSELE</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46224-2023</t>
        </is>
      </c>
      <c r="B273" s="1" t="n">
        <v>45196</v>
      </c>
      <c r="C273" s="1" t="n">
        <v>46128</v>
      </c>
      <c r="D273" t="inlineStr">
        <is>
          <t>VÄSTERBOTTENS LÄN</t>
        </is>
      </c>
      <c r="E273" t="inlineStr">
        <is>
          <t>ÅSELE</t>
        </is>
      </c>
      <c r="F273" t="inlineStr">
        <is>
          <t>Naturvårdsverket</t>
        </is>
      </c>
      <c r="G273" t="n">
        <v>3</v>
      </c>
      <c r="H273" t="n">
        <v>0</v>
      </c>
      <c r="I273" t="n">
        <v>0</v>
      </c>
      <c r="J273" t="n">
        <v>0</v>
      </c>
      <c r="K273" t="n">
        <v>0</v>
      </c>
      <c r="L273" t="n">
        <v>0</v>
      </c>
      <c r="M273" t="n">
        <v>0</v>
      </c>
      <c r="N273" t="n">
        <v>0</v>
      </c>
      <c r="O273" t="n">
        <v>0</v>
      </c>
      <c r="P273" t="n">
        <v>0</v>
      </c>
      <c r="Q273" t="n">
        <v>0</v>
      </c>
      <c r="R273" s="2" t="inlineStr"/>
    </row>
    <row r="274" ht="15" customHeight="1">
      <c r="A274" t="inlineStr">
        <is>
          <t>A 13879-2025</t>
        </is>
      </c>
      <c r="B274" s="1" t="n">
        <v>45737</v>
      </c>
      <c r="C274" s="1" t="n">
        <v>46128</v>
      </c>
      <c r="D274" t="inlineStr">
        <is>
          <t>VÄSTERBOTTENS LÄN</t>
        </is>
      </c>
      <c r="E274" t="inlineStr">
        <is>
          <t>ÅSELE</t>
        </is>
      </c>
      <c r="F274" t="inlineStr">
        <is>
          <t>SCA</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28697-2024</t>
        </is>
      </c>
      <c r="B275" s="1" t="n">
        <v>45478</v>
      </c>
      <c r="C275" s="1" t="n">
        <v>46128</v>
      </c>
      <c r="D275" t="inlineStr">
        <is>
          <t>VÄSTERBOTTENS LÄN</t>
        </is>
      </c>
      <c r="E275" t="inlineStr">
        <is>
          <t>ÅSELE</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16570-2023</t>
        </is>
      </c>
      <c r="B276" s="1" t="n">
        <v>45029.94212962963</v>
      </c>
      <c r="C276" s="1" t="n">
        <v>46128</v>
      </c>
      <c r="D276" t="inlineStr">
        <is>
          <t>VÄSTERBOTTENS LÄN</t>
        </is>
      </c>
      <c r="E276" t="inlineStr">
        <is>
          <t>ÅSELE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12359-2024</t>
        </is>
      </c>
      <c r="B277" s="1" t="n">
        <v>45378.93795138889</v>
      </c>
      <c r="C277" s="1" t="n">
        <v>46128</v>
      </c>
      <c r="D277" t="inlineStr">
        <is>
          <t>VÄSTERBOTTENS LÄN</t>
        </is>
      </c>
      <c r="E277" t="inlineStr">
        <is>
          <t>ÅSELE</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40922-2025</t>
        </is>
      </c>
      <c r="B278" s="1" t="n">
        <v>45897.63563657407</v>
      </c>
      <c r="C278" s="1" t="n">
        <v>46128</v>
      </c>
      <c r="D278" t="inlineStr">
        <is>
          <t>VÄSTERBOTTENS LÄN</t>
        </is>
      </c>
      <c r="E278" t="inlineStr">
        <is>
          <t>ÅSELE</t>
        </is>
      </c>
      <c r="F278" t="inlineStr">
        <is>
          <t>Holmen skog AB</t>
        </is>
      </c>
      <c r="G278" t="n">
        <v>2.9</v>
      </c>
      <c r="H278" t="n">
        <v>0</v>
      </c>
      <c r="I278" t="n">
        <v>0</v>
      </c>
      <c r="J278" t="n">
        <v>0</v>
      </c>
      <c r="K278" t="n">
        <v>0</v>
      </c>
      <c r="L278" t="n">
        <v>0</v>
      </c>
      <c r="M278" t="n">
        <v>0</v>
      </c>
      <c r="N278" t="n">
        <v>0</v>
      </c>
      <c r="O278" t="n">
        <v>0</v>
      </c>
      <c r="P278" t="n">
        <v>0</v>
      </c>
      <c r="Q278" t="n">
        <v>0</v>
      </c>
      <c r="R278" s="2" t="inlineStr"/>
    </row>
    <row r="279" ht="15" customHeight="1">
      <c r="A279" t="inlineStr">
        <is>
          <t>A 50539-2022</t>
        </is>
      </c>
      <c r="B279" s="1" t="n">
        <v>44866</v>
      </c>
      <c r="C279" s="1" t="n">
        <v>46128</v>
      </c>
      <c r="D279" t="inlineStr">
        <is>
          <t>VÄSTERBOTTENS LÄN</t>
        </is>
      </c>
      <c r="E279" t="inlineStr">
        <is>
          <t>ÅSELE</t>
        </is>
      </c>
      <c r="F279" t="inlineStr">
        <is>
          <t>Holmen skog AB</t>
        </is>
      </c>
      <c r="G279" t="n">
        <v>4.9</v>
      </c>
      <c r="H279" t="n">
        <v>0</v>
      </c>
      <c r="I279" t="n">
        <v>0</v>
      </c>
      <c r="J279" t="n">
        <v>0</v>
      </c>
      <c r="K279" t="n">
        <v>0</v>
      </c>
      <c r="L279" t="n">
        <v>0</v>
      </c>
      <c r="M279" t="n">
        <v>0</v>
      </c>
      <c r="N279" t="n">
        <v>0</v>
      </c>
      <c r="O279" t="n">
        <v>0</v>
      </c>
      <c r="P279" t="n">
        <v>0</v>
      </c>
      <c r="Q279" t="n">
        <v>0</v>
      </c>
      <c r="R279" s="2" t="inlineStr"/>
    </row>
    <row r="280" ht="15" customHeight="1">
      <c r="A280" t="inlineStr">
        <is>
          <t>A 41523-2025</t>
        </is>
      </c>
      <c r="B280" s="1" t="n">
        <v>45901.55246527777</v>
      </c>
      <c r="C280" s="1" t="n">
        <v>46128</v>
      </c>
      <c r="D280" t="inlineStr">
        <is>
          <t>VÄSTERBOTTENS LÄN</t>
        </is>
      </c>
      <c r="E280" t="inlineStr">
        <is>
          <t>ÅSELE</t>
        </is>
      </c>
      <c r="F280" t="inlineStr">
        <is>
          <t>SCA</t>
        </is>
      </c>
      <c r="G280" t="n">
        <v>5.3</v>
      </c>
      <c r="H280" t="n">
        <v>0</v>
      </c>
      <c r="I280" t="n">
        <v>0</v>
      </c>
      <c r="J280" t="n">
        <v>0</v>
      </c>
      <c r="K280" t="n">
        <v>0</v>
      </c>
      <c r="L280" t="n">
        <v>0</v>
      </c>
      <c r="M280" t="n">
        <v>0</v>
      </c>
      <c r="N280" t="n">
        <v>0</v>
      </c>
      <c r="O280" t="n">
        <v>0</v>
      </c>
      <c r="P280" t="n">
        <v>0</v>
      </c>
      <c r="Q280" t="n">
        <v>0</v>
      </c>
      <c r="R280" s="2" t="inlineStr"/>
    </row>
    <row r="281" ht="15" customHeight="1">
      <c r="A281" t="inlineStr">
        <is>
          <t>A 34684-2023</t>
        </is>
      </c>
      <c r="B281" s="1" t="n">
        <v>45140</v>
      </c>
      <c r="C281" s="1" t="n">
        <v>46128</v>
      </c>
      <c r="D281" t="inlineStr">
        <is>
          <t>VÄSTERBOTTENS LÄN</t>
        </is>
      </c>
      <c r="E281" t="inlineStr">
        <is>
          <t>ÅSELE</t>
        </is>
      </c>
      <c r="G281" t="n">
        <v>5.9</v>
      </c>
      <c r="H281" t="n">
        <v>0</v>
      </c>
      <c r="I281" t="n">
        <v>0</v>
      </c>
      <c r="J281" t="n">
        <v>0</v>
      </c>
      <c r="K281" t="n">
        <v>0</v>
      </c>
      <c r="L281" t="n">
        <v>0</v>
      </c>
      <c r="M281" t="n">
        <v>0</v>
      </c>
      <c r="N281" t="n">
        <v>0</v>
      </c>
      <c r="O281" t="n">
        <v>0</v>
      </c>
      <c r="P281" t="n">
        <v>0</v>
      </c>
      <c r="Q281" t="n">
        <v>0</v>
      </c>
      <c r="R281" s="2" t="inlineStr"/>
    </row>
    <row r="282" ht="15" customHeight="1">
      <c r="A282" t="inlineStr">
        <is>
          <t>A 8855-2025</t>
        </is>
      </c>
      <c r="B282" s="1" t="n">
        <v>45713</v>
      </c>
      <c r="C282" s="1" t="n">
        <v>46128</v>
      </c>
      <c r="D282" t="inlineStr">
        <is>
          <t>VÄSTERBOTTENS LÄN</t>
        </is>
      </c>
      <c r="E282" t="inlineStr">
        <is>
          <t>ÅSELE</t>
        </is>
      </c>
      <c r="G282" t="n">
        <v>23.5</v>
      </c>
      <c r="H282" t="n">
        <v>0</v>
      </c>
      <c r="I282" t="n">
        <v>0</v>
      </c>
      <c r="J282" t="n">
        <v>0</v>
      </c>
      <c r="K282" t="n">
        <v>0</v>
      </c>
      <c r="L282" t="n">
        <v>0</v>
      </c>
      <c r="M282" t="n">
        <v>0</v>
      </c>
      <c r="N282" t="n">
        <v>0</v>
      </c>
      <c r="O282" t="n">
        <v>0</v>
      </c>
      <c r="P282" t="n">
        <v>0</v>
      </c>
      <c r="Q282" t="n">
        <v>0</v>
      </c>
      <c r="R282" s="2" t="inlineStr"/>
    </row>
    <row r="283" ht="15" customHeight="1">
      <c r="A283" t="inlineStr">
        <is>
          <t>A 48440-2023</t>
        </is>
      </c>
      <c r="B283" s="1" t="n">
        <v>45205</v>
      </c>
      <c r="C283" s="1" t="n">
        <v>46128</v>
      </c>
      <c r="D283" t="inlineStr">
        <is>
          <t>VÄSTERBOTTENS LÄN</t>
        </is>
      </c>
      <c r="E283" t="inlineStr">
        <is>
          <t>ÅSELE</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28724-2023</t>
        </is>
      </c>
      <c r="B284" s="1" t="n">
        <v>45103</v>
      </c>
      <c r="C284" s="1" t="n">
        <v>46128</v>
      </c>
      <c r="D284" t="inlineStr">
        <is>
          <t>VÄSTERBOTTENS LÄN</t>
        </is>
      </c>
      <c r="E284" t="inlineStr">
        <is>
          <t>ÅSELE</t>
        </is>
      </c>
      <c r="F284" t="inlineStr">
        <is>
          <t>Sveaskog</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41525-2025</t>
        </is>
      </c>
      <c r="B285" s="1" t="n">
        <v>45901.55268518518</v>
      </c>
      <c r="C285" s="1" t="n">
        <v>46128</v>
      </c>
      <c r="D285" t="inlineStr">
        <is>
          <t>VÄSTERBOTTENS LÄN</t>
        </is>
      </c>
      <c r="E285" t="inlineStr">
        <is>
          <t>ÅSELE</t>
        </is>
      </c>
      <c r="F285" t="inlineStr">
        <is>
          <t>SCA</t>
        </is>
      </c>
      <c r="G285" t="n">
        <v>5.4</v>
      </c>
      <c r="H285" t="n">
        <v>0</v>
      </c>
      <c r="I285" t="n">
        <v>0</v>
      </c>
      <c r="J285" t="n">
        <v>0</v>
      </c>
      <c r="K285" t="n">
        <v>0</v>
      </c>
      <c r="L285" t="n">
        <v>0</v>
      </c>
      <c r="M285" t="n">
        <v>0</v>
      </c>
      <c r="N285" t="n">
        <v>0</v>
      </c>
      <c r="O285" t="n">
        <v>0</v>
      </c>
      <c r="P285" t="n">
        <v>0</v>
      </c>
      <c r="Q285" t="n">
        <v>0</v>
      </c>
      <c r="R285" s="2" t="inlineStr"/>
    </row>
    <row r="286" ht="15" customHeight="1">
      <c r="A286" t="inlineStr">
        <is>
          <t>A 21095-2025</t>
        </is>
      </c>
      <c r="B286" s="1" t="n">
        <v>45777.63572916666</v>
      </c>
      <c r="C286" s="1" t="n">
        <v>46128</v>
      </c>
      <c r="D286" t="inlineStr">
        <is>
          <t>VÄSTERBOTTENS LÄN</t>
        </is>
      </c>
      <c r="E286" t="inlineStr">
        <is>
          <t>ÅSELE</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41409-2023</t>
        </is>
      </c>
      <c r="B287" s="1" t="n">
        <v>45174.93927083333</v>
      </c>
      <c r="C287" s="1" t="n">
        <v>46128</v>
      </c>
      <c r="D287" t="inlineStr">
        <is>
          <t>VÄSTERBOTTENS LÄN</t>
        </is>
      </c>
      <c r="E287" t="inlineStr">
        <is>
          <t>ÅSELE</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50030-2024</t>
        </is>
      </c>
      <c r="B288" s="1" t="n">
        <v>45599.74957175926</v>
      </c>
      <c r="C288" s="1" t="n">
        <v>46128</v>
      </c>
      <c r="D288" t="inlineStr">
        <is>
          <t>VÄSTERBOTTENS LÄN</t>
        </is>
      </c>
      <c r="E288" t="inlineStr">
        <is>
          <t>ÅSELE</t>
        </is>
      </c>
      <c r="G288" t="n">
        <v>4.4</v>
      </c>
      <c r="H288" t="n">
        <v>0</v>
      </c>
      <c r="I288" t="n">
        <v>0</v>
      </c>
      <c r="J288" t="n">
        <v>0</v>
      </c>
      <c r="K288" t="n">
        <v>0</v>
      </c>
      <c r="L288" t="n">
        <v>0</v>
      </c>
      <c r="M288" t="n">
        <v>0</v>
      </c>
      <c r="N288" t="n">
        <v>0</v>
      </c>
      <c r="O288" t="n">
        <v>0</v>
      </c>
      <c r="P288" t="n">
        <v>0</v>
      </c>
      <c r="Q288" t="n">
        <v>0</v>
      </c>
      <c r="R288" s="2" t="inlineStr"/>
    </row>
    <row r="289" ht="15" customHeight="1">
      <c r="A289" t="inlineStr">
        <is>
          <t>A 20384-2025</t>
        </is>
      </c>
      <c r="B289" s="1" t="n">
        <v>45775.44128472222</v>
      </c>
      <c r="C289" s="1" t="n">
        <v>46128</v>
      </c>
      <c r="D289" t="inlineStr">
        <is>
          <t>VÄSTERBOTTENS LÄN</t>
        </is>
      </c>
      <c r="E289" t="inlineStr">
        <is>
          <t>ÅSELE</t>
        </is>
      </c>
      <c r="G289" t="n">
        <v>12.6</v>
      </c>
      <c r="H289" t="n">
        <v>0</v>
      </c>
      <c r="I289" t="n">
        <v>0</v>
      </c>
      <c r="J289" t="n">
        <v>0</v>
      </c>
      <c r="K289" t="n">
        <v>0</v>
      </c>
      <c r="L289" t="n">
        <v>0</v>
      </c>
      <c r="M289" t="n">
        <v>0</v>
      </c>
      <c r="N289" t="n">
        <v>0</v>
      </c>
      <c r="O289" t="n">
        <v>0</v>
      </c>
      <c r="P289" t="n">
        <v>0</v>
      </c>
      <c r="Q289" t="n">
        <v>0</v>
      </c>
      <c r="R289" s="2" t="inlineStr"/>
    </row>
    <row r="290" ht="15" customHeight="1">
      <c r="A290" t="inlineStr">
        <is>
          <t>A 42068-2025</t>
        </is>
      </c>
      <c r="B290" s="1" t="n">
        <v>45903</v>
      </c>
      <c r="C290" s="1" t="n">
        <v>46128</v>
      </c>
      <c r="D290" t="inlineStr">
        <is>
          <t>VÄSTERBOTTENS LÄN</t>
        </is>
      </c>
      <c r="E290" t="inlineStr">
        <is>
          <t>ÅSELE</t>
        </is>
      </c>
      <c r="F290" t="inlineStr">
        <is>
          <t>SCA</t>
        </is>
      </c>
      <c r="G290" t="n">
        <v>13.5</v>
      </c>
      <c r="H290" t="n">
        <v>0</v>
      </c>
      <c r="I290" t="n">
        <v>0</v>
      </c>
      <c r="J290" t="n">
        <v>0</v>
      </c>
      <c r="K290" t="n">
        <v>0</v>
      </c>
      <c r="L290" t="n">
        <v>0</v>
      </c>
      <c r="M290" t="n">
        <v>0</v>
      </c>
      <c r="N290" t="n">
        <v>0</v>
      </c>
      <c r="O290" t="n">
        <v>0</v>
      </c>
      <c r="P290" t="n">
        <v>0</v>
      </c>
      <c r="Q290" t="n">
        <v>0</v>
      </c>
      <c r="R290" s="2" t="inlineStr"/>
    </row>
    <row r="291" ht="15" customHeight="1">
      <c r="A291" t="inlineStr">
        <is>
          <t>A 21219-2025</t>
        </is>
      </c>
      <c r="B291" s="1" t="n">
        <v>45779.4949537037</v>
      </c>
      <c r="C291" s="1" t="n">
        <v>46128</v>
      </c>
      <c r="D291" t="inlineStr">
        <is>
          <t>VÄSTERBOTTENS LÄN</t>
        </is>
      </c>
      <c r="E291" t="inlineStr">
        <is>
          <t>ÅSELE</t>
        </is>
      </c>
      <c r="F291" t="inlineStr">
        <is>
          <t>Holmen skog AB</t>
        </is>
      </c>
      <c r="G291" t="n">
        <v>4.6</v>
      </c>
      <c r="H291" t="n">
        <v>0</v>
      </c>
      <c r="I291" t="n">
        <v>0</v>
      </c>
      <c r="J291" t="n">
        <v>0</v>
      </c>
      <c r="K291" t="n">
        <v>0</v>
      </c>
      <c r="L291" t="n">
        <v>0</v>
      </c>
      <c r="M291" t="n">
        <v>0</v>
      </c>
      <c r="N291" t="n">
        <v>0</v>
      </c>
      <c r="O291" t="n">
        <v>0</v>
      </c>
      <c r="P291" t="n">
        <v>0</v>
      </c>
      <c r="Q291" t="n">
        <v>0</v>
      </c>
      <c r="R291" s="2" t="inlineStr"/>
    </row>
    <row r="292" ht="15" customHeight="1">
      <c r="A292" t="inlineStr">
        <is>
          <t>A 10772-2023</t>
        </is>
      </c>
      <c r="B292" s="1" t="n">
        <v>44988.93965277778</v>
      </c>
      <c r="C292" s="1" t="n">
        <v>46128</v>
      </c>
      <c r="D292" t="inlineStr">
        <is>
          <t>VÄSTERBOTTENS LÄN</t>
        </is>
      </c>
      <c r="E292" t="inlineStr">
        <is>
          <t>ÅSELE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42276-2025</t>
        </is>
      </c>
      <c r="B293" s="1" t="n">
        <v>45904.61506944444</v>
      </c>
      <c r="C293" s="1" t="n">
        <v>46128</v>
      </c>
      <c r="D293" t="inlineStr">
        <is>
          <t>VÄSTERBOTTENS LÄN</t>
        </is>
      </c>
      <c r="E293" t="inlineStr">
        <is>
          <t>ÅSELE</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41961-2025</t>
        </is>
      </c>
      <c r="B294" s="1" t="n">
        <v>45903</v>
      </c>
      <c r="C294" s="1" t="n">
        <v>46128</v>
      </c>
      <c r="D294" t="inlineStr">
        <is>
          <t>VÄSTERBOTTENS LÄN</t>
        </is>
      </c>
      <c r="E294" t="inlineStr">
        <is>
          <t>ÅSELE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42066-2025</t>
        </is>
      </c>
      <c r="B295" s="1" t="n">
        <v>45903.65673611111</v>
      </c>
      <c r="C295" s="1" t="n">
        <v>46128</v>
      </c>
      <c r="D295" t="inlineStr">
        <is>
          <t>VÄSTERBOTTENS LÄN</t>
        </is>
      </c>
      <c r="E295" t="inlineStr">
        <is>
          <t>ÅSELE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15777-2025</t>
        </is>
      </c>
      <c r="B296" s="1" t="n">
        <v>45748</v>
      </c>
      <c r="C296" s="1" t="n">
        <v>46128</v>
      </c>
      <c r="D296" t="inlineStr">
        <is>
          <t>VÄSTERBOTTENS LÄN</t>
        </is>
      </c>
      <c r="E296" t="inlineStr">
        <is>
          <t>ÅSELE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29599-2024</t>
        </is>
      </c>
      <c r="B297" s="1" t="n">
        <v>45484.59297453704</v>
      </c>
      <c r="C297" s="1" t="n">
        <v>46128</v>
      </c>
      <c r="D297" t="inlineStr">
        <is>
          <t>VÄSTERBOTTENS LÄN</t>
        </is>
      </c>
      <c r="E297" t="inlineStr">
        <is>
          <t>ÅSELE</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17447-2025</t>
        </is>
      </c>
      <c r="B298" s="1" t="n">
        <v>45757</v>
      </c>
      <c r="C298" s="1" t="n">
        <v>46128</v>
      </c>
      <c r="D298" t="inlineStr">
        <is>
          <t>VÄSTERBOTTENS LÄN</t>
        </is>
      </c>
      <c r="E298" t="inlineStr">
        <is>
          <t>ÅSELE</t>
        </is>
      </c>
      <c r="G298" t="n">
        <v>1.8</v>
      </c>
      <c r="H298" t="n">
        <v>0</v>
      </c>
      <c r="I298" t="n">
        <v>0</v>
      </c>
      <c r="J298" t="n">
        <v>0</v>
      </c>
      <c r="K298" t="n">
        <v>0</v>
      </c>
      <c r="L298" t="n">
        <v>0</v>
      </c>
      <c r="M298" t="n">
        <v>0</v>
      </c>
      <c r="N298" t="n">
        <v>0</v>
      </c>
      <c r="O298" t="n">
        <v>0</v>
      </c>
      <c r="P298" t="n">
        <v>0</v>
      </c>
      <c r="Q298" t="n">
        <v>0</v>
      </c>
      <c r="R298" s="2" t="inlineStr"/>
    </row>
    <row r="299" ht="15" customHeight="1">
      <c r="A299" t="inlineStr">
        <is>
          <t>A 2894-2025</t>
        </is>
      </c>
      <c r="B299" s="1" t="n">
        <v>45677</v>
      </c>
      <c r="C299" s="1" t="n">
        <v>46128</v>
      </c>
      <c r="D299" t="inlineStr">
        <is>
          <t>VÄSTERBOTTENS LÄN</t>
        </is>
      </c>
      <c r="E299" t="inlineStr">
        <is>
          <t>ÅSELE</t>
        </is>
      </c>
      <c r="G299" t="n">
        <v>1.5</v>
      </c>
      <c r="H299" t="n">
        <v>0</v>
      </c>
      <c r="I299" t="n">
        <v>0</v>
      </c>
      <c r="J299" t="n">
        <v>0</v>
      </c>
      <c r="K299" t="n">
        <v>0</v>
      </c>
      <c r="L299" t="n">
        <v>0</v>
      </c>
      <c r="M299" t="n">
        <v>0</v>
      </c>
      <c r="N299" t="n">
        <v>0</v>
      </c>
      <c r="O299" t="n">
        <v>0</v>
      </c>
      <c r="P299" t="n">
        <v>0</v>
      </c>
      <c r="Q299" t="n">
        <v>0</v>
      </c>
      <c r="R299" s="2" t="inlineStr"/>
    </row>
    <row r="300" ht="15" customHeight="1">
      <c r="A300" t="inlineStr">
        <is>
          <t>A 52280-2023</t>
        </is>
      </c>
      <c r="B300" s="1" t="n">
        <v>45224.57511574074</v>
      </c>
      <c r="C300" s="1" t="n">
        <v>46128</v>
      </c>
      <c r="D300" t="inlineStr">
        <is>
          <t>VÄSTERBOTTENS LÄN</t>
        </is>
      </c>
      <c r="E300" t="inlineStr">
        <is>
          <t>ÅSELE</t>
        </is>
      </c>
      <c r="F300" t="inlineStr">
        <is>
          <t>Holmen skog AB</t>
        </is>
      </c>
      <c r="G300" t="n">
        <v>15.4</v>
      </c>
      <c r="H300" t="n">
        <v>0</v>
      </c>
      <c r="I300" t="n">
        <v>0</v>
      </c>
      <c r="J300" t="n">
        <v>0</v>
      </c>
      <c r="K300" t="n">
        <v>0</v>
      </c>
      <c r="L300" t="n">
        <v>0</v>
      </c>
      <c r="M300" t="n">
        <v>0</v>
      </c>
      <c r="N300" t="n">
        <v>0</v>
      </c>
      <c r="O300" t="n">
        <v>0</v>
      </c>
      <c r="P300" t="n">
        <v>0</v>
      </c>
      <c r="Q300" t="n">
        <v>0</v>
      </c>
      <c r="R300" s="2" t="inlineStr"/>
    </row>
    <row r="301" ht="15" customHeight="1">
      <c r="A301" t="inlineStr">
        <is>
          <t>A 21044-2025</t>
        </is>
      </c>
      <c r="B301" s="1" t="n">
        <v>45777.55259259259</v>
      </c>
      <c r="C301" s="1" t="n">
        <v>46128</v>
      </c>
      <c r="D301" t="inlineStr">
        <is>
          <t>VÄSTERBOTTENS LÄN</t>
        </is>
      </c>
      <c r="E301" t="inlineStr">
        <is>
          <t>ÅSELE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42883-2025</t>
        </is>
      </c>
      <c r="B302" s="1" t="n">
        <v>45908.6425</v>
      </c>
      <c r="C302" s="1" t="n">
        <v>46128</v>
      </c>
      <c r="D302" t="inlineStr">
        <is>
          <t>VÄSTERBOTTENS LÄN</t>
        </is>
      </c>
      <c r="E302" t="inlineStr">
        <is>
          <t>ÅSELE</t>
        </is>
      </c>
      <c r="G302" t="n">
        <v>1.8</v>
      </c>
      <c r="H302" t="n">
        <v>0</v>
      </c>
      <c r="I302" t="n">
        <v>0</v>
      </c>
      <c r="J302" t="n">
        <v>0</v>
      </c>
      <c r="K302" t="n">
        <v>0</v>
      </c>
      <c r="L302" t="n">
        <v>0</v>
      </c>
      <c r="M302" t="n">
        <v>0</v>
      </c>
      <c r="N302" t="n">
        <v>0</v>
      </c>
      <c r="O302" t="n">
        <v>0</v>
      </c>
      <c r="P302" t="n">
        <v>0</v>
      </c>
      <c r="Q302" t="n">
        <v>0</v>
      </c>
      <c r="R302" s="2" t="inlineStr"/>
    </row>
    <row r="303" ht="15" customHeight="1">
      <c r="A303" t="inlineStr">
        <is>
          <t>A 53679-2024</t>
        </is>
      </c>
      <c r="B303" s="1" t="n">
        <v>45615</v>
      </c>
      <c r="C303" s="1" t="n">
        <v>46128</v>
      </c>
      <c r="D303" t="inlineStr">
        <is>
          <t>VÄSTERBOTTENS LÄN</t>
        </is>
      </c>
      <c r="E303" t="inlineStr">
        <is>
          <t>ÅSELE</t>
        </is>
      </c>
      <c r="F303" t="inlineStr">
        <is>
          <t>SCA</t>
        </is>
      </c>
      <c r="G303" t="n">
        <v>5.2</v>
      </c>
      <c r="H303" t="n">
        <v>0</v>
      </c>
      <c r="I303" t="n">
        <v>0</v>
      </c>
      <c r="J303" t="n">
        <v>0</v>
      </c>
      <c r="K303" t="n">
        <v>0</v>
      </c>
      <c r="L303" t="n">
        <v>0</v>
      </c>
      <c r="M303" t="n">
        <v>0</v>
      </c>
      <c r="N303" t="n">
        <v>0</v>
      </c>
      <c r="O303" t="n">
        <v>0</v>
      </c>
      <c r="P303" t="n">
        <v>0</v>
      </c>
      <c r="Q303" t="n">
        <v>0</v>
      </c>
      <c r="R303" s="2" t="inlineStr"/>
    </row>
    <row r="304" ht="15" customHeight="1">
      <c r="A304" t="inlineStr">
        <is>
          <t>A 22486-2025</t>
        </is>
      </c>
      <c r="B304" s="1" t="n">
        <v>45786.64646990741</v>
      </c>
      <c r="C304" s="1" t="n">
        <v>46128</v>
      </c>
      <c r="D304" t="inlineStr">
        <is>
          <t>VÄSTERBOTTENS LÄN</t>
        </is>
      </c>
      <c r="E304" t="inlineStr">
        <is>
          <t>ÅSELE</t>
        </is>
      </c>
      <c r="F304" t="inlineStr">
        <is>
          <t>Holmen skog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42560-2025</t>
        </is>
      </c>
      <c r="B305" s="1" t="n">
        <v>45905.59663194444</v>
      </c>
      <c r="C305" s="1" t="n">
        <v>46128</v>
      </c>
      <c r="D305" t="inlineStr">
        <is>
          <t>VÄSTERBOTTENS LÄN</t>
        </is>
      </c>
      <c r="E305" t="inlineStr">
        <is>
          <t>ÅSELE</t>
        </is>
      </c>
      <c r="G305" t="n">
        <v>6.3</v>
      </c>
      <c r="H305" t="n">
        <v>0</v>
      </c>
      <c r="I305" t="n">
        <v>0</v>
      </c>
      <c r="J305" t="n">
        <v>0</v>
      </c>
      <c r="K305" t="n">
        <v>0</v>
      </c>
      <c r="L305" t="n">
        <v>0</v>
      </c>
      <c r="M305" t="n">
        <v>0</v>
      </c>
      <c r="N305" t="n">
        <v>0</v>
      </c>
      <c r="O305" t="n">
        <v>0</v>
      </c>
      <c r="P305" t="n">
        <v>0</v>
      </c>
      <c r="Q305" t="n">
        <v>0</v>
      </c>
      <c r="R305" s="2" t="inlineStr"/>
    </row>
    <row r="306" ht="15" customHeight="1">
      <c r="A306" t="inlineStr">
        <is>
          <t>A 20304-2025</t>
        </is>
      </c>
      <c r="B306" s="1" t="n">
        <v>45774</v>
      </c>
      <c r="C306" s="1" t="n">
        <v>46128</v>
      </c>
      <c r="D306" t="inlineStr">
        <is>
          <t>VÄSTERBOTTENS LÄN</t>
        </is>
      </c>
      <c r="E306" t="inlineStr">
        <is>
          <t>ÅSELE</t>
        </is>
      </c>
      <c r="G306" t="n">
        <v>2.2</v>
      </c>
      <c r="H306" t="n">
        <v>0</v>
      </c>
      <c r="I306" t="n">
        <v>0</v>
      </c>
      <c r="J306" t="n">
        <v>0</v>
      </c>
      <c r="K306" t="n">
        <v>0</v>
      </c>
      <c r="L306" t="n">
        <v>0</v>
      </c>
      <c r="M306" t="n">
        <v>0</v>
      </c>
      <c r="N306" t="n">
        <v>0</v>
      </c>
      <c r="O306" t="n">
        <v>0</v>
      </c>
      <c r="P306" t="n">
        <v>0</v>
      </c>
      <c r="Q306" t="n">
        <v>0</v>
      </c>
      <c r="R306" s="2" t="inlineStr"/>
    </row>
    <row r="307" ht="15" customHeight="1">
      <c r="A307" t="inlineStr">
        <is>
          <t>A 22908-2025</t>
        </is>
      </c>
      <c r="B307" s="1" t="n">
        <v>45790</v>
      </c>
      <c r="C307" s="1" t="n">
        <v>46128</v>
      </c>
      <c r="D307" t="inlineStr">
        <is>
          <t>VÄSTERBOTTENS LÄN</t>
        </is>
      </c>
      <c r="E307" t="inlineStr">
        <is>
          <t>ÅSELE</t>
        </is>
      </c>
      <c r="G307" t="n">
        <v>7.3</v>
      </c>
      <c r="H307" t="n">
        <v>0</v>
      </c>
      <c r="I307" t="n">
        <v>0</v>
      </c>
      <c r="J307" t="n">
        <v>0</v>
      </c>
      <c r="K307" t="n">
        <v>0</v>
      </c>
      <c r="L307" t="n">
        <v>0</v>
      </c>
      <c r="M307" t="n">
        <v>0</v>
      </c>
      <c r="N307" t="n">
        <v>0</v>
      </c>
      <c r="O307" t="n">
        <v>0</v>
      </c>
      <c r="P307" t="n">
        <v>0</v>
      </c>
      <c r="Q307" t="n">
        <v>0</v>
      </c>
      <c r="R307" s="2" t="inlineStr"/>
    </row>
    <row r="308" ht="15" customHeight="1">
      <c r="A308" t="inlineStr">
        <is>
          <t>A 46691-2023</t>
        </is>
      </c>
      <c r="B308" s="1" t="n">
        <v>45198.52241898148</v>
      </c>
      <c r="C308" s="1" t="n">
        <v>46128</v>
      </c>
      <c r="D308" t="inlineStr">
        <is>
          <t>VÄSTERBOTTENS LÄN</t>
        </is>
      </c>
      <c r="E308" t="inlineStr">
        <is>
          <t>ÅSELE</t>
        </is>
      </c>
      <c r="F308" t="inlineStr">
        <is>
          <t>Sveaskog</t>
        </is>
      </c>
      <c r="G308" t="n">
        <v>11.1</v>
      </c>
      <c r="H308" t="n">
        <v>0</v>
      </c>
      <c r="I308" t="n">
        <v>0</v>
      </c>
      <c r="J308" t="n">
        <v>0</v>
      </c>
      <c r="K308" t="n">
        <v>0</v>
      </c>
      <c r="L308" t="n">
        <v>0</v>
      </c>
      <c r="M308" t="n">
        <v>0</v>
      </c>
      <c r="N308" t="n">
        <v>0</v>
      </c>
      <c r="O308" t="n">
        <v>0</v>
      </c>
      <c r="P308" t="n">
        <v>0</v>
      </c>
      <c r="Q308" t="n">
        <v>0</v>
      </c>
      <c r="R308" s="2" t="inlineStr"/>
    </row>
    <row r="309" ht="15" customHeight="1">
      <c r="A309" t="inlineStr">
        <is>
          <t>A 33219-2021</t>
        </is>
      </c>
      <c r="B309" s="1" t="n">
        <v>44376.93453703704</v>
      </c>
      <c r="C309" s="1" t="n">
        <v>46128</v>
      </c>
      <c r="D309" t="inlineStr">
        <is>
          <t>VÄSTERBOTTENS LÄN</t>
        </is>
      </c>
      <c r="E309" t="inlineStr">
        <is>
          <t>ÅSELE</t>
        </is>
      </c>
      <c r="F309" t="inlineStr">
        <is>
          <t>SCA</t>
        </is>
      </c>
      <c r="G309" t="n">
        <v>3.9</v>
      </c>
      <c r="H309" t="n">
        <v>0</v>
      </c>
      <c r="I309" t="n">
        <v>0</v>
      </c>
      <c r="J309" t="n">
        <v>0</v>
      </c>
      <c r="K309" t="n">
        <v>0</v>
      </c>
      <c r="L309" t="n">
        <v>0</v>
      </c>
      <c r="M309" t="n">
        <v>0</v>
      </c>
      <c r="N309" t="n">
        <v>0</v>
      </c>
      <c r="O309" t="n">
        <v>0</v>
      </c>
      <c r="P309" t="n">
        <v>0</v>
      </c>
      <c r="Q309" t="n">
        <v>0</v>
      </c>
      <c r="R309" s="2" t="inlineStr"/>
    </row>
    <row r="310" ht="15" customHeight="1">
      <c r="A310" t="inlineStr">
        <is>
          <t>A 62534-2021</t>
        </is>
      </c>
      <c r="B310" s="1" t="n">
        <v>44503</v>
      </c>
      <c r="C310" s="1" t="n">
        <v>46128</v>
      </c>
      <c r="D310" t="inlineStr">
        <is>
          <t>VÄSTERBOTTENS LÄN</t>
        </is>
      </c>
      <c r="E310" t="inlineStr">
        <is>
          <t>ÅSELE</t>
        </is>
      </c>
      <c r="F310" t="inlineStr">
        <is>
          <t>Holmen skog AB</t>
        </is>
      </c>
      <c r="G310" t="n">
        <v>4.2</v>
      </c>
      <c r="H310" t="n">
        <v>0</v>
      </c>
      <c r="I310" t="n">
        <v>0</v>
      </c>
      <c r="J310" t="n">
        <v>0</v>
      </c>
      <c r="K310" t="n">
        <v>0</v>
      </c>
      <c r="L310" t="n">
        <v>0</v>
      </c>
      <c r="M310" t="n">
        <v>0</v>
      </c>
      <c r="N310" t="n">
        <v>0</v>
      </c>
      <c r="O310" t="n">
        <v>0</v>
      </c>
      <c r="P310" t="n">
        <v>0</v>
      </c>
      <c r="Q310" t="n">
        <v>0</v>
      </c>
      <c r="R310" s="2" t="inlineStr"/>
    </row>
    <row r="311" ht="15" customHeight="1">
      <c r="A311" t="inlineStr">
        <is>
          <t>A 43334-2025</t>
        </is>
      </c>
      <c r="B311" s="1" t="n">
        <v>45910.71481481481</v>
      </c>
      <c r="C311" s="1" t="n">
        <v>46128</v>
      </c>
      <c r="D311" t="inlineStr">
        <is>
          <t>VÄSTERBOTTENS LÄN</t>
        </is>
      </c>
      <c r="E311" t="inlineStr">
        <is>
          <t>ÅSELE</t>
        </is>
      </c>
      <c r="F311" t="inlineStr">
        <is>
          <t>Holmen skog AB</t>
        </is>
      </c>
      <c r="G311" t="n">
        <v>5</v>
      </c>
      <c r="H311" t="n">
        <v>0</v>
      </c>
      <c r="I311" t="n">
        <v>0</v>
      </c>
      <c r="J311" t="n">
        <v>0</v>
      </c>
      <c r="K311" t="n">
        <v>0</v>
      </c>
      <c r="L311" t="n">
        <v>0</v>
      </c>
      <c r="M311" t="n">
        <v>0</v>
      </c>
      <c r="N311" t="n">
        <v>0</v>
      </c>
      <c r="O311" t="n">
        <v>0</v>
      </c>
      <c r="P311" t="n">
        <v>0</v>
      </c>
      <c r="Q311" t="n">
        <v>0</v>
      </c>
      <c r="R311" s="2" t="inlineStr"/>
    </row>
    <row r="312" ht="15" customHeight="1">
      <c r="A312" t="inlineStr">
        <is>
          <t>A 43289-2025</t>
        </is>
      </c>
      <c r="B312" s="1" t="n">
        <v>45910</v>
      </c>
      <c r="C312" s="1" t="n">
        <v>46128</v>
      </c>
      <c r="D312" t="inlineStr">
        <is>
          <t>VÄSTERBOTTENS LÄN</t>
        </is>
      </c>
      <c r="E312" t="inlineStr">
        <is>
          <t>ÅSELE</t>
        </is>
      </c>
      <c r="F312" t="inlineStr">
        <is>
          <t>Kyrkan</t>
        </is>
      </c>
      <c r="G312" t="n">
        <v>1.6</v>
      </c>
      <c r="H312" t="n">
        <v>0</v>
      </c>
      <c r="I312" t="n">
        <v>0</v>
      </c>
      <c r="J312" t="n">
        <v>0</v>
      </c>
      <c r="K312" t="n">
        <v>0</v>
      </c>
      <c r="L312" t="n">
        <v>0</v>
      </c>
      <c r="M312" t="n">
        <v>0</v>
      </c>
      <c r="N312" t="n">
        <v>0</v>
      </c>
      <c r="O312" t="n">
        <v>0</v>
      </c>
      <c r="P312" t="n">
        <v>0</v>
      </c>
      <c r="Q312" t="n">
        <v>0</v>
      </c>
      <c r="R312" s="2" t="inlineStr"/>
    </row>
    <row r="313" ht="15" customHeight="1">
      <c r="A313" t="inlineStr">
        <is>
          <t>A 26677-2023</t>
        </is>
      </c>
      <c r="B313" s="1" t="n">
        <v>45093.31925925926</v>
      </c>
      <c r="C313" s="1" t="n">
        <v>46128</v>
      </c>
      <c r="D313" t="inlineStr">
        <is>
          <t>VÄSTERBOTTENS LÄN</t>
        </is>
      </c>
      <c r="E313" t="inlineStr">
        <is>
          <t>ÅSELE</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22144-2025</t>
        </is>
      </c>
      <c r="B314" s="1" t="n">
        <v>45785.55258101852</v>
      </c>
      <c r="C314" s="1" t="n">
        <v>46128</v>
      </c>
      <c r="D314" t="inlineStr">
        <is>
          <t>VÄSTERBOTTENS LÄN</t>
        </is>
      </c>
      <c r="E314" t="inlineStr">
        <is>
          <t>ÅSELE</t>
        </is>
      </c>
      <c r="G314" t="n">
        <v>8.4</v>
      </c>
      <c r="H314" t="n">
        <v>0</v>
      </c>
      <c r="I314" t="n">
        <v>0</v>
      </c>
      <c r="J314" t="n">
        <v>0</v>
      </c>
      <c r="K314" t="n">
        <v>0</v>
      </c>
      <c r="L314" t="n">
        <v>0</v>
      </c>
      <c r="M314" t="n">
        <v>0</v>
      </c>
      <c r="N314" t="n">
        <v>0</v>
      </c>
      <c r="O314" t="n">
        <v>0</v>
      </c>
      <c r="P314" t="n">
        <v>0</v>
      </c>
      <c r="Q314" t="n">
        <v>0</v>
      </c>
      <c r="R314" s="2" t="inlineStr"/>
    </row>
    <row r="315" ht="15" customHeight="1">
      <c r="A315" t="inlineStr">
        <is>
          <t>A 42935-2025</t>
        </is>
      </c>
      <c r="B315" s="1" t="n">
        <v>45909.32541666667</v>
      </c>
      <c r="C315" s="1" t="n">
        <v>46128</v>
      </c>
      <c r="D315" t="inlineStr">
        <is>
          <t>VÄSTERBOTTENS LÄN</t>
        </is>
      </c>
      <c r="E315" t="inlineStr">
        <is>
          <t>ÅSELE</t>
        </is>
      </c>
      <c r="G315" t="n">
        <v>0.8</v>
      </c>
      <c r="H315" t="n">
        <v>0</v>
      </c>
      <c r="I315" t="n">
        <v>0</v>
      </c>
      <c r="J315" t="n">
        <v>0</v>
      </c>
      <c r="K315" t="n">
        <v>0</v>
      </c>
      <c r="L315" t="n">
        <v>0</v>
      </c>
      <c r="M315" t="n">
        <v>0</v>
      </c>
      <c r="N315" t="n">
        <v>0</v>
      </c>
      <c r="O315" t="n">
        <v>0</v>
      </c>
      <c r="P315" t="n">
        <v>0</v>
      </c>
      <c r="Q315" t="n">
        <v>0</v>
      </c>
      <c r="R315" s="2" t="inlineStr"/>
    </row>
    <row r="316" ht="15" customHeight="1">
      <c r="A316" t="inlineStr">
        <is>
          <t>A 10770-2024</t>
        </is>
      </c>
      <c r="B316" s="1" t="n">
        <v>45369</v>
      </c>
      <c r="C316" s="1" t="n">
        <v>46128</v>
      </c>
      <c r="D316" t="inlineStr">
        <is>
          <t>VÄSTERBOTTENS LÄN</t>
        </is>
      </c>
      <c r="E316" t="inlineStr">
        <is>
          <t>ÅSELE</t>
        </is>
      </c>
      <c r="F316" t="inlineStr">
        <is>
          <t>Holmen skog AB</t>
        </is>
      </c>
      <c r="G316" t="n">
        <v>4.2</v>
      </c>
      <c r="H316" t="n">
        <v>0</v>
      </c>
      <c r="I316" t="n">
        <v>0</v>
      </c>
      <c r="J316" t="n">
        <v>0</v>
      </c>
      <c r="K316" t="n">
        <v>0</v>
      </c>
      <c r="L316" t="n">
        <v>0</v>
      </c>
      <c r="M316" t="n">
        <v>0</v>
      </c>
      <c r="N316" t="n">
        <v>0</v>
      </c>
      <c r="O316" t="n">
        <v>0</v>
      </c>
      <c r="P316" t="n">
        <v>0</v>
      </c>
      <c r="Q316" t="n">
        <v>0</v>
      </c>
      <c r="R316" s="2" t="inlineStr"/>
    </row>
    <row r="317" ht="15" customHeight="1">
      <c r="A317" t="inlineStr">
        <is>
          <t>A 5955-2024</t>
        </is>
      </c>
      <c r="B317" s="1" t="n">
        <v>45336.44858796296</v>
      </c>
      <c r="C317" s="1" t="n">
        <v>46128</v>
      </c>
      <c r="D317" t="inlineStr">
        <is>
          <t>VÄSTERBOTTENS LÄN</t>
        </is>
      </c>
      <c r="E317" t="inlineStr">
        <is>
          <t>ÅSELE</t>
        </is>
      </c>
      <c r="F317" t="inlineStr">
        <is>
          <t>Naturvårdsverket</t>
        </is>
      </c>
      <c r="G317" t="n">
        <v>22.6</v>
      </c>
      <c r="H317" t="n">
        <v>0</v>
      </c>
      <c r="I317" t="n">
        <v>0</v>
      </c>
      <c r="J317" t="n">
        <v>0</v>
      </c>
      <c r="K317" t="n">
        <v>0</v>
      </c>
      <c r="L317" t="n">
        <v>0</v>
      </c>
      <c r="M317" t="n">
        <v>0</v>
      </c>
      <c r="N317" t="n">
        <v>0</v>
      </c>
      <c r="O317" t="n">
        <v>0</v>
      </c>
      <c r="P317" t="n">
        <v>0</v>
      </c>
      <c r="Q317" t="n">
        <v>0</v>
      </c>
      <c r="R317" s="2" t="inlineStr"/>
    </row>
    <row r="318" ht="15" customHeight="1">
      <c r="A318" t="inlineStr">
        <is>
          <t>A 17805-2025</t>
        </is>
      </c>
      <c r="B318" s="1" t="n">
        <v>45758.5525462963</v>
      </c>
      <c r="C318" s="1" t="n">
        <v>46128</v>
      </c>
      <c r="D318" t="inlineStr">
        <is>
          <t>VÄSTERBOTTENS LÄN</t>
        </is>
      </c>
      <c r="E318" t="inlineStr">
        <is>
          <t>ÅSELE</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19572-2025</t>
        </is>
      </c>
      <c r="B319" s="1" t="n">
        <v>45770.55261574074</v>
      </c>
      <c r="C319" s="1" t="n">
        <v>46128</v>
      </c>
      <c r="D319" t="inlineStr">
        <is>
          <t>VÄSTERBOTTENS LÄN</t>
        </is>
      </c>
      <c r="E319" t="inlineStr">
        <is>
          <t>ÅSELE</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43540-2025</t>
        </is>
      </c>
      <c r="B320" s="1" t="n">
        <v>45911.60609953704</v>
      </c>
      <c r="C320" s="1" t="n">
        <v>46128</v>
      </c>
      <c r="D320" t="inlineStr">
        <is>
          <t>VÄSTERBOTTENS LÄN</t>
        </is>
      </c>
      <c r="E320" t="inlineStr">
        <is>
          <t>ÅSELE</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43547-2025</t>
        </is>
      </c>
      <c r="B321" s="1" t="n">
        <v>45911.61565972222</v>
      </c>
      <c r="C321" s="1" t="n">
        <v>46128</v>
      </c>
      <c r="D321" t="inlineStr">
        <is>
          <t>VÄSTERBOTTENS LÄN</t>
        </is>
      </c>
      <c r="E321" t="inlineStr">
        <is>
          <t>ÅSELE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43518-2025</t>
        </is>
      </c>
      <c r="B322" s="1" t="n">
        <v>45911.57329861111</v>
      </c>
      <c r="C322" s="1" t="n">
        <v>46128</v>
      </c>
      <c r="D322" t="inlineStr">
        <is>
          <t>VÄSTERBOTTENS LÄN</t>
        </is>
      </c>
      <c r="E322" t="inlineStr">
        <is>
          <t>ÅSELE</t>
        </is>
      </c>
      <c r="F322" t="inlineStr">
        <is>
          <t>SCA</t>
        </is>
      </c>
      <c r="G322" t="n">
        <v>4.5</v>
      </c>
      <c r="H322" t="n">
        <v>0</v>
      </c>
      <c r="I322" t="n">
        <v>0</v>
      </c>
      <c r="J322" t="n">
        <v>0</v>
      </c>
      <c r="K322" t="n">
        <v>0</v>
      </c>
      <c r="L322" t="n">
        <v>0</v>
      </c>
      <c r="M322" t="n">
        <v>0</v>
      </c>
      <c r="N322" t="n">
        <v>0</v>
      </c>
      <c r="O322" t="n">
        <v>0</v>
      </c>
      <c r="P322" t="n">
        <v>0</v>
      </c>
      <c r="Q322" t="n">
        <v>0</v>
      </c>
      <c r="R322" s="2" t="inlineStr"/>
    </row>
    <row r="323" ht="15" customHeight="1">
      <c r="A323" t="inlineStr">
        <is>
          <t>A 43657-2025</t>
        </is>
      </c>
      <c r="B323" s="1" t="n">
        <v>45912.34260416667</v>
      </c>
      <c r="C323" s="1" t="n">
        <v>46128</v>
      </c>
      <c r="D323" t="inlineStr">
        <is>
          <t>VÄSTERBOTTENS LÄN</t>
        </is>
      </c>
      <c r="E323" t="inlineStr">
        <is>
          <t>ÅSELE</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6326-2025</t>
        </is>
      </c>
      <c r="B324" s="1" t="n">
        <v>45698.85268518519</v>
      </c>
      <c r="C324" s="1" t="n">
        <v>46128</v>
      </c>
      <c r="D324" t="inlineStr">
        <is>
          <t>VÄSTERBOTTENS LÄN</t>
        </is>
      </c>
      <c r="E324" t="inlineStr">
        <is>
          <t>ÅSELE</t>
        </is>
      </c>
      <c r="G324" t="n">
        <v>4.4</v>
      </c>
      <c r="H324" t="n">
        <v>0</v>
      </c>
      <c r="I324" t="n">
        <v>0</v>
      </c>
      <c r="J324" t="n">
        <v>0</v>
      </c>
      <c r="K324" t="n">
        <v>0</v>
      </c>
      <c r="L324" t="n">
        <v>0</v>
      </c>
      <c r="M324" t="n">
        <v>0</v>
      </c>
      <c r="N324" t="n">
        <v>0</v>
      </c>
      <c r="O324" t="n">
        <v>0</v>
      </c>
      <c r="P324" t="n">
        <v>0</v>
      </c>
      <c r="Q324" t="n">
        <v>0</v>
      </c>
      <c r="R324" s="2" t="inlineStr"/>
    </row>
    <row r="325" ht="15" customHeight="1">
      <c r="A325" t="inlineStr">
        <is>
          <t>A 43489-2025</t>
        </is>
      </c>
      <c r="B325" s="1" t="n">
        <v>45911.51107638889</v>
      </c>
      <c r="C325" s="1" t="n">
        <v>46128</v>
      </c>
      <c r="D325" t="inlineStr">
        <is>
          <t>VÄSTERBOTTENS LÄN</t>
        </is>
      </c>
      <c r="E325" t="inlineStr">
        <is>
          <t>ÅSELE</t>
        </is>
      </c>
      <c r="F325" t="inlineStr">
        <is>
          <t>SCA</t>
        </is>
      </c>
      <c r="G325" t="n">
        <v>9.9</v>
      </c>
      <c r="H325" t="n">
        <v>0</v>
      </c>
      <c r="I325" t="n">
        <v>0</v>
      </c>
      <c r="J325" t="n">
        <v>0</v>
      </c>
      <c r="K325" t="n">
        <v>0</v>
      </c>
      <c r="L325" t="n">
        <v>0</v>
      </c>
      <c r="M325" t="n">
        <v>0</v>
      </c>
      <c r="N325" t="n">
        <v>0</v>
      </c>
      <c r="O325" t="n">
        <v>0</v>
      </c>
      <c r="P325" t="n">
        <v>0</v>
      </c>
      <c r="Q325" t="n">
        <v>0</v>
      </c>
      <c r="R325" s="2" t="inlineStr"/>
    </row>
    <row r="326" ht="15" customHeight="1">
      <c r="A326" t="inlineStr">
        <is>
          <t>A 23170-2025</t>
        </is>
      </c>
      <c r="B326" s="1" t="n">
        <v>45791.42770833334</v>
      </c>
      <c r="C326" s="1" t="n">
        <v>46128</v>
      </c>
      <c r="D326" t="inlineStr">
        <is>
          <t>VÄSTERBOTTENS LÄN</t>
        </is>
      </c>
      <c r="E326" t="inlineStr">
        <is>
          <t>ÅSELE</t>
        </is>
      </c>
      <c r="F326" t="inlineStr">
        <is>
          <t>SCA</t>
        </is>
      </c>
      <c r="G326" t="n">
        <v>6.4</v>
      </c>
      <c r="H326" t="n">
        <v>0</v>
      </c>
      <c r="I326" t="n">
        <v>0</v>
      </c>
      <c r="J326" t="n">
        <v>0</v>
      </c>
      <c r="K326" t="n">
        <v>0</v>
      </c>
      <c r="L326" t="n">
        <v>0</v>
      </c>
      <c r="M326" t="n">
        <v>0</v>
      </c>
      <c r="N326" t="n">
        <v>0</v>
      </c>
      <c r="O326" t="n">
        <v>0</v>
      </c>
      <c r="P326" t="n">
        <v>0</v>
      </c>
      <c r="Q326" t="n">
        <v>0</v>
      </c>
      <c r="R326" s="2" t="inlineStr"/>
    </row>
    <row r="327" ht="15" customHeight="1">
      <c r="A327" t="inlineStr">
        <is>
          <t>A 44279-2025</t>
        </is>
      </c>
      <c r="B327" s="1" t="n">
        <v>45916.34494212963</v>
      </c>
      <c r="C327" s="1" t="n">
        <v>46128</v>
      </c>
      <c r="D327" t="inlineStr">
        <is>
          <t>VÄSTERBOTTENS LÄN</t>
        </is>
      </c>
      <c r="E327" t="inlineStr">
        <is>
          <t>ÅSELE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44208-2025</t>
        </is>
      </c>
      <c r="B328" s="1" t="n">
        <v>45915.62952546297</v>
      </c>
      <c r="C328" s="1" t="n">
        <v>46128</v>
      </c>
      <c r="D328" t="inlineStr">
        <is>
          <t>VÄSTERBOTTENS LÄN</t>
        </is>
      </c>
      <c r="E328" t="inlineStr">
        <is>
          <t>ÅSELE</t>
        </is>
      </c>
      <c r="F328" t="inlineStr">
        <is>
          <t>Naturvårdsverket</t>
        </is>
      </c>
      <c r="G328" t="n">
        <v>1.9</v>
      </c>
      <c r="H328" t="n">
        <v>0</v>
      </c>
      <c r="I328" t="n">
        <v>0</v>
      </c>
      <c r="J328" t="n">
        <v>0</v>
      </c>
      <c r="K328" t="n">
        <v>0</v>
      </c>
      <c r="L328" t="n">
        <v>0</v>
      </c>
      <c r="M328" t="n">
        <v>0</v>
      </c>
      <c r="N328" t="n">
        <v>0</v>
      </c>
      <c r="O328" t="n">
        <v>0</v>
      </c>
      <c r="P328" t="n">
        <v>0</v>
      </c>
      <c r="Q328" t="n">
        <v>0</v>
      </c>
      <c r="R328" s="2" t="inlineStr"/>
    </row>
    <row r="329" ht="15" customHeight="1">
      <c r="A329" t="inlineStr">
        <is>
          <t>A 44210-2025</t>
        </is>
      </c>
      <c r="B329" s="1" t="n">
        <v>45915.63162037037</v>
      </c>
      <c r="C329" s="1" t="n">
        <v>46128</v>
      </c>
      <c r="D329" t="inlineStr">
        <is>
          <t>VÄSTERBOTTENS LÄN</t>
        </is>
      </c>
      <c r="E329" t="inlineStr">
        <is>
          <t>ÅSELE</t>
        </is>
      </c>
      <c r="F329" t="inlineStr">
        <is>
          <t>Holmen skog AB</t>
        </is>
      </c>
      <c r="G329" t="n">
        <v>4.5</v>
      </c>
      <c r="H329" t="n">
        <v>0</v>
      </c>
      <c r="I329" t="n">
        <v>0</v>
      </c>
      <c r="J329" t="n">
        <v>0</v>
      </c>
      <c r="K329" t="n">
        <v>0</v>
      </c>
      <c r="L329" t="n">
        <v>0</v>
      </c>
      <c r="M329" t="n">
        <v>0</v>
      </c>
      <c r="N329" t="n">
        <v>0</v>
      </c>
      <c r="O329" t="n">
        <v>0</v>
      </c>
      <c r="P329" t="n">
        <v>0</v>
      </c>
      <c r="Q329" t="n">
        <v>0</v>
      </c>
      <c r="R329" s="2" t="inlineStr"/>
    </row>
    <row r="330" ht="15" customHeight="1">
      <c r="A330" t="inlineStr">
        <is>
          <t>A 44242-2025</t>
        </is>
      </c>
      <c r="B330" s="1" t="n">
        <v>45915.67774305555</v>
      </c>
      <c r="C330" s="1" t="n">
        <v>46128</v>
      </c>
      <c r="D330" t="inlineStr">
        <is>
          <t>VÄSTERBOTTENS LÄN</t>
        </is>
      </c>
      <c r="E330" t="inlineStr">
        <is>
          <t>ÅSELE</t>
        </is>
      </c>
      <c r="F330" t="inlineStr">
        <is>
          <t>SCA</t>
        </is>
      </c>
      <c r="G330" t="n">
        <v>39.9</v>
      </c>
      <c r="H330" t="n">
        <v>0</v>
      </c>
      <c r="I330" t="n">
        <v>0</v>
      </c>
      <c r="J330" t="n">
        <v>0</v>
      </c>
      <c r="K330" t="n">
        <v>0</v>
      </c>
      <c r="L330" t="n">
        <v>0</v>
      </c>
      <c r="M330" t="n">
        <v>0</v>
      </c>
      <c r="N330" t="n">
        <v>0</v>
      </c>
      <c r="O330" t="n">
        <v>0</v>
      </c>
      <c r="P330" t="n">
        <v>0</v>
      </c>
      <c r="Q330" t="n">
        <v>0</v>
      </c>
      <c r="R330" s="2" t="inlineStr"/>
    </row>
    <row r="331" ht="15" customHeight="1">
      <c r="A331" t="inlineStr">
        <is>
          <t>A 44414-2025</t>
        </is>
      </c>
      <c r="B331" s="1" t="n">
        <v>45916.54280092593</v>
      </c>
      <c r="C331" s="1" t="n">
        <v>46128</v>
      </c>
      <c r="D331" t="inlineStr">
        <is>
          <t>VÄSTERBOTTENS LÄN</t>
        </is>
      </c>
      <c r="E331" t="inlineStr">
        <is>
          <t>ÅSELE</t>
        </is>
      </c>
      <c r="G331" t="n">
        <v>1.3</v>
      </c>
      <c r="H331" t="n">
        <v>0</v>
      </c>
      <c r="I331" t="n">
        <v>0</v>
      </c>
      <c r="J331" t="n">
        <v>0</v>
      </c>
      <c r="K331" t="n">
        <v>0</v>
      </c>
      <c r="L331" t="n">
        <v>0</v>
      </c>
      <c r="M331" t="n">
        <v>0</v>
      </c>
      <c r="N331" t="n">
        <v>0</v>
      </c>
      <c r="O331" t="n">
        <v>0</v>
      </c>
      <c r="P331" t="n">
        <v>0</v>
      </c>
      <c r="Q331" t="n">
        <v>0</v>
      </c>
      <c r="R331" s="2" t="inlineStr"/>
    </row>
    <row r="332" ht="15" customHeight="1">
      <c r="A332" t="inlineStr">
        <is>
          <t>A 43985-2025</t>
        </is>
      </c>
      <c r="B332" s="1" t="n">
        <v>45915.43275462963</v>
      </c>
      <c r="C332" s="1" t="n">
        <v>46128</v>
      </c>
      <c r="D332" t="inlineStr">
        <is>
          <t>VÄSTERBOTTENS LÄN</t>
        </is>
      </c>
      <c r="E332" t="inlineStr">
        <is>
          <t>ÅSELE</t>
        </is>
      </c>
      <c r="F332" t="inlineStr">
        <is>
          <t>Holmen skog AB</t>
        </is>
      </c>
      <c r="G332" t="n">
        <v>5.8</v>
      </c>
      <c r="H332" t="n">
        <v>0</v>
      </c>
      <c r="I332" t="n">
        <v>0</v>
      </c>
      <c r="J332" t="n">
        <v>0</v>
      </c>
      <c r="K332" t="n">
        <v>0</v>
      </c>
      <c r="L332" t="n">
        <v>0</v>
      </c>
      <c r="M332" t="n">
        <v>0</v>
      </c>
      <c r="N332" t="n">
        <v>0</v>
      </c>
      <c r="O332" t="n">
        <v>0</v>
      </c>
      <c r="P332" t="n">
        <v>0</v>
      </c>
      <c r="Q332" t="n">
        <v>0</v>
      </c>
      <c r="R332" s="2" t="inlineStr"/>
    </row>
    <row r="333" ht="15" customHeight="1">
      <c r="A333" t="inlineStr">
        <is>
          <t>A 10760-2023</t>
        </is>
      </c>
      <c r="B333" s="1" t="n">
        <v>44988.92247685185</v>
      </c>
      <c r="C333" s="1" t="n">
        <v>46128</v>
      </c>
      <c r="D333" t="inlineStr">
        <is>
          <t>VÄSTERBOTTENS LÄN</t>
        </is>
      </c>
      <c r="E333" t="inlineStr">
        <is>
          <t>ÅSELE</t>
        </is>
      </c>
      <c r="G333" t="n">
        <v>0.3</v>
      </c>
      <c r="H333" t="n">
        <v>0</v>
      </c>
      <c r="I333" t="n">
        <v>0</v>
      </c>
      <c r="J333" t="n">
        <v>0</v>
      </c>
      <c r="K333" t="n">
        <v>0</v>
      </c>
      <c r="L333" t="n">
        <v>0</v>
      </c>
      <c r="M333" t="n">
        <v>0</v>
      </c>
      <c r="N333" t="n">
        <v>0</v>
      </c>
      <c r="O333" t="n">
        <v>0</v>
      </c>
      <c r="P333" t="n">
        <v>0</v>
      </c>
      <c r="Q333" t="n">
        <v>0</v>
      </c>
      <c r="R333" s="2" t="inlineStr"/>
    </row>
    <row r="334" ht="15" customHeight="1">
      <c r="A334" t="inlineStr">
        <is>
          <t>A 10761-2023</t>
        </is>
      </c>
      <c r="B334" s="1" t="n">
        <v>44988.92252314815</v>
      </c>
      <c r="C334" s="1" t="n">
        <v>46128</v>
      </c>
      <c r="D334" t="inlineStr">
        <is>
          <t>VÄSTERBOTTENS LÄN</t>
        </is>
      </c>
      <c r="E334" t="inlineStr">
        <is>
          <t>ÅSELE</t>
        </is>
      </c>
      <c r="G334" t="n">
        <v>0.3</v>
      </c>
      <c r="H334" t="n">
        <v>0</v>
      </c>
      <c r="I334" t="n">
        <v>0</v>
      </c>
      <c r="J334" t="n">
        <v>0</v>
      </c>
      <c r="K334" t="n">
        <v>0</v>
      </c>
      <c r="L334" t="n">
        <v>0</v>
      </c>
      <c r="M334" t="n">
        <v>0</v>
      </c>
      <c r="N334" t="n">
        <v>0</v>
      </c>
      <c r="O334" t="n">
        <v>0</v>
      </c>
      <c r="P334" t="n">
        <v>0</v>
      </c>
      <c r="Q334" t="n">
        <v>0</v>
      </c>
      <c r="R334" s="2" t="inlineStr"/>
    </row>
    <row r="335" ht="15" customHeight="1">
      <c r="A335" t="inlineStr">
        <is>
          <t>A 44416-2025</t>
        </is>
      </c>
      <c r="B335" s="1" t="n">
        <v>45916.54385416667</v>
      </c>
      <c r="C335" s="1" t="n">
        <v>46128</v>
      </c>
      <c r="D335" t="inlineStr">
        <is>
          <t>VÄSTERBOTTENS LÄN</t>
        </is>
      </c>
      <c r="E335" t="inlineStr">
        <is>
          <t>ÅSELE</t>
        </is>
      </c>
      <c r="F335" t="inlineStr">
        <is>
          <t>Holmen skog AB</t>
        </is>
      </c>
      <c r="G335" t="n">
        <v>1</v>
      </c>
      <c r="H335" t="n">
        <v>0</v>
      </c>
      <c r="I335" t="n">
        <v>0</v>
      </c>
      <c r="J335" t="n">
        <v>0</v>
      </c>
      <c r="K335" t="n">
        <v>0</v>
      </c>
      <c r="L335" t="n">
        <v>0</v>
      </c>
      <c r="M335" t="n">
        <v>0</v>
      </c>
      <c r="N335" t="n">
        <v>0</v>
      </c>
      <c r="O335" t="n">
        <v>0</v>
      </c>
      <c r="P335" t="n">
        <v>0</v>
      </c>
      <c r="Q335" t="n">
        <v>0</v>
      </c>
      <c r="R335" s="2" t="inlineStr"/>
    </row>
    <row r="336" ht="15" customHeight="1">
      <c r="A336" t="inlineStr">
        <is>
          <t>A 42642-2024</t>
        </is>
      </c>
      <c r="B336" s="1" t="n">
        <v>45566</v>
      </c>
      <c r="C336" s="1" t="n">
        <v>46128</v>
      </c>
      <c r="D336" t="inlineStr">
        <is>
          <t>VÄSTERBOTTENS LÄN</t>
        </is>
      </c>
      <c r="E336" t="inlineStr">
        <is>
          <t>ÅSELE</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44435-2025</t>
        </is>
      </c>
      <c r="B337" s="1" t="n">
        <v>45916.58086805556</v>
      </c>
      <c r="C337" s="1" t="n">
        <v>46128</v>
      </c>
      <c r="D337" t="inlineStr">
        <is>
          <t>VÄSTERBOTTENS LÄN</t>
        </is>
      </c>
      <c r="E337" t="inlineStr">
        <is>
          <t>ÅSELE</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44401-2025</t>
        </is>
      </c>
      <c r="B338" s="1" t="n">
        <v>45916.50414351852</v>
      </c>
      <c r="C338" s="1" t="n">
        <v>46128</v>
      </c>
      <c r="D338" t="inlineStr">
        <is>
          <t>VÄSTERBOTTENS LÄN</t>
        </is>
      </c>
      <c r="E338" t="inlineStr">
        <is>
          <t>ÅSELE</t>
        </is>
      </c>
      <c r="G338" t="n">
        <v>3</v>
      </c>
      <c r="H338" t="n">
        <v>0</v>
      </c>
      <c r="I338" t="n">
        <v>0</v>
      </c>
      <c r="J338" t="n">
        <v>0</v>
      </c>
      <c r="K338" t="n">
        <v>0</v>
      </c>
      <c r="L338" t="n">
        <v>0</v>
      </c>
      <c r="M338" t="n">
        <v>0</v>
      </c>
      <c r="N338" t="n">
        <v>0</v>
      </c>
      <c r="O338" t="n">
        <v>0</v>
      </c>
      <c r="P338" t="n">
        <v>0</v>
      </c>
      <c r="Q338" t="n">
        <v>0</v>
      </c>
      <c r="R338" s="2" t="inlineStr"/>
    </row>
    <row r="339" ht="15" customHeight="1">
      <c r="A339" t="inlineStr">
        <is>
          <t>A 44005-2025</t>
        </is>
      </c>
      <c r="B339" s="1" t="n">
        <v>45915.45715277778</v>
      </c>
      <c r="C339" s="1" t="n">
        <v>46128</v>
      </c>
      <c r="D339" t="inlineStr">
        <is>
          <t>VÄSTERBOTTENS LÄN</t>
        </is>
      </c>
      <c r="E339" t="inlineStr">
        <is>
          <t>ÅSELE</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13011-2025</t>
        </is>
      </c>
      <c r="B340" s="1" t="n">
        <v>45734.53167824074</v>
      </c>
      <c r="C340" s="1" t="n">
        <v>46128</v>
      </c>
      <c r="D340" t="inlineStr">
        <is>
          <t>VÄSTERBOTTENS LÄN</t>
        </is>
      </c>
      <c r="E340" t="inlineStr">
        <is>
          <t>ÅSELE</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19330-2024</t>
        </is>
      </c>
      <c r="B341" s="1" t="n">
        <v>45428</v>
      </c>
      <c r="C341" s="1" t="n">
        <v>46128</v>
      </c>
      <c r="D341" t="inlineStr">
        <is>
          <t>VÄSTERBOTTENS LÄN</t>
        </is>
      </c>
      <c r="E341" t="inlineStr">
        <is>
          <t>ÅSELE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44488-2025</t>
        </is>
      </c>
      <c r="B342" s="1" t="n">
        <v>45916.65673611111</v>
      </c>
      <c r="C342" s="1" t="n">
        <v>46128</v>
      </c>
      <c r="D342" t="inlineStr">
        <is>
          <t>VÄSTERBOTTENS LÄN</t>
        </is>
      </c>
      <c r="E342" t="inlineStr">
        <is>
          <t>ÅSELE</t>
        </is>
      </c>
      <c r="G342" t="n">
        <v>7</v>
      </c>
      <c r="H342" t="n">
        <v>0</v>
      </c>
      <c r="I342" t="n">
        <v>0</v>
      </c>
      <c r="J342" t="n">
        <v>0</v>
      </c>
      <c r="K342" t="n">
        <v>0</v>
      </c>
      <c r="L342" t="n">
        <v>0</v>
      </c>
      <c r="M342" t="n">
        <v>0</v>
      </c>
      <c r="N342" t="n">
        <v>0</v>
      </c>
      <c r="O342" t="n">
        <v>0</v>
      </c>
      <c r="P342" t="n">
        <v>0</v>
      </c>
      <c r="Q342" t="n">
        <v>0</v>
      </c>
      <c r="R342" s="2" t="inlineStr"/>
    </row>
    <row r="343" ht="15" customHeight="1">
      <c r="A343" t="inlineStr">
        <is>
          <t>A 43960-2025</t>
        </is>
      </c>
      <c r="B343" s="1" t="n">
        <v>45915.39046296296</v>
      </c>
      <c r="C343" s="1" t="n">
        <v>46128</v>
      </c>
      <c r="D343" t="inlineStr">
        <is>
          <t>VÄSTERBOTTENS LÄN</t>
        </is>
      </c>
      <c r="E343" t="inlineStr">
        <is>
          <t>ÅSELE</t>
        </is>
      </c>
      <c r="F343" t="inlineStr">
        <is>
          <t>Kyrkan</t>
        </is>
      </c>
      <c r="G343" t="n">
        <v>10.5</v>
      </c>
      <c r="H343" t="n">
        <v>0</v>
      </c>
      <c r="I343" t="n">
        <v>0</v>
      </c>
      <c r="J343" t="n">
        <v>0</v>
      </c>
      <c r="K343" t="n">
        <v>0</v>
      </c>
      <c r="L343" t="n">
        <v>0</v>
      </c>
      <c r="M343" t="n">
        <v>0</v>
      </c>
      <c r="N343" t="n">
        <v>0</v>
      </c>
      <c r="O343" t="n">
        <v>0</v>
      </c>
      <c r="P343" t="n">
        <v>0</v>
      </c>
      <c r="Q343" t="n">
        <v>0</v>
      </c>
      <c r="R343" s="2" t="inlineStr"/>
    </row>
    <row r="344" ht="15" customHeight="1">
      <c r="A344" t="inlineStr">
        <is>
          <t>A 44625-2025</t>
        </is>
      </c>
      <c r="B344" s="1" t="n">
        <v>45917.47184027778</v>
      </c>
      <c r="C344" s="1" t="n">
        <v>46128</v>
      </c>
      <c r="D344" t="inlineStr">
        <is>
          <t>VÄSTERBOTTENS LÄN</t>
        </is>
      </c>
      <c r="E344" t="inlineStr">
        <is>
          <t>ÅSELE</t>
        </is>
      </c>
      <c r="F344" t="inlineStr">
        <is>
          <t>Holmen skog AB</t>
        </is>
      </c>
      <c r="G344" t="n">
        <v>4.7</v>
      </c>
      <c r="H344" t="n">
        <v>0</v>
      </c>
      <c r="I344" t="n">
        <v>0</v>
      </c>
      <c r="J344" t="n">
        <v>0</v>
      </c>
      <c r="K344" t="n">
        <v>0</v>
      </c>
      <c r="L344" t="n">
        <v>0</v>
      </c>
      <c r="M344" t="n">
        <v>0</v>
      </c>
      <c r="N344" t="n">
        <v>0</v>
      </c>
      <c r="O344" t="n">
        <v>0</v>
      </c>
      <c r="P344" t="n">
        <v>0</v>
      </c>
      <c r="Q344" t="n">
        <v>0</v>
      </c>
      <c r="R344" s="2" t="inlineStr"/>
    </row>
    <row r="345" ht="15" customHeight="1">
      <c r="A345" t="inlineStr">
        <is>
          <t>A 44669-2025</t>
        </is>
      </c>
      <c r="B345" s="1" t="n">
        <v>45917.56386574074</v>
      </c>
      <c r="C345" s="1" t="n">
        <v>46128</v>
      </c>
      <c r="D345" t="inlineStr">
        <is>
          <t>VÄSTERBOTTENS LÄN</t>
        </is>
      </c>
      <c r="E345" t="inlineStr">
        <is>
          <t>ÅSELE</t>
        </is>
      </c>
      <c r="F345" t="inlineStr">
        <is>
          <t>Holmen skog AB</t>
        </is>
      </c>
      <c r="G345" t="n">
        <v>8.9</v>
      </c>
      <c r="H345" t="n">
        <v>0</v>
      </c>
      <c r="I345" t="n">
        <v>0</v>
      </c>
      <c r="J345" t="n">
        <v>0</v>
      </c>
      <c r="K345" t="n">
        <v>0</v>
      </c>
      <c r="L345" t="n">
        <v>0</v>
      </c>
      <c r="M345" t="n">
        <v>0</v>
      </c>
      <c r="N345" t="n">
        <v>0</v>
      </c>
      <c r="O345" t="n">
        <v>0</v>
      </c>
      <c r="P345" t="n">
        <v>0</v>
      </c>
      <c r="Q345" t="n">
        <v>0</v>
      </c>
      <c r="R345" s="2" t="inlineStr"/>
    </row>
    <row r="346" ht="15" customHeight="1">
      <c r="A346" t="inlineStr">
        <is>
          <t>A 33990-2024</t>
        </is>
      </c>
      <c r="B346" s="1" t="n">
        <v>45523.53366898148</v>
      </c>
      <c r="C346" s="1" t="n">
        <v>46128</v>
      </c>
      <c r="D346" t="inlineStr">
        <is>
          <t>VÄSTERBOTTENS LÄN</t>
        </is>
      </c>
      <c r="E346" t="inlineStr">
        <is>
          <t>ÅSELE</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44992-2025</t>
        </is>
      </c>
      <c r="B347" s="1" t="n">
        <v>45918.65660879629</v>
      </c>
      <c r="C347" s="1" t="n">
        <v>46128</v>
      </c>
      <c r="D347" t="inlineStr">
        <is>
          <t>VÄSTERBOTTENS LÄN</t>
        </is>
      </c>
      <c r="E347" t="inlineStr">
        <is>
          <t>ÅSELE</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28980-2024</t>
        </is>
      </c>
      <c r="B348" s="1" t="n">
        <v>45481.47248842593</v>
      </c>
      <c r="C348" s="1" t="n">
        <v>46128</v>
      </c>
      <c r="D348" t="inlineStr">
        <is>
          <t>VÄSTERBOTTENS LÄN</t>
        </is>
      </c>
      <c r="E348" t="inlineStr">
        <is>
          <t>ÅSELE</t>
        </is>
      </c>
      <c r="F348" t="inlineStr">
        <is>
          <t>Sveaskog</t>
        </is>
      </c>
      <c r="G348" t="n">
        <v>9</v>
      </c>
      <c r="H348" t="n">
        <v>0</v>
      </c>
      <c r="I348" t="n">
        <v>0</v>
      </c>
      <c r="J348" t="n">
        <v>0</v>
      </c>
      <c r="K348" t="n">
        <v>0</v>
      </c>
      <c r="L348" t="n">
        <v>0</v>
      </c>
      <c r="M348" t="n">
        <v>0</v>
      </c>
      <c r="N348" t="n">
        <v>0</v>
      </c>
      <c r="O348" t="n">
        <v>0</v>
      </c>
      <c r="P348" t="n">
        <v>0</v>
      </c>
      <c r="Q348" t="n">
        <v>0</v>
      </c>
      <c r="R348" s="2" t="inlineStr"/>
    </row>
    <row r="349" ht="15" customHeight="1">
      <c r="A349" t="inlineStr">
        <is>
          <t>A 23824-2025</t>
        </is>
      </c>
      <c r="B349" s="1" t="n">
        <v>45793.59431712963</v>
      </c>
      <c r="C349" s="1" t="n">
        <v>46128</v>
      </c>
      <c r="D349" t="inlineStr">
        <is>
          <t>VÄSTERBOTTENS LÄN</t>
        </is>
      </c>
      <c r="E349" t="inlineStr">
        <is>
          <t>ÅSELE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13402-2025</t>
        </is>
      </c>
      <c r="B350" s="1" t="n">
        <v>45735</v>
      </c>
      <c r="C350" s="1" t="n">
        <v>46128</v>
      </c>
      <c r="D350" t="inlineStr">
        <is>
          <t>VÄSTERBOTTENS LÄN</t>
        </is>
      </c>
      <c r="E350" t="inlineStr">
        <is>
          <t>ÅSELE</t>
        </is>
      </c>
      <c r="G350" t="n">
        <v>1.7</v>
      </c>
      <c r="H350" t="n">
        <v>0</v>
      </c>
      <c r="I350" t="n">
        <v>0</v>
      </c>
      <c r="J350" t="n">
        <v>0</v>
      </c>
      <c r="K350" t="n">
        <v>0</v>
      </c>
      <c r="L350" t="n">
        <v>0</v>
      </c>
      <c r="M350" t="n">
        <v>0</v>
      </c>
      <c r="N350" t="n">
        <v>0</v>
      </c>
      <c r="O350" t="n">
        <v>0</v>
      </c>
      <c r="P350" t="n">
        <v>0</v>
      </c>
      <c r="Q350" t="n">
        <v>0</v>
      </c>
      <c r="R350" s="2" t="inlineStr"/>
    </row>
    <row r="351" ht="15" customHeight="1">
      <c r="A351" t="inlineStr">
        <is>
          <t>A 20617-2024</t>
        </is>
      </c>
      <c r="B351" s="1" t="n">
        <v>45436</v>
      </c>
      <c r="C351" s="1" t="n">
        <v>46128</v>
      </c>
      <c r="D351" t="inlineStr">
        <is>
          <t>VÄSTERBOTTENS LÄN</t>
        </is>
      </c>
      <c r="E351" t="inlineStr">
        <is>
          <t>ÅSELE</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23604-2023</t>
        </is>
      </c>
      <c r="B352" s="1" t="n">
        <v>45077.45833333334</v>
      </c>
      <c r="C352" s="1" t="n">
        <v>46128</v>
      </c>
      <c r="D352" t="inlineStr">
        <is>
          <t>VÄSTERBOTTENS LÄN</t>
        </is>
      </c>
      <c r="E352" t="inlineStr">
        <is>
          <t>ÅSELE</t>
        </is>
      </c>
      <c r="F352" t="inlineStr">
        <is>
          <t>Holmen skog AB</t>
        </is>
      </c>
      <c r="G352" t="n">
        <v>5.8</v>
      </c>
      <c r="H352" t="n">
        <v>0</v>
      </c>
      <c r="I352" t="n">
        <v>0</v>
      </c>
      <c r="J352" t="n">
        <v>0</v>
      </c>
      <c r="K352" t="n">
        <v>0</v>
      </c>
      <c r="L352" t="n">
        <v>0</v>
      </c>
      <c r="M352" t="n">
        <v>0</v>
      </c>
      <c r="N352" t="n">
        <v>0</v>
      </c>
      <c r="O352" t="n">
        <v>0</v>
      </c>
      <c r="P352" t="n">
        <v>0</v>
      </c>
      <c r="Q352" t="n">
        <v>0</v>
      </c>
      <c r="R352" s="2" t="inlineStr"/>
    </row>
    <row r="353" ht="15" customHeight="1">
      <c r="A353" t="inlineStr">
        <is>
          <t>A 9259-2025</t>
        </is>
      </c>
      <c r="B353" s="1" t="n">
        <v>45714</v>
      </c>
      <c r="C353" s="1" t="n">
        <v>46128</v>
      </c>
      <c r="D353" t="inlineStr">
        <is>
          <t>VÄSTERBOTTENS LÄN</t>
        </is>
      </c>
      <c r="E353" t="inlineStr">
        <is>
          <t>ÅSELE</t>
        </is>
      </c>
      <c r="G353" t="n">
        <v>1.3</v>
      </c>
      <c r="H353" t="n">
        <v>0</v>
      </c>
      <c r="I353" t="n">
        <v>0</v>
      </c>
      <c r="J353" t="n">
        <v>0</v>
      </c>
      <c r="K353" t="n">
        <v>0</v>
      </c>
      <c r="L353" t="n">
        <v>0</v>
      </c>
      <c r="M353" t="n">
        <v>0</v>
      </c>
      <c r="N353" t="n">
        <v>0</v>
      </c>
      <c r="O353" t="n">
        <v>0</v>
      </c>
      <c r="P353" t="n">
        <v>0</v>
      </c>
      <c r="Q353" t="n">
        <v>0</v>
      </c>
      <c r="R353" s="2" t="inlineStr"/>
    </row>
    <row r="354" ht="15" customHeight="1">
      <c r="A354" t="inlineStr">
        <is>
          <t>A 18031-2025</t>
        </is>
      </c>
      <c r="B354" s="1" t="n">
        <v>45761</v>
      </c>
      <c r="C354" s="1" t="n">
        <v>46128</v>
      </c>
      <c r="D354" t="inlineStr">
        <is>
          <t>VÄSTERBOTTENS LÄN</t>
        </is>
      </c>
      <c r="E354" t="inlineStr">
        <is>
          <t>ÅSELE</t>
        </is>
      </c>
      <c r="G354" t="n">
        <v>7.6</v>
      </c>
      <c r="H354" t="n">
        <v>0</v>
      </c>
      <c r="I354" t="n">
        <v>0</v>
      </c>
      <c r="J354" t="n">
        <v>0</v>
      </c>
      <c r="K354" t="n">
        <v>0</v>
      </c>
      <c r="L354" t="n">
        <v>0</v>
      </c>
      <c r="M354" t="n">
        <v>0</v>
      </c>
      <c r="N354" t="n">
        <v>0</v>
      </c>
      <c r="O354" t="n">
        <v>0</v>
      </c>
      <c r="P354" t="n">
        <v>0</v>
      </c>
      <c r="Q354" t="n">
        <v>0</v>
      </c>
      <c r="R354" s="2" t="inlineStr"/>
    </row>
    <row r="355" ht="15" customHeight="1">
      <c r="A355" t="inlineStr">
        <is>
          <t>A 45506-2025</t>
        </is>
      </c>
      <c r="B355" s="1" t="n">
        <v>45922.57350694444</v>
      </c>
      <c r="C355" s="1" t="n">
        <v>46128</v>
      </c>
      <c r="D355" t="inlineStr">
        <is>
          <t>VÄSTERBOTTENS LÄN</t>
        </is>
      </c>
      <c r="E355" t="inlineStr">
        <is>
          <t>ÅSELE</t>
        </is>
      </c>
      <c r="G355" t="n">
        <v>17.3</v>
      </c>
      <c r="H355" t="n">
        <v>0</v>
      </c>
      <c r="I355" t="n">
        <v>0</v>
      </c>
      <c r="J355" t="n">
        <v>0</v>
      </c>
      <c r="K355" t="n">
        <v>0</v>
      </c>
      <c r="L355" t="n">
        <v>0</v>
      </c>
      <c r="M355" t="n">
        <v>0</v>
      </c>
      <c r="N355" t="n">
        <v>0</v>
      </c>
      <c r="O355" t="n">
        <v>0</v>
      </c>
      <c r="P355" t="n">
        <v>0</v>
      </c>
      <c r="Q355" t="n">
        <v>0</v>
      </c>
      <c r="R355" s="2" t="inlineStr"/>
    </row>
    <row r="356" ht="15" customHeight="1">
      <c r="A356" t="inlineStr">
        <is>
          <t>A 37241-2024</t>
        </is>
      </c>
      <c r="B356" s="1" t="n">
        <v>45540.34417824074</v>
      </c>
      <c r="C356" s="1" t="n">
        <v>46128</v>
      </c>
      <c r="D356" t="inlineStr">
        <is>
          <t>VÄSTERBOTTENS LÄN</t>
        </is>
      </c>
      <c r="E356" t="inlineStr">
        <is>
          <t>ÅSELE</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23737-2025</t>
        </is>
      </c>
      <c r="B357" s="1" t="n">
        <v>45793.42809027778</v>
      </c>
      <c r="C357" s="1" t="n">
        <v>46128</v>
      </c>
      <c r="D357" t="inlineStr">
        <is>
          <t>VÄSTERBOTTENS LÄN</t>
        </is>
      </c>
      <c r="E357" t="inlineStr">
        <is>
          <t>ÅSELE</t>
        </is>
      </c>
      <c r="F357" t="inlineStr">
        <is>
          <t>SCA</t>
        </is>
      </c>
      <c r="G357" t="n">
        <v>6.5</v>
      </c>
      <c r="H357" t="n">
        <v>0</v>
      </c>
      <c r="I357" t="n">
        <v>0</v>
      </c>
      <c r="J357" t="n">
        <v>0</v>
      </c>
      <c r="K357" t="n">
        <v>0</v>
      </c>
      <c r="L357" t="n">
        <v>0</v>
      </c>
      <c r="M357" t="n">
        <v>0</v>
      </c>
      <c r="N357" t="n">
        <v>0</v>
      </c>
      <c r="O357" t="n">
        <v>0</v>
      </c>
      <c r="P357" t="n">
        <v>0</v>
      </c>
      <c r="Q357" t="n">
        <v>0</v>
      </c>
      <c r="R357" s="2" t="inlineStr"/>
    </row>
    <row r="358" ht="15" customHeight="1">
      <c r="A358" t="inlineStr">
        <is>
          <t>A 45257-2025</t>
        </is>
      </c>
      <c r="B358" s="1" t="n">
        <v>45919.62422453704</v>
      </c>
      <c r="C358" s="1" t="n">
        <v>46128</v>
      </c>
      <c r="D358" t="inlineStr">
        <is>
          <t>VÄSTERBOTTENS LÄN</t>
        </is>
      </c>
      <c r="E358" t="inlineStr">
        <is>
          <t>ÅSELE</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16175-2025</t>
        </is>
      </c>
      <c r="B359" s="1" t="n">
        <v>45750.5587962963</v>
      </c>
      <c r="C359" s="1" t="n">
        <v>46128</v>
      </c>
      <c r="D359" t="inlineStr">
        <is>
          <t>VÄSTERBOTTENS LÄN</t>
        </is>
      </c>
      <c r="E359" t="inlineStr">
        <is>
          <t>ÅSELE</t>
        </is>
      </c>
      <c r="G359" t="n">
        <v>15.4</v>
      </c>
      <c r="H359" t="n">
        <v>0</v>
      </c>
      <c r="I359" t="n">
        <v>0</v>
      </c>
      <c r="J359" t="n">
        <v>0</v>
      </c>
      <c r="K359" t="n">
        <v>0</v>
      </c>
      <c r="L359" t="n">
        <v>0</v>
      </c>
      <c r="M359" t="n">
        <v>0</v>
      </c>
      <c r="N359" t="n">
        <v>0</v>
      </c>
      <c r="O359" t="n">
        <v>0</v>
      </c>
      <c r="P359" t="n">
        <v>0</v>
      </c>
      <c r="Q359" t="n">
        <v>0</v>
      </c>
      <c r="R359" s="2" t="inlineStr"/>
    </row>
    <row r="360" ht="15" customHeight="1">
      <c r="A360" t="inlineStr">
        <is>
          <t>A 34139-2024</t>
        </is>
      </c>
      <c r="B360" s="1" t="n">
        <v>45524.36006944445</v>
      </c>
      <c r="C360" s="1" t="n">
        <v>46128</v>
      </c>
      <c r="D360" t="inlineStr">
        <is>
          <t>VÄSTERBOTTENS LÄN</t>
        </is>
      </c>
      <c r="E360" t="inlineStr">
        <is>
          <t>ÅSELE</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34144-2024</t>
        </is>
      </c>
      <c r="B361" s="1" t="n">
        <v>45524</v>
      </c>
      <c r="C361" s="1" t="n">
        <v>46128</v>
      </c>
      <c r="D361" t="inlineStr">
        <is>
          <t>VÄSTERBOTTENS LÄN</t>
        </is>
      </c>
      <c r="E361" t="inlineStr">
        <is>
          <t>ÅSELE</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36331-2024</t>
        </is>
      </c>
      <c r="B362" s="1" t="n">
        <v>45534.63957175926</v>
      </c>
      <c r="C362" s="1" t="n">
        <v>46128</v>
      </c>
      <c r="D362" t="inlineStr">
        <is>
          <t>VÄSTERBOTTENS LÄN</t>
        </is>
      </c>
      <c r="E362" t="inlineStr">
        <is>
          <t>ÅSELE</t>
        </is>
      </c>
      <c r="F362" t="inlineStr">
        <is>
          <t>Holmen skog AB</t>
        </is>
      </c>
      <c r="G362" t="n">
        <v>1.9</v>
      </c>
      <c r="H362" t="n">
        <v>0</v>
      </c>
      <c r="I362" t="n">
        <v>0</v>
      </c>
      <c r="J362" t="n">
        <v>0</v>
      </c>
      <c r="K362" t="n">
        <v>0</v>
      </c>
      <c r="L362" t="n">
        <v>0</v>
      </c>
      <c r="M362" t="n">
        <v>0</v>
      </c>
      <c r="N362" t="n">
        <v>0</v>
      </c>
      <c r="O362" t="n">
        <v>0</v>
      </c>
      <c r="P362" t="n">
        <v>0</v>
      </c>
      <c r="Q362" t="n">
        <v>0</v>
      </c>
      <c r="R362" s="2" t="inlineStr"/>
    </row>
    <row r="363" ht="15" customHeight="1">
      <c r="A363" t="inlineStr">
        <is>
          <t>A 45399-2025</t>
        </is>
      </c>
      <c r="B363" s="1" t="n">
        <v>45922.42104166667</v>
      </c>
      <c r="C363" s="1" t="n">
        <v>46128</v>
      </c>
      <c r="D363" t="inlineStr">
        <is>
          <t>VÄSTERBOTTENS LÄN</t>
        </is>
      </c>
      <c r="E363" t="inlineStr">
        <is>
          <t>ÅSELE</t>
        </is>
      </c>
      <c r="F363" t="inlineStr">
        <is>
          <t>Holmen skog AB</t>
        </is>
      </c>
      <c r="G363" t="n">
        <v>17.7</v>
      </c>
      <c r="H363" t="n">
        <v>0</v>
      </c>
      <c r="I363" t="n">
        <v>0</v>
      </c>
      <c r="J363" t="n">
        <v>0</v>
      </c>
      <c r="K363" t="n">
        <v>0</v>
      </c>
      <c r="L363" t="n">
        <v>0</v>
      </c>
      <c r="M363" t="n">
        <v>0</v>
      </c>
      <c r="N363" t="n">
        <v>0</v>
      </c>
      <c r="O363" t="n">
        <v>0</v>
      </c>
      <c r="P363" t="n">
        <v>0</v>
      </c>
      <c r="Q363" t="n">
        <v>0</v>
      </c>
      <c r="R363" s="2" t="inlineStr"/>
    </row>
    <row r="364" ht="15" customHeight="1">
      <c r="A364" t="inlineStr">
        <is>
          <t>A 45504-2025</t>
        </is>
      </c>
      <c r="B364" s="1" t="n">
        <v>45922</v>
      </c>
      <c r="C364" s="1" t="n">
        <v>46128</v>
      </c>
      <c r="D364" t="inlineStr">
        <is>
          <t>VÄSTERBOTTENS LÄN</t>
        </is>
      </c>
      <c r="E364" t="inlineStr">
        <is>
          <t>ÅSELE</t>
        </is>
      </c>
      <c r="G364" t="n">
        <v>6</v>
      </c>
      <c r="H364" t="n">
        <v>0</v>
      </c>
      <c r="I364" t="n">
        <v>0</v>
      </c>
      <c r="J364" t="n">
        <v>0</v>
      </c>
      <c r="K364" t="n">
        <v>0</v>
      </c>
      <c r="L364" t="n">
        <v>0</v>
      </c>
      <c r="M364" t="n">
        <v>0</v>
      </c>
      <c r="N364" t="n">
        <v>0</v>
      </c>
      <c r="O364" t="n">
        <v>0</v>
      </c>
      <c r="P364" t="n">
        <v>0</v>
      </c>
      <c r="Q364" t="n">
        <v>0</v>
      </c>
      <c r="R364" s="2" t="inlineStr"/>
    </row>
    <row r="365" ht="15" customHeight="1">
      <c r="A365" t="inlineStr">
        <is>
          <t>A 22078-2023</t>
        </is>
      </c>
      <c r="B365" s="1" t="n">
        <v>45068</v>
      </c>
      <c r="C365" s="1" t="n">
        <v>46128</v>
      </c>
      <c r="D365" t="inlineStr">
        <is>
          <t>VÄSTERBOTTENS LÄN</t>
        </is>
      </c>
      <c r="E365" t="inlineStr">
        <is>
          <t>ÅSELE</t>
        </is>
      </c>
      <c r="G365" t="n">
        <v>2.7</v>
      </c>
      <c r="H365" t="n">
        <v>0</v>
      </c>
      <c r="I365" t="n">
        <v>0</v>
      </c>
      <c r="J365" t="n">
        <v>0</v>
      </c>
      <c r="K365" t="n">
        <v>0</v>
      </c>
      <c r="L365" t="n">
        <v>0</v>
      </c>
      <c r="M365" t="n">
        <v>0</v>
      </c>
      <c r="N365" t="n">
        <v>0</v>
      </c>
      <c r="O365" t="n">
        <v>0</v>
      </c>
      <c r="P365" t="n">
        <v>0</v>
      </c>
      <c r="Q365" t="n">
        <v>0</v>
      </c>
      <c r="R365" s="2" t="inlineStr"/>
    </row>
    <row r="366" ht="15" customHeight="1">
      <c r="A366" t="inlineStr">
        <is>
          <t>A 28610-2021</t>
        </is>
      </c>
      <c r="B366" s="1" t="n">
        <v>44356.93482638889</v>
      </c>
      <c r="C366" s="1" t="n">
        <v>46128</v>
      </c>
      <c r="D366" t="inlineStr">
        <is>
          <t>VÄSTERBOTTENS LÄN</t>
        </is>
      </c>
      <c r="E366" t="inlineStr">
        <is>
          <t>ÅSELE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24208-2025</t>
        </is>
      </c>
      <c r="B367" s="1" t="n">
        <v>45797.34456018519</v>
      </c>
      <c r="C367" s="1" t="n">
        <v>46128</v>
      </c>
      <c r="D367" t="inlineStr">
        <is>
          <t>VÄSTERBOTTENS LÄN</t>
        </is>
      </c>
      <c r="E367" t="inlineStr">
        <is>
          <t>ÅSELE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45743-2025</t>
        </is>
      </c>
      <c r="B368" s="1" t="n">
        <v>45923.47471064814</v>
      </c>
      <c r="C368" s="1" t="n">
        <v>46128</v>
      </c>
      <c r="D368" t="inlineStr">
        <is>
          <t>VÄSTERBOTTENS LÄN</t>
        </is>
      </c>
      <c r="E368" t="inlineStr">
        <is>
          <t>ÅSELE</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45745-2025</t>
        </is>
      </c>
      <c r="B369" s="1" t="n">
        <v>45923.4768287037</v>
      </c>
      <c r="C369" s="1" t="n">
        <v>46128</v>
      </c>
      <c r="D369" t="inlineStr">
        <is>
          <t>VÄSTERBOTTENS LÄN</t>
        </is>
      </c>
      <c r="E369" t="inlineStr">
        <is>
          <t>ÅSELE</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24654-2025</t>
        </is>
      </c>
      <c r="B370" s="1" t="n">
        <v>45798</v>
      </c>
      <c r="C370" s="1" t="n">
        <v>46128</v>
      </c>
      <c r="D370" t="inlineStr">
        <is>
          <t>VÄSTERBOTTENS LÄN</t>
        </is>
      </c>
      <c r="E370" t="inlineStr">
        <is>
          <t>ÅSELE</t>
        </is>
      </c>
      <c r="G370" t="n">
        <v>2.4</v>
      </c>
      <c r="H370" t="n">
        <v>0</v>
      </c>
      <c r="I370" t="n">
        <v>0</v>
      </c>
      <c r="J370" t="n">
        <v>0</v>
      </c>
      <c r="K370" t="n">
        <v>0</v>
      </c>
      <c r="L370" t="n">
        <v>0</v>
      </c>
      <c r="M370" t="n">
        <v>0</v>
      </c>
      <c r="N370" t="n">
        <v>0</v>
      </c>
      <c r="O370" t="n">
        <v>0</v>
      </c>
      <c r="P370" t="n">
        <v>0</v>
      </c>
      <c r="Q370" t="n">
        <v>0</v>
      </c>
      <c r="R370" s="2" t="inlineStr"/>
    </row>
    <row r="371" ht="15" customHeight="1">
      <c r="A371" t="inlineStr">
        <is>
          <t>A 8634-2023</t>
        </is>
      </c>
      <c r="B371" s="1" t="n">
        <v>44977.93446759259</v>
      </c>
      <c r="C371" s="1" t="n">
        <v>46128</v>
      </c>
      <c r="D371" t="inlineStr">
        <is>
          <t>VÄSTERBOTTENS LÄN</t>
        </is>
      </c>
      <c r="E371" t="inlineStr">
        <is>
          <t>ÅSELE</t>
        </is>
      </c>
      <c r="G371" t="n">
        <v>1</v>
      </c>
      <c r="H371" t="n">
        <v>0</v>
      </c>
      <c r="I371" t="n">
        <v>0</v>
      </c>
      <c r="J371" t="n">
        <v>0</v>
      </c>
      <c r="K371" t="n">
        <v>0</v>
      </c>
      <c r="L371" t="n">
        <v>0</v>
      </c>
      <c r="M371" t="n">
        <v>0</v>
      </c>
      <c r="N371" t="n">
        <v>0</v>
      </c>
      <c r="O371" t="n">
        <v>0</v>
      </c>
      <c r="P371" t="n">
        <v>0</v>
      </c>
      <c r="Q371" t="n">
        <v>0</v>
      </c>
      <c r="R371" s="2" t="inlineStr"/>
    </row>
    <row r="372" ht="15" customHeight="1">
      <c r="A372" t="inlineStr">
        <is>
          <t>A 17683-2025</t>
        </is>
      </c>
      <c r="B372" s="1" t="n">
        <v>45758.3859375</v>
      </c>
      <c r="C372" s="1" t="n">
        <v>46128</v>
      </c>
      <c r="D372" t="inlineStr">
        <is>
          <t>VÄSTERBOTTENS LÄN</t>
        </is>
      </c>
      <c r="E372" t="inlineStr">
        <is>
          <t>ÅSELE</t>
        </is>
      </c>
      <c r="F372" t="inlineStr">
        <is>
          <t>SCA</t>
        </is>
      </c>
      <c r="G372" t="n">
        <v>8.1</v>
      </c>
      <c r="H372" t="n">
        <v>0</v>
      </c>
      <c r="I372" t="n">
        <v>0</v>
      </c>
      <c r="J372" t="n">
        <v>0</v>
      </c>
      <c r="K372" t="n">
        <v>0</v>
      </c>
      <c r="L372" t="n">
        <v>0</v>
      </c>
      <c r="M372" t="n">
        <v>0</v>
      </c>
      <c r="N372" t="n">
        <v>0</v>
      </c>
      <c r="O372" t="n">
        <v>0</v>
      </c>
      <c r="P372" t="n">
        <v>0</v>
      </c>
      <c r="Q372" t="n">
        <v>0</v>
      </c>
      <c r="R372" s="2" t="inlineStr"/>
    </row>
    <row r="373" ht="15" customHeight="1">
      <c r="A373" t="inlineStr">
        <is>
          <t>A 25377-2025</t>
        </is>
      </c>
      <c r="B373" s="1" t="n">
        <v>45800.63631944444</v>
      </c>
      <c r="C373" s="1" t="n">
        <v>46128</v>
      </c>
      <c r="D373" t="inlineStr">
        <is>
          <t>VÄSTERBOTTENS LÄN</t>
        </is>
      </c>
      <c r="E373" t="inlineStr">
        <is>
          <t>ÅSELE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45746-2025</t>
        </is>
      </c>
      <c r="B374" s="1" t="n">
        <v>45923.47857638889</v>
      </c>
      <c r="C374" s="1" t="n">
        <v>46128</v>
      </c>
      <c r="D374" t="inlineStr">
        <is>
          <t>VÄSTERBOTTENS LÄN</t>
        </is>
      </c>
      <c r="E374" t="inlineStr">
        <is>
          <t>ÅSELE</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19385-2025</t>
        </is>
      </c>
      <c r="B375" s="1" t="n">
        <v>45769.65708333333</v>
      </c>
      <c r="C375" s="1" t="n">
        <v>46128</v>
      </c>
      <c r="D375" t="inlineStr">
        <is>
          <t>VÄSTERBOTTENS LÄN</t>
        </is>
      </c>
      <c r="E375" t="inlineStr">
        <is>
          <t>ÅSELE</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25417-2025</t>
        </is>
      </c>
      <c r="B376" s="1" t="n">
        <v>45800.67762731481</v>
      </c>
      <c r="C376" s="1" t="n">
        <v>46128</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46541-2025</t>
        </is>
      </c>
      <c r="B377" s="1" t="n">
        <v>45926.34449074074</v>
      </c>
      <c r="C377" s="1" t="n">
        <v>46128</v>
      </c>
      <c r="D377" t="inlineStr">
        <is>
          <t>VÄSTERBOTTENS LÄN</t>
        </is>
      </c>
      <c r="E377" t="inlineStr">
        <is>
          <t>ÅSELE</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25411-2025</t>
        </is>
      </c>
      <c r="B378" s="1" t="n">
        <v>45800.66145833334</v>
      </c>
      <c r="C378" s="1" t="n">
        <v>46128</v>
      </c>
      <c r="D378" t="inlineStr">
        <is>
          <t>VÄSTERBOTTENS LÄN</t>
        </is>
      </c>
      <c r="E378" t="inlineStr">
        <is>
          <t>ÅSELE</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24762-2025</t>
        </is>
      </c>
      <c r="B379" s="1" t="n">
        <v>45799.38585648148</v>
      </c>
      <c r="C379" s="1" t="n">
        <v>46128</v>
      </c>
      <c r="D379" t="inlineStr">
        <is>
          <t>VÄSTERBOTTENS LÄN</t>
        </is>
      </c>
      <c r="E379" t="inlineStr">
        <is>
          <t>ÅSELE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19928-2025</t>
        </is>
      </c>
      <c r="B380" s="1" t="n">
        <v>45771</v>
      </c>
      <c r="C380" s="1" t="n">
        <v>46128</v>
      </c>
      <c r="D380" t="inlineStr">
        <is>
          <t>VÄSTERBOTTENS LÄN</t>
        </is>
      </c>
      <c r="E380" t="inlineStr">
        <is>
          <t>ÅSELE</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46754-2025</t>
        </is>
      </c>
      <c r="B381" s="1" t="n">
        <v>45926.61768518519</v>
      </c>
      <c r="C381" s="1" t="n">
        <v>46128</v>
      </c>
      <c r="D381" t="inlineStr">
        <is>
          <t>VÄSTERBOTTENS LÄN</t>
        </is>
      </c>
      <c r="E381" t="inlineStr">
        <is>
          <t>ÅSELE</t>
        </is>
      </c>
      <c r="F381" t="inlineStr">
        <is>
          <t>Holmen skog AB</t>
        </is>
      </c>
      <c r="G381" t="n">
        <v>20.5</v>
      </c>
      <c r="H381" t="n">
        <v>0</v>
      </c>
      <c r="I381" t="n">
        <v>0</v>
      </c>
      <c r="J381" t="n">
        <v>0</v>
      </c>
      <c r="K381" t="n">
        <v>0</v>
      </c>
      <c r="L381" t="n">
        <v>0</v>
      </c>
      <c r="M381" t="n">
        <v>0</v>
      </c>
      <c r="N381" t="n">
        <v>0</v>
      </c>
      <c r="O381" t="n">
        <v>0</v>
      </c>
      <c r="P381" t="n">
        <v>0</v>
      </c>
      <c r="Q381" t="n">
        <v>0</v>
      </c>
      <c r="R381" s="2" t="inlineStr"/>
    </row>
    <row r="382" ht="15" customHeight="1">
      <c r="A382" t="inlineStr">
        <is>
          <t>A 25549-2024</t>
        </is>
      </c>
      <c r="B382" s="1" t="n">
        <v>45463</v>
      </c>
      <c r="C382" s="1" t="n">
        <v>46128</v>
      </c>
      <c r="D382" t="inlineStr">
        <is>
          <t>VÄSTERBOTTENS LÄN</t>
        </is>
      </c>
      <c r="E382" t="inlineStr">
        <is>
          <t>ÅSELE</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25394-2025</t>
        </is>
      </c>
      <c r="B383" s="1" t="n">
        <v>45800.64912037037</v>
      </c>
      <c r="C383" s="1" t="n">
        <v>46128</v>
      </c>
      <c r="D383" t="inlineStr">
        <is>
          <t>VÄSTERBOTTENS LÄN</t>
        </is>
      </c>
      <c r="E383" t="inlineStr">
        <is>
          <t>ÅSELE</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46251-2025</t>
        </is>
      </c>
      <c r="B384" s="1" t="n">
        <v>45925.34475694445</v>
      </c>
      <c r="C384" s="1" t="n">
        <v>46128</v>
      </c>
      <c r="D384" t="inlineStr">
        <is>
          <t>VÄSTERBOTTENS LÄN</t>
        </is>
      </c>
      <c r="E384" t="inlineStr">
        <is>
          <t>ÅSELE</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25574-2024</t>
        </is>
      </c>
      <c r="B385" s="1" t="n">
        <v>45463.58829861111</v>
      </c>
      <c r="C385" s="1" t="n">
        <v>46128</v>
      </c>
      <c r="D385" t="inlineStr">
        <is>
          <t>VÄSTERBOTTENS LÄN</t>
        </is>
      </c>
      <c r="E385" t="inlineStr">
        <is>
          <t>ÅSELE</t>
        </is>
      </c>
      <c r="F385" t="inlineStr">
        <is>
          <t>Sveaskog</t>
        </is>
      </c>
      <c r="G385" t="n">
        <v>4.6</v>
      </c>
      <c r="H385" t="n">
        <v>0</v>
      </c>
      <c r="I385" t="n">
        <v>0</v>
      </c>
      <c r="J385" t="n">
        <v>0</v>
      </c>
      <c r="K385" t="n">
        <v>0</v>
      </c>
      <c r="L385" t="n">
        <v>0</v>
      </c>
      <c r="M385" t="n">
        <v>0</v>
      </c>
      <c r="N385" t="n">
        <v>0</v>
      </c>
      <c r="O385" t="n">
        <v>0</v>
      </c>
      <c r="P385" t="n">
        <v>0</v>
      </c>
      <c r="Q385" t="n">
        <v>0</v>
      </c>
      <c r="R385" s="2" t="inlineStr"/>
    </row>
    <row r="386" ht="15" customHeight="1">
      <c r="A386" t="inlineStr">
        <is>
          <t>A 46797-2025</t>
        </is>
      </c>
      <c r="B386" s="1" t="n">
        <v>45926.65686342592</v>
      </c>
      <c r="C386" s="1" t="n">
        <v>46128</v>
      </c>
      <c r="D386" t="inlineStr">
        <is>
          <t>VÄSTERBOTTENS LÄN</t>
        </is>
      </c>
      <c r="E386" t="inlineStr">
        <is>
          <t>ÅSELE</t>
        </is>
      </c>
      <c r="F386" t="inlineStr">
        <is>
          <t>Holmen skog AB</t>
        </is>
      </c>
      <c r="G386" t="n">
        <v>7.6</v>
      </c>
      <c r="H386" t="n">
        <v>0</v>
      </c>
      <c r="I386" t="n">
        <v>0</v>
      </c>
      <c r="J386" t="n">
        <v>0</v>
      </c>
      <c r="K386" t="n">
        <v>0</v>
      </c>
      <c r="L386" t="n">
        <v>0</v>
      </c>
      <c r="M386" t="n">
        <v>0</v>
      </c>
      <c r="N386" t="n">
        <v>0</v>
      </c>
      <c r="O386" t="n">
        <v>0</v>
      </c>
      <c r="P386" t="n">
        <v>0</v>
      </c>
      <c r="Q386" t="n">
        <v>0</v>
      </c>
      <c r="R386" s="2" t="inlineStr"/>
    </row>
    <row r="387" ht="15" customHeight="1">
      <c r="A387" t="inlineStr">
        <is>
          <t>A 24744-2025</t>
        </is>
      </c>
      <c r="B387" s="1" t="n">
        <v>45799</v>
      </c>
      <c r="C387" s="1" t="n">
        <v>46128</v>
      </c>
      <c r="D387" t="inlineStr">
        <is>
          <t>VÄSTERBOTTENS LÄN</t>
        </is>
      </c>
      <c r="E387" t="inlineStr">
        <is>
          <t>ÅSELE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5641-2022</t>
        </is>
      </c>
      <c r="B388" s="1" t="n">
        <v>44595.92319444445</v>
      </c>
      <c r="C388" s="1" t="n">
        <v>46128</v>
      </c>
      <c r="D388" t="inlineStr">
        <is>
          <t>VÄSTERBOTTENS LÄN</t>
        </is>
      </c>
      <c r="E388" t="inlineStr">
        <is>
          <t>ÅSELE</t>
        </is>
      </c>
      <c r="G388" t="n">
        <v>0.9</v>
      </c>
      <c r="H388" t="n">
        <v>0</v>
      </c>
      <c r="I388" t="n">
        <v>0</v>
      </c>
      <c r="J388" t="n">
        <v>0</v>
      </c>
      <c r="K388" t="n">
        <v>0</v>
      </c>
      <c r="L388" t="n">
        <v>0</v>
      </c>
      <c r="M388" t="n">
        <v>0</v>
      </c>
      <c r="N388" t="n">
        <v>0</v>
      </c>
      <c r="O388" t="n">
        <v>0</v>
      </c>
      <c r="P388" t="n">
        <v>0</v>
      </c>
      <c r="Q388" t="n">
        <v>0</v>
      </c>
      <c r="R388" s="2" t="inlineStr"/>
    </row>
    <row r="389" ht="15" customHeight="1">
      <c r="A389" t="inlineStr">
        <is>
          <t>A 36070-2023</t>
        </is>
      </c>
      <c r="B389" s="1" t="n">
        <v>45149</v>
      </c>
      <c r="C389" s="1" t="n">
        <v>46128</v>
      </c>
      <c r="D389" t="inlineStr">
        <is>
          <t>VÄSTERBOTTENS LÄN</t>
        </is>
      </c>
      <c r="E389" t="inlineStr">
        <is>
          <t>ÅSELE</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41160-2024</t>
        </is>
      </c>
      <c r="B390" s="1" t="n">
        <v>45559.47989583333</v>
      </c>
      <c r="C390" s="1" t="n">
        <v>46128</v>
      </c>
      <c r="D390" t="inlineStr">
        <is>
          <t>VÄSTERBOTTENS LÄN</t>
        </is>
      </c>
      <c r="E390" t="inlineStr">
        <is>
          <t>ÅSELE</t>
        </is>
      </c>
      <c r="F390" t="inlineStr">
        <is>
          <t>Sveaskog</t>
        </is>
      </c>
      <c r="G390" t="n">
        <v>18.8</v>
      </c>
      <c r="H390" t="n">
        <v>0</v>
      </c>
      <c r="I390" t="n">
        <v>0</v>
      </c>
      <c r="J390" t="n">
        <v>0</v>
      </c>
      <c r="K390" t="n">
        <v>0</v>
      </c>
      <c r="L390" t="n">
        <v>0</v>
      </c>
      <c r="M390" t="n">
        <v>0</v>
      </c>
      <c r="N390" t="n">
        <v>0</v>
      </c>
      <c r="O390" t="n">
        <v>0</v>
      </c>
      <c r="P390" t="n">
        <v>0</v>
      </c>
      <c r="Q390" t="n">
        <v>0</v>
      </c>
      <c r="R390" s="2" t="inlineStr"/>
    </row>
    <row r="391" ht="15" customHeight="1">
      <c r="A391" t="inlineStr">
        <is>
          <t>A 47341-2025</t>
        </is>
      </c>
      <c r="B391" s="1" t="n">
        <v>45930.56827546296</v>
      </c>
      <c r="C391" s="1" t="n">
        <v>46128</v>
      </c>
      <c r="D391" t="inlineStr">
        <is>
          <t>VÄSTERBOTTENS LÄN</t>
        </is>
      </c>
      <c r="E391" t="inlineStr">
        <is>
          <t>ÅSELE</t>
        </is>
      </c>
      <c r="F391" t="inlineStr">
        <is>
          <t>Holmen skog AB</t>
        </is>
      </c>
      <c r="G391" t="n">
        <v>5.3</v>
      </c>
      <c r="H391" t="n">
        <v>0</v>
      </c>
      <c r="I391" t="n">
        <v>0</v>
      </c>
      <c r="J391" t="n">
        <v>0</v>
      </c>
      <c r="K391" t="n">
        <v>0</v>
      </c>
      <c r="L391" t="n">
        <v>0</v>
      </c>
      <c r="M391" t="n">
        <v>0</v>
      </c>
      <c r="N391" t="n">
        <v>0</v>
      </c>
      <c r="O391" t="n">
        <v>0</v>
      </c>
      <c r="P391" t="n">
        <v>0</v>
      </c>
      <c r="Q391" t="n">
        <v>0</v>
      </c>
      <c r="R391" s="2" t="inlineStr"/>
    </row>
    <row r="392" ht="15" customHeight="1">
      <c r="A392" t="inlineStr">
        <is>
          <t>A 2485-2023</t>
        </is>
      </c>
      <c r="B392" s="1" t="n">
        <v>44943.50074074074</v>
      </c>
      <c r="C392" s="1" t="n">
        <v>46128</v>
      </c>
      <c r="D392" t="inlineStr">
        <is>
          <t>VÄSTERBOTTENS LÄN</t>
        </is>
      </c>
      <c r="E392" t="inlineStr">
        <is>
          <t>ÅSELE</t>
        </is>
      </c>
      <c r="G392" t="n">
        <v>1.2</v>
      </c>
      <c r="H392" t="n">
        <v>0</v>
      </c>
      <c r="I392" t="n">
        <v>0</v>
      </c>
      <c r="J392" t="n">
        <v>0</v>
      </c>
      <c r="K392" t="n">
        <v>0</v>
      </c>
      <c r="L392" t="n">
        <v>0</v>
      </c>
      <c r="M392" t="n">
        <v>0</v>
      </c>
      <c r="N392" t="n">
        <v>0</v>
      </c>
      <c r="O392" t="n">
        <v>0</v>
      </c>
      <c r="P392" t="n">
        <v>0</v>
      </c>
      <c r="Q392" t="n">
        <v>0</v>
      </c>
      <c r="R392" s="2" t="inlineStr"/>
    </row>
    <row r="393" ht="15" customHeight="1">
      <c r="A393" t="inlineStr">
        <is>
          <t>A 47433-2025</t>
        </is>
      </c>
      <c r="B393" s="1" t="n">
        <v>45930.63641203703</v>
      </c>
      <c r="C393" s="1" t="n">
        <v>46128</v>
      </c>
      <c r="D393" t="inlineStr">
        <is>
          <t>VÄSTERBOTTENS LÄN</t>
        </is>
      </c>
      <c r="E393" t="inlineStr">
        <is>
          <t>ÅSELE</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2091-2024</t>
        </is>
      </c>
      <c r="B394" s="1" t="n">
        <v>45309</v>
      </c>
      <c r="C394" s="1" t="n">
        <v>46128</v>
      </c>
      <c r="D394" t="inlineStr">
        <is>
          <t>VÄSTERBOTTENS LÄN</t>
        </is>
      </c>
      <c r="E394" t="inlineStr">
        <is>
          <t>ÅSELE</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6682-2024</t>
        </is>
      </c>
      <c r="B395" s="1" t="n">
        <v>45341.92533564815</v>
      </c>
      <c r="C395" s="1" t="n">
        <v>46128</v>
      </c>
      <c r="D395" t="inlineStr">
        <is>
          <t>VÄSTERBOTTENS LÄN</t>
        </is>
      </c>
      <c r="E395" t="inlineStr">
        <is>
          <t>ÅSELE</t>
        </is>
      </c>
      <c r="G395" t="n">
        <v>0.4</v>
      </c>
      <c r="H395" t="n">
        <v>0</v>
      </c>
      <c r="I395" t="n">
        <v>0</v>
      </c>
      <c r="J395" t="n">
        <v>0</v>
      </c>
      <c r="K395" t="n">
        <v>0</v>
      </c>
      <c r="L395" t="n">
        <v>0</v>
      </c>
      <c r="M395" t="n">
        <v>0</v>
      </c>
      <c r="N395" t="n">
        <v>0</v>
      </c>
      <c r="O395" t="n">
        <v>0</v>
      </c>
      <c r="P395" t="n">
        <v>0</v>
      </c>
      <c r="Q395" t="n">
        <v>0</v>
      </c>
      <c r="R395" s="2" t="inlineStr"/>
    </row>
    <row r="396" ht="15" customHeight="1">
      <c r="A396" t="inlineStr">
        <is>
          <t>A 26113-2025</t>
        </is>
      </c>
      <c r="B396" s="1" t="n">
        <v>45805.36946759259</v>
      </c>
      <c r="C396" s="1" t="n">
        <v>46128</v>
      </c>
      <c r="D396" t="inlineStr">
        <is>
          <t>VÄSTERBOTTENS LÄN</t>
        </is>
      </c>
      <c r="E396" t="inlineStr">
        <is>
          <t>ÅSELE</t>
        </is>
      </c>
      <c r="F396" t="inlineStr">
        <is>
          <t>Sveaskog</t>
        </is>
      </c>
      <c r="G396" t="n">
        <v>45.5</v>
      </c>
      <c r="H396" t="n">
        <v>0</v>
      </c>
      <c r="I396" t="n">
        <v>0</v>
      </c>
      <c r="J396" t="n">
        <v>0</v>
      </c>
      <c r="K396" t="n">
        <v>0</v>
      </c>
      <c r="L396" t="n">
        <v>0</v>
      </c>
      <c r="M396" t="n">
        <v>0</v>
      </c>
      <c r="N396" t="n">
        <v>0</v>
      </c>
      <c r="O396" t="n">
        <v>0</v>
      </c>
      <c r="P396" t="n">
        <v>0</v>
      </c>
      <c r="Q396" t="n">
        <v>0</v>
      </c>
      <c r="R396" s="2" t="inlineStr"/>
    </row>
    <row r="397" ht="15" customHeight="1">
      <c r="A397" t="inlineStr">
        <is>
          <t>A 17284-2025</t>
        </is>
      </c>
      <c r="B397" s="1" t="n">
        <v>45756.57346064815</v>
      </c>
      <c r="C397" s="1" t="n">
        <v>46128</v>
      </c>
      <c r="D397" t="inlineStr">
        <is>
          <t>VÄSTERBOTTENS LÄN</t>
        </is>
      </c>
      <c r="E397" t="inlineStr">
        <is>
          <t>ÅSELE</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26159-2025</t>
        </is>
      </c>
      <c r="B398" s="1" t="n">
        <v>45805.44869212963</v>
      </c>
      <c r="C398" s="1" t="n">
        <v>46128</v>
      </c>
      <c r="D398" t="inlineStr">
        <is>
          <t>VÄSTERBOTTENS LÄN</t>
        </is>
      </c>
      <c r="E398" t="inlineStr">
        <is>
          <t>ÅSELE</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26104-2025</t>
        </is>
      </c>
      <c r="B399" s="1" t="n">
        <v>45805.36008101852</v>
      </c>
      <c r="C399" s="1" t="n">
        <v>46128</v>
      </c>
      <c r="D399" t="inlineStr">
        <is>
          <t>VÄSTERBOTTENS LÄN</t>
        </is>
      </c>
      <c r="E399" t="inlineStr">
        <is>
          <t>ÅSELE</t>
        </is>
      </c>
      <c r="F399" t="inlineStr">
        <is>
          <t>Sveaskog</t>
        </is>
      </c>
      <c r="G399" t="n">
        <v>5.9</v>
      </c>
      <c r="H399" t="n">
        <v>0</v>
      </c>
      <c r="I399" t="n">
        <v>0</v>
      </c>
      <c r="J399" t="n">
        <v>0</v>
      </c>
      <c r="K399" t="n">
        <v>0</v>
      </c>
      <c r="L399" t="n">
        <v>0</v>
      </c>
      <c r="M399" t="n">
        <v>0</v>
      </c>
      <c r="N399" t="n">
        <v>0</v>
      </c>
      <c r="O399" t="n">
        <v>0</v>
      </c>
      <c r="P399" t="n">
        <v>0</v>
      </c>
      <c r="Q399" t="n">
        <v>0</v>
      </c>
      <c r="R399" s="2" t="inlineStr"/>
    </row>
    <row r="400" ht="15" customHeight="1">
      <c r="A400" t="inlineStr">
        <is>
          <t>A 26075-2025</t>
        </is>
      </c>
      <c r="B400" s="1" t="n">
        <v>45805.32921296296</v>
      </c>
      <c r="C400" s="1" t="n">
        <v>46128</v>
      </c>
      <c r="D400" t="inlineStr">
        <is>
          <t>VÄSTERBOTTENS LÄN</t>
        </is>
      </c>
      <c r="E400" t="inlineStr">
        <is>
          <t>ÅSELE</t>
        </is>
      </c>
      <c r="F400" t="inlineStr">
        <is>
          <t>Sveaskog</t>
        </is>
      </c>
      <c r="G400" t="n">
        <v>10</v>
      </c>
      <c r="H400" t="n">
        <v>0</v>
      </c>
      <c r="I400" t="n">
        <v>0</v>
      </c>
      <c r="J400" t="n">
        <v>0</v>
      </c>
      <c r="K400" t="n">
        <v>0</v>
      </c>
      <c r="L400" t="n">
        <v>0</v>
      </c>
      <c r="M400" t="n">
        <v>0</v>
      </c>
      <c r="N400" t="n">
        <v>0</v>
      </c>
      <c r="O400" t="n">
        <v>0</v>
      </c>
      <c r="P400" t="n">
        <v>0</v>
      </c>
      <c r="Q400" t="n">
        <v>0</v>
      </c>
      <c r="R400" s="2" t="inlineStr"/>
    </row>
    <row r="401" ht="15" customHeight="1">
      <c r="A401" t="inlineStr">
        <is>
          <t>A 26078-2025</t>
        </is>
      </c>
      <c r="B401" s="1" t="n">
        <v>45805.3371412037</v>
      </c>
      <c r="C401" s="1" t="n">
        <v>46128</v>
      </c>
      <c r="D401" t="inlineStr">
        <is>
          <t>VÄSTERBOTTENS LÄN</t>
        </is>
      </c>
      <c r="E401" t="inlineStr">
        <is>
          <t>ÅSELE</t>
        </is>
      </c>
      <c r="F401" t="inlineStr">
        <is>
          <t>Sveaskog</t>
        </is>
      </c>
      <c r="G401" t="n">
        <v>15.4</v>
      </c>
      <c r="H401" t="n">
        <v>0</v>
      </c>
      <c r="I401" t="n">
        <v>0</v>
      </c>
      <c r="J401" t="n">
        <v>0</v>
      </c>
      <c r="K401" t="n">
        <v>0</v>
      </c>
      <c r="L401" t="n">
        <v>0</v>
      </c>
      <c r="M401" t="n">
        <v>0</v>
      </c>
      <c r="N401" t="n">
        <v>0</v>
      </c>
      <c r="O401" t="n">
        <v>0</v>
      </c>
      <c r="P401" t="n">
        <v>0</v>
      </c>
      <c r="Q401" t="n">
        <v>0</v>
      </c>
      <c r="R401" s="2" t="inlineStr"/>
    </row>
    <row r="402" ht="15" customHeight="1">
      <c r="A402" t="inlineStr">
        <is>
          <t>A 47027-2025</t>
        </is>
      </c>
      <c r="B402" s="1" t="n">
        <v>45929.58471064815</v>
      </c>
      <c r="C402" s="1" t="n">
        <v>46128</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12589-2024</t>
        </is>
      </c>
      <c r="B403" s="1" t="n">
        <v>45379.93677083333</v>
      </c>
      <c r="C403" s="1" t="n">
        <v>46128</v>
      </c>
      <c r="D403" t="inlineStr">
        <is>
          <t>VÄSTERBOTTENS LÄN</t>
        </is>
      </c>
      <c r="E403" t="inlineStr">
        <is>
          <t>ÅSELE</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26245-2025</t>
        </is>
      </c>
      <c r="B404" s="1" t="n">
        <v>45805</v>
      </c>
      <c r="C404" s="1" t="n">
        <v>46128</v>
      </c>
      <c r="D404" t="inlineStr">
        <is>
          <t>VÄSTERBOTTENS LÄN</t>
        </is>
      </c>
      <c r="E404" t="inlineStr">
        <is>
          <t>ÅSELE</t>
        </is>
      </c>
      <c r="F404" t="inlineStr">
        <is>
          <t>SCA</t>
        </is>
      </c>
      <c r="G404" t="n">
        <v>6.9</v>
      </c>
      <c r="H404" t="n">
        <v>0</v>
      </c>
      <c r="I404" t="n">
        <v>0</v>
      </c>
      <c r="J404" t="n">
        <v>0</v>
      </c>
      <c r="K404" t="n">
        <v>0</v>
      </c>
      <c r="L404" t="n">
        <v>0</v>
      </c>
      <c r="M404" t="n">
        <v>0</v>
      </c>
      <c r="N404" t="n">
        <v>0</v>
      </c>
      <c r="O404" t="n">
        <v>0</v>
      </c>
      <c r="P404" t="n">
        <v>0</v>
      </c>
      <c r="Q404" t="n">
        <v>0</v>
      </c>
      <c r="R404" s="2" t="inlineStr"/>
    </row>
    <row r="405" ht="15" customHeight="1">
      <c r="A405" t="inlineStr">
        <is>
          <t>A 26115-2025</t>
        </is>
      </c>
      <c r="B405" s="1" t="n">
        <v>45805.37388888889</v>
      </c>
      <c r="C405" s="1" t="n">
        <v>46128</v>
      </c>
      <c r="D405" t="inlineStr">
        <is>
          <t>VÄSTERBOTTENS LÄN</t>
        </is>
      </c>
      <c r="E405" t="inlineStr">
        <is>
          <t>ÅSELE</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18009-2025</t>
        </is>
      </c>
      <c r="B406" s="1" t="n">
        <v>45761</v>
      </c>
      <c r="C406" s="1" t="n">
        <v>46128</v>
      </c>
      <c r="D406" t="inlineStr">
        <is>
          <t>VÄSTERBOTTENS LÄN</t>
        </is>
      </c>
      <c r="E406" t="inlineStr">
        <is>
          <t>ÅSELE</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41960-2024</t>
        </is>
      </c>
      <c r="B407" s="1" t="n">
        <v>45561</v>
      </c>
      <c r="C407" s="1" t="n">
        <v>46128</v>
      </c>
      <c r="D407" t="inlineStr">
        <is>
          <t>VÄSTERBOTTENS LÄN</t>
        </is>
      </c>
      <c r="E407" t="inlineStr">
        <is>
          <t>ÅSELE</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26782-2025</t>
        </is>
      </c>
      <c r="B408" s="1" t="n">
        <v>45810</v>
      </c>
      <c r="C408" s="1" t="n">
        <v>46128</v>
      </c>
      <c r="D408" t="inlineStr">
        <is>
          <t>VÄSTERBOTTENS LÄN</t>
        </is>
      </c>
      <c r="E408" t="inlineStr">
        <is>
          <t>ÅSELE</t>
        </is>
      </c>
      <c r="G408" t="n">
        <v>3.3</v>
      </c>
      <c r="H408" t="n">
        <v>0</v>
      </c>
      <c r="I408" t="n">
        <v>0</v>
      </c>
      <c r="J408" t="n">
        <v>0</v>
      </c>
      <c r="K408" t="n">
        <v>0</v>
      </c>
      <c r="L408" t="n">
        <v>0</v>
      </c>
      <c r="M408" t="n">
        <v>0</v>
      </c>
      <c r="N408" t="n">
        <v>0</v>
      </c>
      <c r="O408" t="n">
        <v>0</v>
      </c>
      <c r="P408" t="n">
        <v>0</v>
      </c>
      <c r="Q408" t="n">
        <v>0</v>
      </c>
      <c r="R408" s="2" t="inlineStr"/>
    </row>
    <row r="409" ht="15" customHeight="1">
      <c r="A409" t="inlineStr">
        <is>
          <t>A 3250-2025</t>
        </is>
      </c>
      <c r="B409" s="1" t="n">
        <v>45679</v>
      </c>
      <c r="C409" s="1" t="n">
        <v>46128</v>
      </c>
      <c r="D409" t="inlineStr">
        <is>
          <t>VÄSTERBOTTENS LÄN</t>
        </is>
      </c>
      <c r="E409" t="inlineStr">
        <is>
          <t>ÅSELE</t>
        </is>
      </c>
      <c r="G409" t="n">
        <v>2.3</v>
      </c>
      <c r="H409" t="n">
        <v>0</v>
      </c>
      <c r="I409" t="n">
        <v>0</v>
      </c>
      <c r="J409" t="n">
        <v>0</v>
      </c>
      <c r="K409" t="n">
        <v>0</v>
      </c>
      <c r="L409" t="n">
        <v>0</v>
      </c>
      <c r="M409" t="n">
        <v>0</v>
      </c>
      <c r="N409" t="n">
        <v>0</v>
      </c>
      <c r="O409" t="n">
        <v>0</v>
      </c>
      <c r="P409" t="n">
        <v>0</v>
      </c>
      <c r="Q409" t="n">
        <v>0</v>
      </c>
      <c r="R409" s="2" t="inlineStr"/>
    </row>
    <row r="410" ht="15" customHeight="1">
      <c r="A410" t="inlineStr">
        <is>
          <t>A 26774-2025</t>
        </is>
      </c>
      <c r="B410" s="1" t="n">
        <v>45810.57378472222</v>
      </c>
      <c r="C410" s="1" t="n">
        <v>46128</v>
      </c>
      <c r="D410" t="inlineStr">
        <is>
          <t>VÄSTERBOTTENS LÄN</t>
        </is>
      </c>
      <c r="E410" t="inlineStr">
        <is>
          <t>ÅSELE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26474-2025</t>
        </is>
      </c>
      <c r="B411" s="1" t="n">
        <v>45807</v>
      </c>
      <c r="C411" s="1" t="n">
        <v>46128</v>
      </c>
      <c r="D411" t="inlineStr">
        <is>
          <t>VÄSTERBOTTENS LÄN</t>
        </is>
      </c>
      <c r="E411" t="inlineStr">
        <is>
          <t>ÅSELE</t>
        </is>
      </c>
      <c r="F411" t="inlineStr">
        <is>
          <t>SCA</t>
        </is>
      </c>
      <c r="G411" t="n">
        <v>11.5</v>
      </c>
      <c r="H411" t="n">
        <v>0</v>
      </c>
      <c r="I411" t="n">
        <v>0</v>
      </c>
      <c r="J411" t="n">
        <v>0</v>
      </c>
      <c r="K411" t="n">
        <v>0</v>
      </c>
      <c r="L411" t="n">
        <v>0</v>
      </c>
      <c r="M411" t="n">
        <v>0</v>
      </c>
      <c r="N411" t="n">
        <v>0</v>
      </c>
      <c r="O411" t="n">
        <v>0</v>
      </c>
      <c r="P411" t="n">
        <v>0</v>
      </c>
      <c r="Q411" t="n">
        <v>0</v>
      </c>
      <c r="R411" s="2" t="inlineStr"/>
    </row>
    <row r="412" ht="15" customHeight="1">
      <c r="A412" t="inlineStr">
        <is>
          <t>A 47823-2025</t>
        </is>
      </c>
      <c r="B412" s="1" t="n">
        <v>45932.34454861111</v>
      </c>
      <c r="C412" s="1" t="n">
        <v>46128</v>
      </c>
      <c r="D412" t="inlineStr">
        <is>
          <t>VÄSTERBOTTENS LÄN</t>
        </is>
      </c>
      <c r="E412" t="inlineStr">
        <is>
          <t>ÅSELE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47825-2025</t>
        </is>
      </c>
      <c r="B413" s="1" t="n">
        <v>45932.34476851852</v>
      </c>
      <c r="C413" s="1" t="n">
        <v>46128</v>
      </c>
      <c r="D413" t="inlineStr">
        <is>
          <t>VÄSTERBOTTENS LÄN</t>
        </is>
      </c>
      <c r="E413" t="inlineStr">
        <is>
          <t>ÅSELE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28854-2023</t>
        </is>
      </c>
      <c r="B414" s="1" t="n">
        <v>45104</v>
      </c>
      <c r="C414" s="1" t="n">
        <v>46128</v>
      </c>
      <c r="D414" t="inlineStr">
        <is>
          <t>VÄSTERBOTTENS LÄN</t>
        </is>
      </c>
      <c r="E414" t="inlineStr">
        <is>
          <t>ÅSELE</t>
        </is>
      </c>
      <c r="F414" t="inlineStr">
        <is>
          <t>Naturvårdsverket</t>
        </is>
      </c>
      <c r="G414" t="n">
        <v>15.8</v>
      </c>
      <c r="H414" t="n">
        <v>0</v>
      </c>
      <c r="I414" t="n">
        <v>0</v>
      </c>
      <c r="J414" t="n">
        <v>0</v>
      </c>
      <c r="K414" t="n">
        <v>0</v>
      </c>
      <c r="L414" t="n">
        <v>0</v>
      </c>
      <c r="M414" t="n">
        <v>0</v>
      </c>
      <c r="N414" t="n">
        <v>0</v>
      </c>
      <c r="O414" t="n">
        <v>0</v>
      </c>
      <c r="P414" t="n">
        <v>0</v>
      </c>
      <c r="Q414" t="n">
        <v>0</v>
      </c>
      <c r="R414" s="2" t="inlineStr"/>
    </row>
    <row r="415" ht="15" customHeight="1">
      <c r="A415" t="inlineStr">
        <is>
          <t>A 36959-2024</t>
        </is>
      </c>
      <c r="B415" s="1" t="n">
        <v>45538</v>
      </c>
      <c r="C415" s="1" t="n">
        <v>46128</v>
      </c>
      <c r="D415" t="inlineStr">
        <is>
          <t>VÄSTERBOTTENS LÄN</t>
        </is>
      </c>
      <c r="E415" t="inlineStr">
        <is>
          <t>ÅSELE</t>
        </is>
      </c>
      <c r="F415" t="inlineStr">
        <is>
          <t>Naturvårdsverket</t>
        </is>
      </c>
      <c r="G415" t="n">
        <v>13.4</v>
      </c>
      <c r="H415" t="n">
        <v>0</v>
      </c>
      <c r="I415" t="n">
        <v>0</v>
      </c>
      <c r="J415" t="n">
        <v>0</v>
      </c>
      <c r="K415" t="n">
        <v>0</v>
      </c>
      <c r="L415" t="n">
        <v>0</v>
      </c>
      <c r="M415" t="n">
        <v>0</v>
      </c>
      <c r="N415" t="n">
        <v>0</v>
      </c>
      <c r="O415" t="n">
        <v>0</v>
      </c>
      <c r="P415" t="n">
        <v>0</v>
      </c>
      <c r="Q415" t="n">
        <v>0</v>
      </c>
      <c r="R415" s="2" t="inlineStr"/>
    </row>
    <row r="416" ht="15" customHeight="1">
      <c r="A416" t="inlineStr">
        <is>
          <t>A 43133-2023</t>
        </is>
      </c>
      <c r="B416" s="1" t="n">
        <v>45182</v>
      </c>
      <c r="C416" s="1" t="n">
        <v>46128</v>
      </c>
      <c r="D416" t="inlineStr">
        <is>
          <t>VÄSTERBOTTENS LÄN</t>
        </is>
      </c>
      <c r="E416" t="inlineStr">
        <is>
          <t>ÅSELE</t>
        </is>
      </c>
      <c r="F416" t="inlineStr">
        <is>
          <t>SCA</t>
        </is>
      </c>
      <c r="G416" t="n">
        <v>14.1</v>
      </c>
      <c r="H416" t="n">
        <v>0</v>
      </c>
      <c r="I416" t="n">
        <v>0</v>
      </c>
      <c r="J416" t="n">
        <v>0</v>
      </c>
      <c r="K416" t="n">
        <v>0</v>
      </c>
      <c r="L416" t="n">
        <v>0</v>
      </c>
      <c r="M416" t="n">
        <v>0</v>
      </c>
      <c r="N416" t="n">
        <v>0</v>
      </c>
      <c r="O416" t="n">
        <v>0</v>
      </c>
      <c r="P416" t="n">
        <v>0</v>
      </c>
      <c r="Q416" t="n">
        <v>0</v>
      </c>
      <c r="R416" s="2" t="inlineStr"/>
    </row>
    <row r="417" ht="15" customHeight="1">
      <c r="A417" t="inlineStr">
        <is>
          <t>A 32993-2023</t>
        </is>
      </c>
      <c r="B417" s="1" t="n">
        <v>45113</v>
      </c>
      <c r="C417" s="1" t="n">
        <v>46128</v>
      </c>
      <c r="D417" t="inlineStr">
        <is>
          <t>VÄSTERBOTTENS LÄN</t>
        </is>
      </c>
      <c r="E417" t="inlineStr">
        <is>
          <t>ÅSELE</t>
        </is>
      </c>
      <c r="G417" t="n">
        <v>3.2</v>
      </c>
      <c r="H417" t="n">
        <v>0</v>
      </c>
      <c r="I417" t="n">
        <v>0</v>
      </c>
      <c r="J417" t="n">
        <v>0</v>
      </c>
      <c r="K417" t="n">
        <v>0</v>
      </c>
      <c r="L417" t="n">
        <v>0</v>
      </c>
      <c r="M417" t="n">
        <v>0</v>
      </c>
      <c r="N417" t="n">
        <v>0</v>
      </c>
      <c r="O417" t="n">
        <v>0</v>
      </c>
      <c r="P417" t="n">
        <v>0</v>
      </c>
      <c r="Q417" t="n">
        <v>0</v>
      </c>
      <c r="R417" s="2" t="inlineStr"/>
    </row>
    <row r="418" ht="15" customHeight="1">
      <c r="A418" t="inlineStr">
        <is>
          <t>A 37576-2024</t>
        </is>
      </c>
      <c r="B418" s="1" t="n">
        <v>45541</v>
      </c>
      <c r="C418" s="1" t="n">
        <v>46128</v>
      </c>
      <c r="D418" t="inlineStr">
        <is>
          <t>VÄSTERBOTTENS LÄN</t>
        </is>
      </c>
      <c r="E418" t="inlineStr">
        <is>
          <t>ÅSELE</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52103-2023</t>
        </is>
      </c>
      <c r="B419" s="1" t="n">
        <v>45223</v>
      </c>
      <c r="C419" s="1" t="n">
        <v>46128</v>
      </c>
      <c r="D419" t="inlineStr">
        <is>
          <t>VÄSTERBOTTENS LÄN</t>
        </is>
      </c>
      <c r="E419" t="inlineStr">
        <is>
          <t>ÅSELE</t>
        </is>
      </c>
      <c r="F419" t="inlineStr">
        <is>
          <t>Holmen skog AB</t>
        </is>
      </c>
      <c r="G419" t="n">
        <v>4.1</v>
      </c>
      <c r="H419" t="n">
        <v>0</v>
      </c>
      <c r="I419" t="n">
        <v>0</v>
      </c>
      <c r="J419" t="n">
        <v>0</v>
      </c>
      <c r="K419" t="n">
        <v>0</v>
      </c>
      <c r="L419" t="n">
        <v>0</v>
      </c>
      <c r="M419" t="n">
        <v>0</v>
      </c>
      <c r="N419" t="n">
        <v>0</v>
      </c>
      <c r="O419" t="n">
        <v>0</v>
      </c>
      <c r="P419" t="n">
        <v>0</v>
      </c>
      <c r="Q419" t="n">
        <v>0</v>
      </c>
      <c r="R419" s="2" t="inlineStr"/>
    </row>
    <row r="420" ht="15" customHeight="1">
      <c r="A420" t="inlineStr">
        <is>
          <t>A 32586-2023</t>
        </is>
      </c>
      <c r="B420" s="1" t="n">
        <v>45121</v>
      </c>
      <c r="C420" s="1" t="n">
        <v>46128</v>
      </c>
      <c r="D420" t="inlineStr">
        <is>
          <t>VÄSTERBOTTENS LÄN</t>
        </is>
      </c>
      <c r="E420" t="inlineStr">
        <is>
          <t>ÅSELE</t>
        </is>
      </c>
      <c r="F420" t="inlineStr">
        <is>
          <t>Holmen skog AB</t>
        </is>
      </c>
      <c r="G420" t="n">
        <v>5.5</v>
      </c>
      <c r="H420" t="n">
        <v>0</v>
      </c>
      <c r="I420" t="n">
        <v>0</v>
      </c>
      <c r="J420" t="n">
        <v>0</v>
      </c>
      <c r="K420" t="n">
        <v>0</v>
      </c>
      <c r="L420" t="n">
        <v>0</v>
      </c>
      <c r="M420" t="n">
        <v>0</v>
      </c>
      <c r="N420" t="n">
        <v>0</v>
      </c>
      <c r="O420" t="n">
        <v>0</v>
      </c>
      <c r="P420" t="n">
        <v>0</v>
      </c>
      <c r="Q420" t="n">
        <v>0</v>
      </c>
      <c r="R420" s="2" t="inlineStr"/>
    </row>
    <row r="421" ht="15" customHeight="1">
      <c r="A421" t="inlineStr">
        <is>
          <t>A 64898-2023</t>
        </is>
      </c>
      <c r="B421" s="1" t="n">
        <v>45282.61475694444</v>
      </c>
      <c r="C421" s="1" t="n">
        <v>46128</v>
      </c>
      <c r="D421" t="inlineStr">
        <is>
          <t>VÄSTERBOTTENS LÄN</t>
        </is>
      </c>
      <c r="E421" t="inlineStr">
        <is>
          <t>ÅSELE</t>
        </is>
      </c>
      <c r="G421" t="n">
        <v>4.1</v>
      </c>
      <c r="H421" t="n">
        <v>0</v>
      </c>
      <c r="I421" t="n">
        <v>0</v>
      </c>
      <c r="J421" t="n">
        <v>0</v>
      </c>
      <c r="K421" t="n">
        <v>0</v>
      </c>
      <c r="L421" t="n">
        <v>0</v>
      </c>
      <c r="M421" t="n">
        <v>0</v>
      </c>
      <c r="N421" t="n">
        <v>0</v>
      </c>
      <c r="O421" t="n">
        <v>0</v>
      </c>
      <c r="P421" t="n">
        <v>0</v>
      </c>
      <c r="Q421" t="n">
        <v>0</v>
      </c>
      <c r="R421" s="2" t="inlineStr"/>
    </row>
    <row r="422" ht="15" customHeight="1">
      <c r="A422" t="inlineStr">
        <is>
          <t>A 27168-2025</t>
        </is>
      </c>
      <c r="B422" s="1" t="n">
        <v>45812.34475694445</v>
      </c>
      <c r="C422" s="1" t="n">
        <v>46128</v>
      </c>
      <c r="D422" t="inlineStr">
        <is>
          <t>VÄSTERBOTTENS LÄN</t>
        </is>
      </c>
      <c r="E422" t="inlineStr">
        <is>
          <t>ÅSELE</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62975-2021</t>
        </is>
      </c>
      <c r="B423" s="1" t="n">
        <v>44505</v>
      </c>
      <c r="C423" s="1" t="n">
        <v>46128</v>
      </c>
      <c r="D423" t="inlineStr">
        <is>
          <t>VÄSTERBOTTENS LÄN</t>
        </is>
      </c>
      <c r="E423" t="inlineStr">
        <is>
          <t>ÅSELE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63060-2023</t>
        </is>
      </c>
      <c r="B424" s="1" t="n">
        <v>45272.95590277778</v>
      </c>
      <c r="C424" s="1" t="n">
        <v>46128</v>
      </c>
      <c r="D424" t="inlineStr">
        <is>
          <t>VÄSTERBOTTENS LÄN</t>
        </is>
      </c>
      <c r="E424" t="inlineStr">
        <is>
          <t>ÅSELE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17285-2025</t>
        </is>
      </c>
      <c r="B425" s="1" t="n">
        <v>45756.57349537037</v>
      </c>
      <c r="C425" s="1" t="n">
        <v>46128</v>
      </c>
      <c r="D425" t="inlineStr">
        <is>
          <t>VÄSTERBOTTENS LÄN</t>
        </is>
      </c>
      <c r="E425" t="inlineStr">
        <is>
          <t>ÅSELE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29054-2023</t>
        </is>
      </c>
      <c r="B426" s="1" t="n">
        <v>45104.92340277778</v>
      </c>
      <c r="C426" s="1" t="n">
        <v>46128</v>
      </c>
      <c r="D426" t="inlineStr">
        <is>
          <t>VÄSTERBOTTENS LÄN</t>
        </is>
      </c>
      <c r="E426" t="inlineStr">
        <is>
          <t>ÅSELE</t>
        </is>
      </c>
      <c r="G426" t="n">
        <v>1.9</v>
      </c>
      <c r="H426" t="n">
        <v>0</v>
      </c>
      <c r="I426" t="n">
        <v>0</v>
      </c>
      <c r="J426" t="n">
        <v>0</v>
      </c>
      <c r="K426" t="n">
        <v>0</v>
      </c>
      <c r="L426" t="n">
        <v>0</v>
      </c>
      <c r="M426" t="n">
        <v>0</v>
      </c>
      <c r="N426" t="n">
        <v>0</v>
      </c>
      <c r="O426" t="n">
        <v>0</v>
      </c>
      <c r="P426" t="n">
        <v>0</v>
      </c>
      <c r="Q426" t="n">
        <v>0</v>
      </c>
      <c r="R426" s="2" t="inlineStr"/>
    </row>
    <row r="427" ht="15" customHeight="1">
      <c r="A427" t="inlineStr">
        <is>
          <t>A 29055-2023</t>
        </is>
      </c>
      <c r="B427" s="1" t="n">
        <v>45104.9234375</v>
      </c>
      <c r="C427" s="1" t="n">
        <v>46128</v>
      </c>
      <c r="D427" t="inlineStr">
        <is>
          <t>VÄSTERBOTTENS LÄN</t>
        </is>
      </c>
      <c r="E427" t="inlineStr">
        <is>
          <t>ÅSELE</t>
        </is>
      </c>
      <c r="G427" t="n">
        <v>3.5</v>
      </c>
      <c r="H427" t="n">
        <v>0</v>
      </c>
      <c r="I427" t="n">
        <v>0</v>
      </c>
      <c r="J427" t="n">
        <v>0</v>
      </c>
      <c r="K427" t="n">
        <v>0</v>
      </c>
      <c r="L427" t="n">
        <v>0</v>
      </c>
      <c r="M427" t="n">
        <v>0</v>
      </c>
      <c r="N427" t="n">
        <v>0</v>
      </c>
      <c r="O427" t="n">
        <v>0</v>
      </c>
      <c r="P427" t="n">
        <v>0</v>
      </c>
      <c r="Q427" t="n">
        <v>0</v>
      </c>
      <c r="R427" s="2" t="inlineStr"/>
    </row>
    <row r="428" ht="15" customHeight="1">
      <c r="A428" t="inlineStr">
        <is>
          <t>A 27698-2025</t>
        </is>
      </c>
      <c r="B428" s="1" t="n">
        <v>45813.67741898148</v>
      </c>
      <c r="C428" s="1" t="n">
        <v>46128</v>
      </c>
      <c r="D428" t="inlineStr">
        <is>
          <t>VÄSTERBOTTENS LÄN</t>
        </is>
      </c>
      <c r="E428" t="inlineStr">
        <is>
          <t>ÅSELE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27722-2025</t>
        </is>
      </c>
      <c r="B429" s="1" t="n">
        <v>45814</v>
      </c>
      <c r="C429" s="1" t="n">
        <v>46128</v>
      </c>
      <c r="D429" t="inlineStr">
        <is>
          <t>VÄSTERBOTTENS LÄN</t>
        </is>
      </c>
      <c r="E429" t="inlineStr">
        <is>
          <t>ÅSELE</t>
        </is>
      </c>
      <c r="G429" t="n">
        <v>11</v>
      </c>
      <c r="H429" t="n">
        <v>0</v>
      </c>
      <c r="I429" t="n">
        <v>0</v>
      </c>
      <c r="J429" t="n">
        <v>0</v>
      </c>
      <c r="K429" t="n">
        <v>0</v>
      </c>
      <c r="L429" t="n">
        <v>0</v>
      </c>
      <c r="M429" t="n">
        <v>0</v>
      </c>
      <c r="N429" t="n">
        <v>0</v>
      </c>
      <c r="O429" t="n">
        <v>0</v>
      </c>
      <c r="P429" t="n">
        <v>0</v>
      </c>
      <c r="Q429" t="n">
        <v>0</v>
      </c>
      <c r="R429" s="2" t="inlineStr"/>
    </row>
    <row r="430" ht="15" customHeight="1">
      <c r="A430" t="inlineStr">
        <is>
          <t>A 31183-2023</t>
        </is>
      </c>
      <c r="B430" s="1" t="n">
        <v>45113.94913194444</v>
      </c>
      <c r="C430" s="1" t="n">
        <v>46128</v>
      </c>
      <c r="D430" t="inlineStr">
        <is>
          <t>VÄSTERBOTTENS LÄN</t>
        </is>
      </c>
      <c r="E430" t="inlineStr">
        <is>
          <t>ÅSELE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27720-2025</t>
        </is>
      </c>
      <c r="B431" s="1" t="n">
        <v>45814</v>
      </c>
      <c r="C431" s="1" t="n">
        <v>46128</v>
      </c>
      <c r="D431" t="inlineStr">
        <is>
          <t>VÄSTERBOTTENS LÄN</t>
        </is>
      </c>
      <c r="E431" t="inlineStr">
        <is>
          <t>ÅSELE</t>
        </is>
      </c>
      <c r="G431" t="n">
        <v>4.7</v>
      </c>
      <c r="H431" t="n">
        <v>0</v>
      </c>
      <c r="I431" t="n">
        <v>0</v>
      </c>
      <c r="J431" t="n">
        <v>0</v>
      </c>
      <c r="K431" t="n">
        <v>0</v>
      </c>
      <c r="L431" t="n">
        <v>0</v>
      </c>
      <c r="M431" t="n">
        <v>0</v>
      </c>
      <c r="N431" t="n">
        <v>0</v>
      </c>
      <c r="O431" t="n">
        <v>0</v>
      </c>
      <c r="P431" t="n">
        <v>0</v>
      </c>
      <c r="Q431" t="n">
        <v>0</v>
      </c>
      <c r="R431" s="2" t="inlineStr"/>
    </row>
    <row r="432" ht="15" customHeight="1">
      <c r="A432" t="inlineStr">
        <is>
          <t>A 27721-2025</t>
        </is>
      </c>
      <c r="B432" s="1" t="n">
        <v>45814</v>
      </c>
      <c r="C432" s="1" t="n">
        <v>46128</v>
      </c>
      <c r="D432" t="inlineStr">
        <is>
          <t>VÄSTERBOTTENS LÄN</t>
        </is>
      </c>
      <c r="E432" t="inlineStr">
        <is>
          <t>ÅSELE</t>
        </is>
      </c>
      <c r="G432" t="n">
        <v>3.7</v>
      </c>
      <c r="H432" t="n">
        <v>0</v>
      </c>
      <c r="I432" t="n">
        <v>0</v>
      </c>
      <c r="J432" t="n">
        <v>0</v>
      </c>
      <c r="K432" t="n">
        <v>0</v>
      </c>
      <c r="L432" t="n">
        <v>0</v>
      </c>
      <c r="M432" t="n">
        <v>0</v>
      </c>
      <c r="N432" t="n">
        <v>0</v>
      </c>
      <c r="O432" t="n">
        <v>0</v>
      </c>
      <c r="P432" t="n">
        <v>0</v>
      </c>
      <c r="Q432" t="n">
        <v>0</v>
      </c>
      <c r="R432" s="2" t="inlineStr"/>
    </row>
    <row r="433" ht="15" customHeight="1">
      <c r="A433" t="inlineStr">
        <is>
          <t>A 27723-2025</t>
        </is>
      </c>
      <c r="B433" s="1" t="n">
        <v>45814.39700231481</v>
      </c>
      <c r="C433" s="1" t="n">
        <v>46128</v>
      </c>
      <c r="D433" t="inlineStr">
        <is>
          <t>VÄSTERBOTTENS LÄN</t>
        </is>
      </c>
      <c r="E433" t="inlineStr">
        <is>
          <t>ÅSELE</t>
        </is>
      </c>
      <c r="G433" t="n">
        <v>3.6</v>
      </c>
      <c r="H433" t="n">
        <v>0</v>
      </c>
      <c r="I433" t="n">
        <v>0</v>
      </c>
      <c r="J433" t="n">
        <v>0</v>
      </c>
      <c r="K433" t="n">
        <v>0</v>
      </c>
      <c r="L433" t="n">
        <v>0</v>
      </c>
      <c r="M433" t="n">
        <v>0</v>
      </c>
      <c r="N433" t="n">
        <v>0</v>
      </c>
      <c r="O433" t="n">
        <v>0</v>
      </c>
      <c r="P433" t="n">
        <v>0</v>
      </c>
      <c r="Q433" t="n">
        <v>0</v>
      </c>
      <c r="R433" s="2" t="inlineStr"/>
    </row>
    <row r="434" ht="15" customHeight="1">
      <c r="A434" t="inlineStr">
        <is>
          <t>A 27464-2025</t>
        </is>
      </c>
      <c r="B434" s="1" t="n">
        <v>45813</v>
      </c>
      <c r="C434" s="1" t="n">
        <v>46128</v>
      </c>
      <c r="D434" t="inlineStr">
        <is>
          <t>VÄSTERBOTTENS LÄN</t>
        </is>
      </c>
      <c r="E434" t="inlineStr">
        <is>
          <t>ÅSELE</t>
        </is>
      </c>
      <c r="F434" t="inlineStr">
        <is>
          <t>SCA</t>
        </is>
      </c>
      <c r="G434" t="n">
        <v>4.5</v>
      </c>
      <c r="H434" t="n">
        <v>0</v>
      </c>
      <c r="I434" t="n">
        <v>0</v>
      </c>
      <c r="J434" t="n">
        <v>0</v>
      </c>
      <c r="K434" t="n">
        <v>0</v>
      </c>
      <c r="L434" t="n">
        <v>0</v>
      </c>
      <c r="M434" t="n">
        <v>0</v>
      </c>
      <c r="N434" t="n">
        <v>0</v>
      </c>
      <c r="O434" t="n">
        <v>0</v>
      </c>
      <c r="P434" t="n">
        <v>0</v>
      </c>
      <c r="Q434" t="n">
        <v>0</v>
      </c>
      <c r="R434" s="2" t="inlineStr"/>
    </row>
    <row r="435" ht="15" customHeight="1">
      <c r="A435" t="inlineStr">
        <is>
          <t>A 48878-2025</t>
        </is>
      </c>
      <c r="B435" s="1" t="n">
        <v>45937.45689814815</v>
      </c>
      <c r="C435" s="1" t="n">
        <v>46128</v>
      </c>
      <c r="D435" t="inlineStr">
        <is>
          <t>VÄSTERBOTTENS LÄN</t>
        </is>
      </c>
      <c r="E435" t="inlineStr">
        <is>
          <t>ÅSELE</t>
        </is>
      </c>
      <c r="F435" t="inlineStr">
        <is>
          <t>Sveaskog</t>
        </is>
      </c>
      <c r="G435" t="n">
        <v>16.6</v>
      </c>
      <c r="H435" t="n">
        <v>0</v>
      </c>
      <c r="I435" t="n">
        <v>0</v>
      </c>
      <c r="J435" t="n">
        <v>0</v>
      </c>
      <c r="K435" t="n">
        <v>0</v>
      </c>
      <c r="L435" t="n">
        <v>0</v>
      </c>
      <c r="M435" t="n">
        <v>0</v>
      </c>
      <c r="N435" t="n">
        <v>0</v>
      </c>
      <c r="O435" t="n">
        <v>0</v>
      </c>
      <c r="P435" t="n">
        <v>0</v>
      </c>
      <c r="Q435" t="n">
        <v>0</v>
      </c>
      <c r="R435" s="2" t="inlineStr"/>
    </row>
    <row r="436" ht="15" customHeight="1">
      <c r="A436" t="inlineStr">
        <is>
          <t>A 48820-2025</t>
        </is>
      </c>
      <c r="B436" s="1" t="n">
        <v>45937.37208333334</v>
      </c>
      <c r="C436" s="1" t="n">
        <v>46128</v>
      </c>
      <c r="D436" t="inlineStr">
        <is>
          <t>VÄSTERBOTTENS LÄN</t>
        </is>
      </c>
      <c r="E436" t="inlineStr">
        <is>
          <t>ÅSELE</t>
        </is>
      </c>
      <c r="F436" t="inlineStr">
        <is>
          <t>Holmen skog AB</t>
        </is>
      </c>
      <c r="G436" t="n">
        <v>12.1</v>
      </c>
      <c r="H436" t="n">
        <v>0</v>
      </c>
      <c r="I436" t="n">
        <v>0</v>
      </c>
      <c r="J436" t="n">
        <v>0</v>
      </c>
      <c r="K436" t="n">
        <v>0</v>
      </c>
      <c r="L436" t="n">
        <v>0</v>
      </c>
      <c r="M436" t="n">
        <v>0</v>
      </c>
      <c r="N436" t="n">
        <v>0</v>
      </c>
      <c r="O436" t="n">
        <v>0</v>
      </c>
      <c r="P436" t="n">
        <v>0</v>
      </c>
      <c r="Q436" t="n">
        <v>0</v>
      </c>
      <c r="R436" s="2" t="inlineStr"/>
    </row>
    <row r="437" ht="15" customHeight="1">
      <c r="A437" t="inlineStr">
        <is>
          <t>A 49210-2025</t>
        </is>
      </c>
      <c r="B437" s="1" t="n">
        <v>45938.43741898148</v>
      </c>
      <c r="C437" s="1" t="n">
        <v>46128</v>
      </c>
      <c r="D437" t="inlineStr">
        <is>
          <t>VÄSTERBOTTENS LÄN</t>
        </is>
      </c>
      <c r="E437" t="inlineStr">
        <is>
          <t>ÅSELE</t>
        </is>
      </c>
      <c r="F437" t="inlineStr">
        <is>
          <t>Holmen skog AB</t>
        </is>
      </c>
      <c r="G437" t="n">
        <v>2.9</v>
      </c>
      <c r="H437" t="n">
        <v>0</v>
      </c>
      <c r="I437" t="n">
        <v>0</v>
      </c>
      <c r="J437" t="n">
        <v>0</v>
      </c>
      <c r="K437" t="n">
        <v>0</v>
      </c>
      <c r="L437" t="n">
        <v>0</v>
      </c>
      <c r="M437" t="n">
        <v>0</v>
      </c>
      <c r="N437" t="n">
        <v>0</v>
      </c>
      <c r="O437" t="n">
        <v>0</v>
      </c>
      <c r="P437" t="n">
        <v>0</v>
      </c>
      <c r="Q437" t="n">
        <v>0</v>
      </c>
      <c r="R437" s="2" t="inlineStr"/>
    </row>
    <row r="438" ht="15" customHeight="1">
      <c r="A438" t="inlineStr">
        <is>
          <t>A 49174-2025</t>
        </is>
      </c>
      <c r="B438" s="1" t="n">
        <v>45938.37679398148</v>
      </c>
      <c r="C438" s="1" t="n">
        <v>46128</v>
      </c>
      <c r="D438" t="inlineStr">
        <is>
          <t>VÄSTERBOTTENS LÄN</t>
        </is>
      </c>
      <c r="E438" t="inlineStr">
        <is>
          <t>ÅSELE</t>
        </is>
      </c>
      <c r="F438" t="inlineStr">
        <is>
          <t>Holmen skog AB</t>
        </is>
      </c>
      <c r="G438" t="n">
        <v>2.4</v>
      </c>
      <c r="H438" t="n">
        <v>0</v>
      </c>
      <c r="I438" t="n">
        <v>0</v>
      </c>
      <c r="J438" t="n">
        <v>0</v>
      </c>
      <c r="K438" t="n">
        <v>0</v>
      </c>
      <c r="L438" t="n">
        <v>0</v>
      </c>
      <c r="M438" t="n">
        <v>0</v>
      </c>
      <c r="N438" t="n">
        <v>0</v>
      </c>
      <c r="O438" t="n">
        <v>0</v>
      </c>
      <c r="P438" t="n">
        <v>0</v>
      </c>
      <c r="Q438" t="n">
        <v>0</v>
      </c>
      <c r="R438" s="2" t="inlineStr"/>
    </row>
    <row r="439" ht="15" customHeight="1">
      <c r="A439" t="inlineStr">
        <is>
          <t>A 49208-2025</t>
        </is>
      </c>
      <c r="B439" s="1" t="n">
        <v>45938.43431712963</v>
      </c>
      <c r="C439" s="1" t="n">
        <v>46128</v>
      </c>
      <c r="D439" t="inlineStr">
        <is>
          <t>VÄSTERBOTTENS LÄN</t>
        </is>
      </c>
      <c r="E439" t="inlineStr">
        <is>
          <t>ÅSELE</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28066-2025</t>
        </is>
      </c>
      <c r="B440" s="1" t="n">
        <v>45817</v>
      </c>
      <c r="C440" s="1" t="n">
        <v>46128</v>
      </c>
      <c r="D440" t="inlineStr">
        <is>
          <t>VÄSTERBOTTENS LÄN</t>
        </is>
      </c>
      <c r="E440" t="inlineStr">
        <is>
          <t>ÅSELE</t>
        </is>
      </c>
      <c r="F440" t="inlineStr">
        <is>
          <t>Sveaskog</t>
        </is>
      </c>
      <c r="G440" t="n">
        <v>7.1</v>
      </c>
      <c r="H440" t="n">
        <v>0</v>
      </c>
      <c r="I440" t="n">
        <v>0</v>
      </c>
      <c r="J440" t="n">
        <v>0</v>
      </c>
      <c r="K440" t="n">
        <v>0</v>
      </c>
      <c r="L440" t="n">
        <v>0</v>
      </c>
      <c r="M440" t="n">
        <v>0</v>
      </c>
      <c r="N440" t="n">
        <v>0</v>
      </c>
      <c r="O440" t="n">
        <v>0</v>
      </c>
      <c r="P440" t="n">
        <v>0</v>
      </c>
      <c r="Q440" t="n">
        <v>0</v>
      </c>
      <c r="R440" s="2" t="inlineStr"/>
    </row>
    <row r="441" ht="15" customHeight="1">
      <c r="A441" t="inlineStr">
        <is>
          <t>A 28279-2023</t>
        </is>
      </c>
      <c r="B441" s="1" t="n">
        <v>45099.62826388889</v>
      </c>
      <c r="C441" s="1" t="n">
        <v>46128</v>
      </c>
      <c r="D441" t="inlineStr">
        <is>
          <t>VÄSTERBOTTENS LÄN</t>
        </is>
      </c>
      <c r="E441" t="inlineStr">
        <is>
          <t>ÅSELE</t>
        </is>
      </c>
      <c r="F441" t="inlineStr">
        <is>
          <t>Sveaskog</t>
        </is>
      </c>
      <c r="G441" t="n">
        <v>16.6</v>
      </c>
      <c r="H441" t="n">
        <v>0</v>
      </c>
      <c r="I441" t="n">
        <v>0</v>
      </c>
      <c r="J441" t="n">
        <v>0</v>
      </c>
      <c r="K441" t="n">
        <v>0</v>
      </c>
      <c r="L441" t="n">
        <v>0</v>
      </c>
      <c r="M441" t="n">
        <v>0</v>
      </c>
      <c r="N441" t="n">
        <v>0</v>
      </c>
      <c r="O441" t="n">
        <v>0</v>
      </c>
      <c r="P441" t="n">
        <v>0</v>
      </c>
      <c r="Q441" t="n">
        <v>0</v>
      </c>
      <c r="R441" s="2" t="inlineStr"/>
    </row>
    <row r="442" ht="15" customHeight="1">
      <c r="A442" t="inlineStr">
        <is>
          <t>A 28495-2025</t>
        </is>
      </c>
      <c r="B442" s="1" t="n">
        <v>45818</v>
      </c>
      <c r="C442" s="1" t="n">
        <v>46128</v>
      </c>
      <c r="D442" t="inlineStr">
        <is>
          <t>VÄSTERBOTTENS LÄN</t>
        </is>
      </c>
      <c r="E442" t="inlineStr">
        <is>
          <t>ÅSELE</t>
        </is>
      </c>
      <c r="G442" t="n">
        <v>37.6</v>
      </c>
      <c r="H442" t="n">
        <v>0</v>
      </c>
      <c r="I442" t="n">
        <v>0</v>
      </c>
      <c r="J442" t="n">
        <v>0</v>
      </c>
      <c r="K442" t="n">
        <v>0</v>
      </c>
      <c r="L442" t="n">
        <v>0</v>
      </c>
      <c r="M442" t="n">
        <v>0</v>
      </c>
      <c r="N442" t="n">
        <v>0</v>
      </c>
      <c r="O442" t="n">
        <v>0</v>
      </c>
      <c r="P442" t="n">
        <v>0</v>
      </c>
      <c r="Q442" t="n">
        <v>0</v>
      </c>
      <c r="R442" s="2" t="inlineStr"/>
    </row>
    <row r="443" ht="15" customHeight="1">
      <c r="A443" t="inlineStr">
        <is>
          <t>A 49028-2025</t>
        </is>
      </c>
      <c r="B443" s="1" t="n">
        <v>45937.62199074074</v>
      </c>
      <c r="C443" s="1" t="n">
        <v>46128</v>
      </c>
      <c r="D443" t="inlineStr">
        <is>
          <t>VÄSTERBOTTENS LÄN</t>
        </is>
      </c>
      <c r="E443" t="inlineStr">
        <is>
          <t>ÅSELE</t>
        </is>
      </c>
      <c r="F443" t="inlineStr">
        <is>
          <t>Holmen skog AB</t>
        </is>
      </c>
      <c r="G443" t="n">
        <v>2.9</v>
      </c>
      <c r="H443" t="n">
        <v>0</v>
      </c>
      <c r="I443" t="n">
        <v>0</v>
      </c>
      <c r="J443" t="n">
        <v>0</v>
      </c>
      <c r="K443" t="n">
        <v>0</v>
      </c>
      <c r="L443" t="n">
        <v>0</v>
      </c>
      <c r="M443" t="n">
        <v>0</v>
      </c>
      <c r="N443" t="n">
        <v>0</v>
      </c>
      <c r="O443" t="n">
        <v>0</v>
      </c>
      <c r="P443" t="n">
        <v>0</v>
      </c>
      <c r="Q443" t="n">
        <v>0</v>
      </c>
      <c r="R443" s="2" t="inlineStr"/>
    </row>
    <row r="444" ht="15" customHeight="1">
      <c r="A444" t="inlineStr">
        <is>
          <t>A 24958-2025</t>
        </is>
      </c>
      <c r="B444" s="1" t="n">
        <v>45799</v>
      </c>
      <c r="C444" s="1" t="n">
        <v>46128</v>
      </c>
      <c r="D444" t="inlineStr">
        <is>
          <t>VÄSTERBOTTENS LÄN</t>
        </is>
      </c>
      <c r="E444" t="inlineStr">
        <is>
          <t>ÅSELE</t>
        </is>
      </c>
      <c r="G444" t="n">
        <v>2.9</v>
      </c>
      <c r="H444" t="n">
        <v>0</v>
      </c>
      <c r="I444" t="n">
        <v>0</v>
      </c>
      <c r="J444" t="n">
        <v>0</v>
      </c>
      <c r="K444" t="n">
        <v>0</v>
      </c>
      <c r="L444" t="n">
        <v>0</v>
      </c>
      <c r="M444" t="n">
        <v>0</v>
      </c>
      <c r="N444" t="n">
        <v>0</v>
      </c>
      <c r="O444" t="n">
        <v>0</v>
      </c>
      <c r="P444" t="n">
        <v>0</v>
      </c>
      <c r="Q444" t="n">
        <v>0</v>
      </c>
      <c r="R444" s="2" t="inlineStr"/>
    </row>
    <row r="445" ht="15" customHeight="1">
      <c r="A445" t="inlineStr">
        <is>
          <t>A 48945-2025</t>
        </is>
      </c>
      <c r="B445" s="1" t="n">
        <v>45937.53739583334</v>
      </c>
      <c r="C445" s="1" t="n">
        <v>46128</v>
      </c>
      <c r="D445" t="inlineStr">
        <is>
          <t>VÄSTERBOTTENS LÄN</t>
        </is>
      </c>
      <c r="E445" t="inlineStr">
        <is>
          <t>ÅSELE</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58386-2022</t>
        </is>
      </c>
      <c r="B446" s="1" t="n">
        <v>44894</v>
      </c>
      <c r="C446" s="1" t="n">
        <v>46128</v>
      </c>
      <c r="D446" t="inlineStr">
        <is>
          <t>VÄSTERBOTTENS LÄN</t>
        </is>
      </c>
      <c r="E446" t="inlineStr">
        <is>
          <t>ÅSELE</t>
        </is>
      </c>
      <c r="F446" t="inlineStr">
        <is>
          <t>Kommuner</t>
        </is>
      </c>
      <c r="G446" t="n">
        <v>25</v>
      </c>
      <c r="H446" t="n">
        <v>0</v>
      </c>
      <c r="I446" t="n">
        <v>0</v>
      </c>
      <c r="J446" t="n">
        <v>0</v>
      </c>
      <c r="K446" t="n">
        <v>0</v>
      </c>
      <c r="L446" t="n">
        <v>0</v>
      </c>
      <c r="M446" t="n">
        <v>0</v>
      </c>
      <c r="N446" t="n">
        <v>0</v>
      </c>
      <c r="O446" t="n">
        <v>0</v>
      </c>
      <c r="P446" t="n">
        <v>0</v>
      </c>
      <c r="Q446" t="n">
        <v>0</v>
      </c>
      <c r="R446" s="2" t="inlineStr"/>
    </row>
    <row r="447" ht="15" customHeight="1">
      <c r="A447" t="inlineStr">
        <is>
          <t>A 48786-2025</t>
        </is>
      </c>
      <c r="B447" s="1" t="n">
        <v>45937.31471064815</v>
      </c>
      <c r="C447" s="1" t="n">
        <v>46128</v>
      </c>
      <c r="D447" t="inlineStr">
        <is>
          <t>VÄSTERBOTTENS LÄN</t>
        </is>
      </c>
      <c r="E447" t="inlineStr">
        <is>
          <t>ÅSELE</t>
        </is>
      </c>
      <c r="F447" t="inlineStr">
        <is>
          <t>Holmen skog AB</t>
        </is>
      </c>
      <c r="G447" t="n">
        <v>3</v>
      </c>
      <c r="H447" t="n">
        <v>0</v>
      </c>
      <c r="I447" t="n">
        <v>0</v>
      </c>
      <c r="J447" t="n">
        <v>0</v>
      </c>
      <c r="K447" t="n">
        <v>0</v>
      </c>
      <c r="L447" t="n">
        <v>0</v>
      </c>
      <c r="M447" t="n">
        <v>0</v>
      </c>
      <c r="N447" t="n">
        <v>0</v>
      </c>
      <c r="O447" t="n">
        <v>0</v>
      </c>
      <c r="P447" t="n">
        <v>0</v>
      </c>
      <c r="Q447" t="n">
        <v>0</v>
      </c>
      <c r="R447" s="2" t="inlineStr"/>
    </row>
    <row r="448" ht="15" customHeight="1">
      <c r="A448" t="inlineStr">
        <is>
          <t>A 28929-2025</t>
        </is>
      </c>
      <c r="B448" s="1" t="n">
        <v>45820.6775</v>
      </c>
      <c r="C448" s="1" t="n">
        <v>46128</v>
      </c>
      <c r="D448" t="inlineStr">
        <is>
          <t>VÄSTERBOTTENS LÄN</t>
        </is>
      </c>
      <c r="E448" t="inlineStr">
        <is>
          <t>ÅSELE</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49753-2025</t>
        </is>
      </c>
      <c r="B449" s="1" t="n">
        <v>45940.34538194445</v>
      </c>
      <c r="C449" s="1" t="n">
        <v>46128</v>
      </c>
      <c r="D449" t="inlineStr">
        <is>
          <t>VÄSTERBOTTENS LÄN</t>
        </is>
      </c>
      <c r="E449" t="inlineStr">
        <is>
          <t>ÅSELE</t>
        </is>
      </c>
      <c r="F449" t="inlineStr">
        <is>
          <t>SCA</t>
        </is>
      </c>
      <c r="G449" t="n">
        <v>22.7</v>
      </c>
      <c r="H449" t="n">
        <v>0</v>
      </c>
      <c r="I449" t="n">
        <v>0</v>
      </c>
      <c r="J449" t="n">
        <v>0</v>
      </c>
      <c r="K449" t="n">
        <v>0</v>
      </c>
      <c r="L449" t="n">
        <v>0</v>
      </c>
      <c r="M449" t="n">
        <v>0</v>
      </c>
      <c r="N449" t="n">
        <v>0</v>
      </c>
      <c r="O449" t="n">
        <v>0</v>
      </c>
      <c r="P449" t="n">
        <v>0</v>
      </c>
      <c r="Q449" t="n">
        <v>0</v>
      </c>
      <c r="R449" s="2" t="inlineStr"/>
    </row>
    <row r="450" ht="15" customHeight="1">
      <c r="A450" t="inlineStr">
        <is>
          <t>A 22267-2023</t>
        </is>
      </c>
      <c r="B450" s="1" t="n">
        <v>45068</v>
      </c>
      <c r="C450" s="1" t="n">
        <v>46128</v>
      </c>
      <c r="D450" t="inlineStr">
        <is>
          <t>VÄSTERBOTTENS LÄN</t>
        </is>
      </c>
      <c r="E450" t="inlineStr">
        <is>
          <t>ÅSELE</t>
        </is>
      </c>
      <c r="G450" t="n">
        <v>2.1</v>
      </c>
      <c r="H450" t="n">
        <v>0</v>
      </c>
      <c r="I450" t="n">
        <v>0</v>
      </c>
      <c r="J450" t="n">
        <v>0</v>
      </c>
      <c r="K450" t="n">
        <v>0</v>
      </c>
      <c r="L450" t="n">
        <v>0</v>
      </c>
      <c r="M450" t="n">
        <v>0</v>
      </c>
      <c r="N450" t="n">
        <v>0</v>
      </c>
      <c r="O450" t="n">
        <v>0</v>
      </c>
      <c r="P450" t="n">
        <v>0</v>
      </c>
      <c r="Q450" t="n">
        <v>0</v>
      </c>
      <c r="R450" s="2" t="inlineStr"/>
    </row>
    <row r="451" ht="15" customHeight="1">
      <c r="A451" t="inlineStr">
        <is>
          <t>A 29967-2024</t>
        </is>
      </c>
      <c r="B451" s="1" t="n">
        <v>45488.4725925926</v>
      </c>
      <c r="C451" s="1" t="n">
        <v>46128</v>
      </c>
      <c r="D451" t="inlineStr">
        <is>
          <t>VÄSTERBOTTENS LÄN</t>
        </is>
      </c>
      <c r="E451" t="inlineStr">
        <is>
          <t>ÅSELE</t>
        </is>
      </c>
      <c r="G451" t="n">
        <v>5.8</v>
      </c>
      <c r="H451" t="n">
        <v>0</v>
      </c>
      <c r="I451" t="n">
        <v>0</v>
      </c>
      <c r="J451" t="n">
        <v>0</v>
      </c>
      <c r="K451" t="n">
        <v>0</v>
      </c>
      <c r="L451" t="n">
        <v>0</v>
      </c>
      <c r="M451" t="n">
        <v>0</v>
      </c>
      <c r="N451" t="n">
        <v>0</v>
      </c>
      <c r="O451" t="n">
        <v>0</v>
      </c>
      <c r="P451" t="n">
        <v>0</v>
      </c>
      <c r="Q451" t="n">
        <v>0</v>
      </c>
      <c r="R451" s="2" t="inlineStr"/>
    </row>
    <row r="452" ht="15" customHeight="1">
      <c r="A452" t="inlineStr">
        <is>
          <t>A 49482-2025</t>
        </is>
      </c>
      <c r="B452" s="1" t="n">
        <v>45939.35900462963</v>
      </c>
      <c r="C452" s="1" t="n">
        <v>46128</v>
      </c>
      <c r="D452" t="inlineStr">
        <is>
          <t>VÄSTERBOTTENS LÄN</t>
        </is>
      </c>
      <c r="E452" t="inlineStr">
        <is>
          <t>ÅSELE</t>
        </is>
      </c>
      <c r="F452" t="inlineStr">
        <is>
          <t>Sveaskog</t>
        </is>
      </c>
      <c r="G452" t="n">
        <v>2.2</v>
      </c>
      <c r="H452" t="n">
        <v>0</v>
      </c>
      <c r="I452" t="n">
        <v>0</v>
      </c>
      <c r="J452" t="n">
        <v>0</v>
      </c>
      <c r="K452" t="n">
        <v>0</v>
      </c>
      <c r="L452" t="n">
        <v>0</v>
      </c>
      <c r="M452" t="n">
        <v>0</v>
      </c>
      <c r="N452" t="n">
        <v>0</v>
      </c>
      <c r="O452" t="n">
        <v>0</v>
      </c>
      <c r="P452" t="n">
        <v>0</v>
      </c>
      <c r="Q452" t="n">
        <v>0</v>
      </c>
      <c r="R452" s="2" t="inlineStr"/>
    </row>
    <row r="453" ht="15" customHeight="1">
      <c r="A453" t="inlineStr">
        <is>
          <t>A 29726-2023</t>
        </is>
      </c>
      <c r="B453" s="1" t="n">
        <v>45107.44431712963</v>
      </c>
      <c r="C453" s="1" t="n">
        <v>46128</v>
      </c>
      <c r="D453" t="inlineStr">
        <is>
          <t>VÄSTERBOTTENS LÄN</t>
        </is>
      </c>
      <c r="E453" t="inlineStr">
        <is>
          <t>ÅSELE</t>
        </is>
      </c>
      <c r="F453" t="inlineStr">
        <is>
          <t>Holmen skog AB</t>
        </is>
      </c>
      <c r="G453" t="n">
        <v>3.3</v>
      </c>
      <c r="H453" t="n">
        <v>0</v>
      </c>
      <c r="I453" t="n">
        <v>0</v>
      </c>
      <c r="J453" t="n">
        <v>0</v>
      </c>
      <c r="K453" t="n">
        <v>0</v>
      </c>
      <c r="L453" t="n">
        <v>0</v>
      </c>
      <c r="M453" t="n">
        <v>0</v>
      </c>
      <c r="N453" t="n">
        <v>0</v>
      </c>
      <c r="O453" t="n">
        <v>0</v>
      </c>
      <c r="P453" t="n">
        <v>0</v>
      </c>
      <c r="Q453" t="n">
        <v>0</v>
      </c>
      <c r="R453" s="2" t="inlineStr"/>
    </row>
    <row r="454" ht="15" customHeight="1">
      <c r="A454" t="inlineStr">
        <is>
          <t>A 50284-2024</t>
        </is>
      </c>
      <c r="B454" s="1" t="n">
        <v>45600.61493055556</v>
      </c>
      <c r="C454" s="1" t="n">
        <v>46128</v>
      </c>
      <c r="D454" t="inlineStr">
        <is>
          <t>VÄSTERBOTTENS LÄN</t>
        </is>
      </c>
      <c r="E454" t="inlineStr">
        <is>
          <t>ÅSELE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28581-2025</t>
        </is>
      </c>
      <c r="B455" s="1" t="n">
        <v>45819</v>
      </c>
      <c r="C455" s="1" t="n">
        <v>46128</v>
      </c>
      <c r="D455" t="inlineStr">
        <is>
          <t>VÄSTERBOTTENS LÄN</t>
        </is>
      </c>
      <c r="E455" t="inlineStr">
        <is>
          <t>ÅSELE</t>
        </is>
      </c>
      <c r="G455" t="n">
        <v>3.9</v>
      </c>
      <c r="H455" t="n">
        <v>0</v>
      </c>
      <c r="I455" t="n">
        <v>0</v>
      </c>
      <c r="J455" t="n">
        <v>0</v>
      </c>
      <c r="K455" t="n">
        <v>0</v>
      </c>
      <c r="L455" t="n">
        <v>0</v>
      </c>
      <c r="M455" t="n">
        <v>0</v>
      </c>
      <c r="N455" t="n">
        <v>0</v>
      </c>
      <c r="O455" t="n">
        <v>0</v>
      </c>
      <c r="P455" t="n">
        <v>0</v>
      </c>
      <c r="Q455" t="n">
        <v>0</v>
      </c>
      <c r="R455" s="2" t="inlineStr"/>
    </row>
    <row r="456" ht="15" customHeight="1">
      <c r="A456" t="inlineStr">
        <is>
          <t>A 49464-2025</t>
        </is>
      </c>
      <c r="B456" s="1" t="n">
        <v>45939.32709490741</v>
      </c>
      <c r="C456" s="1" t="n">
        <v>46128</v>
      </c>
      <c r="D456" t="inlineStr">
        <is>
          <t>VÄSTERBOTTENS LÄN</t>
        </is>
      </c>
      <c r="E456" t="inlineStr">
        <is>
          <t>ÅSELE</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49465-2025</t>
        </is>
      </c>
      <c r="B457" s="1" t="n">
        <v>45939.33030092593</v>
      </c>
      <c r="C457" s="1" t="n">
        <v>46128</v>
      </c>
      <c r="D457" t="inlineStr">
        <is>
          <t>VÄSTERBOTTENS LÄN</t>
        </is>
      </c>
      <c r="E457" t="inlineStr">
        <is>
          <t>ÅSELE</t>
        </is>
      </c>
      <c r="F457" t="inlineStr">
        <is>
          <t>Holmen skog AB</t>
        </is>
      </c>
      <c r="G457" t="n">
        <v>7</v>
      </c>
      <c r="H457" t="n">
        <v>0</v>
      </c>
      <c r="I457" t="n">
        <v>0</v>
      </c>
      <c r="J457" t="n">
        <v>0</v>
      </c>
      <c r="K457" t="n">
        <v>0</v>
      </c>
      <c r="L457" t="n">
        <v>0</v>
      </c>
      <c r="M457" t="n">
        <v>0</v>
      </c>
      <c r="N457" t="n">
        <v>0</v>
      </c>
      <c r="O457" t="n">
        <v>0</v>
      </c>
      <c r="P457" t="n">
        <v>0</v>
      </c>
      <c r="Q457" t="n">
        <v>0</v>
      </c>
      <c r="R457" s="2" t="inlineStr"/>
    </row>
    <row r="458" ht="15" customHeight="1">
      <c r="A458" t="inlineStr">
        <is>
          <t>A 49506-2025</t>
        </is>
      </c>
      <c r="B458" s="1" t="n">
        <v>45939.37686342592</v>
      </c>
      <c r="C458" s="1" t="n">
        <v>46128</v>
      </c>
      <c r="D458" t="inlineStr">
        <is>
          <t>VÄSTERBOTTENS LÄN</t>
        </is>
      </c>
      <c r="E458" t="inlineStr">
        <is>
          <t>ÅSELE</t>
        </is>
      </c>
      <c r="F458" t="inlineStr">
        <is>
          <t>Sveaskog</t>
        </is>
      </c>
      <c r="G458" t="n">
        <v>22.6</v>
      </c>
      <c r="H458" t="n">
        <v>0</v>
      </c>
      <c r="I458" t="n">
        <v>0</v>
      </c>
      <c r="J458" t="n">
        <v>0</v>
      </c>
      <c r="K458" t="n">
        <v>0</v>
      </c>
      <c r="L458" t="n">
        <v>0</v>
      </c>
      <c r="M458" t="n">
        <v>0</v>
      </c>
      <c r="N458" t="n">
        <v>0</v>
      </c>
      <c r="O458" t="n">
        <v>0</v>
      </c>
      <c r="P458" t="n">
        <v>0</v>
      </c>
      <c r="Q458" t="n">
        <v>0</v>
      </c>
      <c r="R458" s="2" t="inlineStr"/>
    </row>
    <row r="459" ht="15" customHeight="1">
      <c r="A459" t="inlineStr">
        <is>
          <t>A 49623-2025</t>
        </is>
      </c>
      <c r="B459" s="1" t="n">
        <v>45939.59351851852</v>
      </c>
      <c r="C459" s="1" t="n">
        <v>46128</v>
      </c>
      <c r="D459" t="inlineStr">
        <is>
          <t>VÄSTERBOTTENS LÄN</t>
        </is>
      </c>
      <c r="E459" t="inlineStr">
        <is>
          <t>ÅSELE</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38350-2024</t>
        </is>
      </c>
      <c r="B460" s="1" t="n">
        <v>45545</v>
      </c>
      <c r="C460" s="1" t="n">
        <v>46128</v>
      </c>
      <c r="D460" t="inlineStr">
        <is>
          <t>VÄSTERBOTTENS LÄN</t>
        </is>
      </c>
      <c r="E460" t="inlineStr">
        <is>
          <t>ÅSELE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50261-2025</t>
        </is>
      </c>
      <c r="B461" s="1" t="n">
        <v>45944.3453125</v>
      </c>
      <c r="C461" s="1" t="n">
        <v>46128</v>
      </c>
      <c r="D461" t="inlineStr">
        <is>
          <t>VÄSTERBOTTENS LÄN</t>
        </is>
      </c>
      <c r="E461" t="inlineStr">
        <is>
          <t>ÅSELE</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50278-2025</t>
        </is>
      </c>
      <c r="B462" s="1" t="n">
        <v>45944.3794212963</v>
      </c>
      <c r="C462" s="1" t="n">
        <v>46128</v>
      </c>
      <c r="D462" t="inlineStr">
        <is>
          <t>VÄSTERBOTTENS LÄN</t>
        </is>
      </c>
      <c r="E462" t="inlineStr">
        <is>
          <t>ÅSELE</t>
        </is>
      </c>
      <c r="F462" t="inlineStr">
        <is>
          <t>Sveaskog</t>
        </is>
      </c>
      <c r="G462" t="n">
        <v>18.8</v>
      </c>
      <c r="H462" t="n">
        <v>0</v>
      </c>
      <c r="I462" t="n">
        <v>0</v>
      </c>
      <c r="J462" t="n">
        <v>0</v>
      </c>
      <c r="K462" t="n">
        <v>0</v>
      </c>
      <c r="L462" t="n">
        <v>0</v>
      </c>
      <c r="M462" t="n">
        <v>0</v>
      </c>
      <c r="N462" t="n">
        <v>0</v>
      </c>
      <c r="O462" t="n">
        <v>0</v>
      </c>
      <c r="P462" t="n">
        <v>0</v>
      </c>
      <c r="Q462" t="n">
        <v>0</v>
      </c>
      <c r="R462" s="2" t="inlineStr"/>
    </row>
    <row r="463" ht="15" customHeight="1">
      <c r="A463" t="inlineStr">
        <is>
          <t>A 50301-2025</t>
        </is>
      </c>
      <c r="B463" s="1" t="n">
        <v>45944.41266203704</v>
      </c>
      <c r="C463" s="1" t="n">
        <v>46128</v>
      </c>
      <c r="D463" t="inlineStr">
        <is>
          <t>VÄSTERBOTTENS LÄN</t>
        </is>
      </c>
      <c r="E463" t="inlineStr">
        <is>
          <t>ÅSELE</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50364-2025</t>
        </is>
      </c>
      <c r="B464" s="1" t="n">
        <v>45944.56780092593</v>
      </c>
      <c r="C464" s="1" t="n">
        <v>46128</v>
      </c>
      <c r="D464" t="inlineStr">
        <is>
          <t>VÄSTERBOTTENS LÄN</t>
        </is>
      </c>
      <c r="E464" t="inlineStr">
        <is>
          <t>ÅSELE</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50368-2025</t>
        </is>
      </c>
      <c r="B465" s="1" t="n">
        <v>45944.57844907408</v>
      </c>
      <c r="C465" s="1" t="n">
        <v>46128</v>
      </c>
      <c r="D465" t="inlineStr">
        <is>
          <t>VÄSTERBOTTENS LÄN</t>
        </is>
      </c>
      <c r="E465" t="inlineStr">
        <is>
          <t>ÅSELE</t>
        </is>
      </c>
      <c r="G465" t="n">
        <v>3.2</v>
      </c>
      <c r="H465" t="n">
        <v>0</v>
      </c>
      <c r="I465" t="n">
        <v>0</v>
      </c>
      <c r="J465" t="n">
        <v>0</v>
      </c>
      <c r="K465" t="n">
        <v>0</v>
      </c>
      <c r="L465" t="n">
        <v>0</v>
      </c>
      <c r="M465" t="n">
        <v>0</v>
      </c>
      <c r="N465" t="n">
        <v>0</v>
      </c>
      <c r="O465" t="n">
        <v>0</v>
      </c>
      <c r="P465" t="n">
        <v>0</v>
      </c>
      <c r="Q465" t="n">
        <v>0</v>
      </c>
      <c r="R465" s="2" t="inlineStr"/>
    </row>
    <row r="466" ht="15" customHeight="1">
      <c r="A466" t="inlineStr">
        <is>
          <t>A 50239-2025</t>
        </is>
      </c>
      <c r="B466" s="1" t="n">
        <v>45943.79672453704</v>
      </c>
      <c r="C466" s="1" t="n">
        <v>46128</v>
      </c>
      <c r="D466" t="inlineStr">
        <is>
          <t>VÄSTERBOTTENS LÄN</t>
        </is>
      </c>
      <c r="E466" t="inlineStr">
        <is>
          <t>ÅSELE</t>
        </is>
      </c>
      <c r="F466" t="inlineStr">
        <is>
          <t>Holmen skog AB</t>
        </is>
      </c>
      <c r="G466" t="n">
        <v>8.5</v>
      </c>
      <c r="H466" t="n">
        <v>0</v>
      </c>
      <c r="I466" t="n">
        <v>0</v>
      </c>
      <c r="J466" t="n">
        <v>0</v>
      </c>
      <c r="K466" t="n">
        <v>0</v>
      </c>
      <c r="L466" t="n">
        <v>0</v>
      </c>
      <c r="M466" t="n">
        <v>0</v>
      </c>
      <c r="N466" t="n">
        <v>0</v>
      </c>
      <c r="O466" t="n">
        <v>0</v>
      </c>
      <c r="P466" t="n">
        <v>0</v>
      </c>
      <c r="Q466" t="n">
        <v>0</v>
      </c>
      <c r="R466" s="2" t="inlineStr"/>
    </row>
    <row r="467" ht="15" customHeight="1">
      <c r="A467" t="inlineStr">
        <is>
          <t>A 50319-2025</t>
        </is>
      </c>
      <c r="B467" s="1" t="n">
        <v>45944.45122685185</v>
      </c>
      <c r="C467" s="1" t="n">
        <v>46128</v>
      </c>
      <c r="D467" t="inlineStr">
        <is>
          <t>VÄSTERBOTTENS LÄN</t>
        </is>
      </c>
      <c r="E467" t="inlineStr">
        <is>
          <t>ÅSELE</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50323-2025</t>
        </is>
      </c>
      <c r="B468" s="1" t="n">
        <v>45944.45759259259</v>
      </c>
      <c r="C468" s="1" t="n">
        <v>46128</v>
      </c>
      <c r="D468" t="inlineStr">
        <is>
          <t>VÄSTERBOTTENS LÄN</t>
        </is>
      </c>
      <c r="E468" t="inlineStr">
        <is>
          <t>ÅSELE</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50354-2025</t>
        </is>
      </c>
      <c r="B469" s="1" t="n">
        <v>45944.55519675926</v>
      </c>
      <c r="C469" s="1" t="n">
        <v>46128</v>
      </c>
      <c r="D469" t="inlineStr">
        <is>
          <t>VÄSTERBOTTENS LÄN</t>
        </is>
      </c>
      <c r="E469" t="inlineStr">
        <is>
          <t>ÅSELE</t>
        </is>
      </c>
      <c r="F469" t="inlineStr">
        <is>
          <t>Sveaskog</t>
        </is>
      </c>
      <c r="G469" t="n">
        <v>13.1</v>
      </c>
      <c r="H469" t="n">
        <v>0</v>
      </c>
      <c r="I469" t="n">
        <v>0</v>
      </c>
      <c r="J469" t="n">
        <v>0</v>
      </c>
      <c r="K469" t="n">
        <v>0</v>
      </c>
      <c r="L469" t="n">
        <v>0</v>
      </c>
      <c r="M469" t="n">
        <v>0</v>
      </c>
      <c r="N469" t="n">
        <v>0</v>
      </c>
      <c r="O469" t="n">
        <v>0</v>
      </c>
      <c r="P469" t="n">
        <v>0</v>
      </c>
      <c r="Q469" t="n">
        <v>0</v>
      </c>
      <c r="R469" s="2" t="inlineStr"/>
    </row>
    <row r="470" ht="15" customHeight="1">
      <c r="A470" t="inlineStr">
        <is>
          <t>A 50374-2025</t>
        </is>
      </c>
      <c r="B470" s="1" t="n">
        <v>45944.59637731482</v>
      </c>
      <c r="C470" s="1" t="n">
        <v>46128</v>
      </c>
      <c r="D470" t="inlineStr">
        <is>
          <t>VÄSTERBOTTENS LÄN</t>
        </is>
      </c>
      <c r="E470" t="inlineStr">
        <is>
          <t>ÅSELE</t>
        </is>
      </c>
      <c r="F470" t="inlineStr">
        <is>
          <t>Holmen skog AB</t>
        </is>
      </c>
      <c r="G470" t="n">
        <v>6.9</v>
      </c>
      <c r="H470" t="n">
        <v>0</v>
      </c>
      <c r="I470" t="n">
        <v>0</v>
      </c>
      <c r="J470" t="n">
        <v>0</v>
      </c>
      <c r="K470" t="n">
        <v>0</v>
      </c>
      <c r="L470" t="n">
        <v>0</v>
      </c>
      <c r="M470" t="n">
        <v>0</v>
      </c>
      <c r="N470" t="n">
        <v>0</v>
      </c>
      <c r="O470" t="n">
        <v>0</v>
      </c>
      <c r="P470" t="n">
        <v>0</v>
      </c>
      <c r="Q470" t="n">
        <v>0</v>
      </c>
      <c r="R470" s="2" t="inlineStr"/>
    </row>
    <row r="471" ht="15" customHeight="1">
      <c r="A471" t="inlineStr">
        <is>
          <t>A 29983-2025</t>
        </is>
      </c>
      <c r="B471" s="1" t="n">
        <v>45826.49555555556</v>
      </c>
      <c r="C471" s="1" t="n">
        <v>46128</v>
      </c>
      <c r="D471" t="inlineStr">
        <is>
          <t>VÄSTERBOTTENS LÄN</t>
        </is>
      </c>
      <c r="E471" t="inlineStr">
        <is>
          <t>ÅSELE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29963-2025</t>
        </is>
      </c>
      <c r="B472" s="1" t="n">
        <v>45826.48354166667</v>
      </c>
      <c r="C472" s="1" t="n">
        <v>46128</v>
      </c>
      <c r="D472" t="inlineStr">
        <is>
          <t>VÄSTERBOTTENS LÄN</t>
        </is>
      </c>
      <c r="E472" t="inlineStr">
        <is>
          <t>ÅSELE</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30043-2025</t>
        </is>
      </c>
      <c r="B473" s="1" t="n">
        <v>45826</v>
      </c>
      <c r="C473" s="1" t="n">
        <v>46128</v>
      </c>
      <c r="D473" t="inlineStr">
        <is>
          <t>VÄSTERBOTTENS LÄN</t>
        </is>
      </c>
      <c r="E473" t="inlineStr">
        <is>
          <t>ÅSELE</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29849-2025</t>
        </is>
      </c>
      <c r="B474" s="1" t="n">
        <v>45826.32945601852</v>
      </c>
      <c r="C474" s="1" t="n">
        <v>46128</v>
      </c>
      <c r="D474" t="inlineStr">
        <is>
          <t>VÄSTERBOTTENS LÄN</t>
        </is>
      </c>
      <c r="E474" t="inlineStr">
        <is>
          <t>ÅSELE</t>
        </is>
      </c>
      <c r="F474" t="inlineStr">
        <is>
          <t>Sveaskog</t>
        </is>
      </c>
      <c r="G474" t="n">
        <v>2.4</v>
      </c>
      <c r="H474" t="n">
        <v>0</v>
      </c>
      <c r="I474" t="n">
        <v>0</v>
      </c>
      <c r="J474" t="n">
        <v>0</v>
      </c>
      <c r="K474" t="n">
        <v>0</v>
      </c>
      <c r="L474" t="n">
        <v>0</v>
      </c>
      <c r="M474" t="n">
        <v>0</v>
      </c>
      <c r="N474" t="n">
        <v>0</v>
      </c>
      <c r="O474" t="n">
        <v>0</v>
      </c>
      <c r="P474" t="n">
        <v>0</v>
      </c>
      <c r="Q474" t="n">
        <v>0</v>
      </c>
      <c r="R474" s="2" t="inlineStr"/>
    </row>
    <row r="475" ht="15" customHeight="1">
      <c r="A475" t="inlineStr">
        <is>
          <t>A 21341-2024</t>
        </is>
      </c>
      <c r="B475" s="1" t="n">
        <v>45440.92835648148</v>
      </c>
      <c r="C475" s="1" t="n">
        <v>46128</v>
      </c>
      <c r="D475" t="inlineStr">
        <is>
          <t>VÄSTERBOTTENS LÄN</t>
        </is>
      </c>
      <c r="E475" t="inlineStr">
        <is>
          <t>ÅSELE</t>
        </is>
      </c>
      <c r="G475" t="n">
        <v>0.9</v>
      </c>
      <c r="H475" t="n">
        <v>0</v>
      </c>
      <c r="I475" t="n">
        <v>0</v>
      </c>
      <c r="J475" t="n">
        <v>0</v>
      </c>
      <c r="K475" t="n">
        <v>0</v>
      </c>
      <c r="L475" t="n">
        <v>0</v>
      </c>
      <c r="M475" t="n">
        <v>0</v>
      </c>
      <c r="N475" t="n">
        <v>0</v>
      </c>
      <c r="O475" t="n">
        <v>0</v>
      </c>
      <c r="P475" t="n">
        <v>0</v>
      </c>
      <c r="Q475" t="n">
        <v>0</v>
      </c>
      <c r="R475" s="2" t="inlineStr"/>
    </row>
    <row r="476" ht="15" customHeight="1">
      <c r="A476" t="inlineStr">
        <is>
          <t>A 50234-2025</t>
        </is>
      </c>
      <c r="B476" s="1" t="n">
        <v>45943.71912037037</v>
      </c>
      <c r="C476" s="1" t="n">
        <v>46128</v>
      </c>
      <c r="D476" t="inlineStr">
        <is>
          <t>VÄSTERBOTTENS LÄN</t>
        </is>
      </c>
      <c r="E476" t="inlineStr">
        <is>
          <t>ÅSELE</t>
        </is>
      </c>
      <c r="G476" t="n">
        <v>1.4</v>
      </c>
      <c r="H476" t="n">
        <v>0</v>
      </c>
      <c r="I476" t="n">
        <v>0</v>
      </c>
      <c r="J476" t="n">
        <v>0</v>
      </c>
      <c r="K476" t="n">
        <v>0</v>
      </c>
      <c r="L476" t="n">
        <v>0</v>
      </c>
      <c r="M476" t="n">
        <v>0</v>
      </c>
      <c r="N476" t="n">
        <v>0</v>
      </c>
      <c r="O476" t="n">
        <v>0</v>
      </c>
      <c r="P476" t="n">
        <v>0</v>
      </c>
      <c r="Q476" t="n">
        <v>0</v>
      </c>
      <c r="R476" s="2" t="inlineStr"/>
    </row>
    <row r="477" ht="15" customHeight="1">
      <c r="A477" t="inlineStr">
        <is>
          <t>A 50298-2025</t>
        </is>
      </c>
      <c r="B477" s="1" t="n">
        <v>45944.41163194444</v>
      </c>
      <c r="C477" s="1" t="n">
        <v>46128</v>
      </c>
      <c r="D477" t="inlineStr">
        <is>
          <t>VÄSTERBOTTENS LÄN</t>
        </is>
      </c>
      <c r="E477" t="inlineStr">
        <is>
          <t>ÅSELE</t>
        </is>
      </c>
      <c r="F477" t="inlineStr">
        <is>
          <t>Sveaskog</t>
        </is>
      </c>
      <c r="G477" t="n">
        <v>21.6</v>
      </c>
      <c r="H477" t="n">
        <v>0</v>
      </c>
      <c r="I477" t="n">
        <v>0</v>
      </c>
      <c r="J477" t="n">
        <v>0</v>
      </c>
      <c r="K477" t="n">
        <v>0</v>
      </c>
      <c r="L477" t="n">
        <v>0</v>
      </c>
      <c r="M477" t="n">
        <v>0</v>
      </c>
      <c r="N477" t="n">
        <v>0</v>
      </c>
      <c r="O477" t="n">
        <v>0</v>
      </c>
      <c r="P477" t="n">
        <v>0</v>
      </c>
      <c r="Q477" t="n">
        <v>0</v>
      </c>
      <c r="R477" s="2" t="inlineStr"/>
    </row>
    <row r="478" ht="15" customHeight="1">
      <c r="A478" t="inlineStr">
        <is>
          <t>A 50357-2025</t>
        </is>
      </c>
      <c r="B478" s="1" t="n">
        <v>45944.55862268519</v>
      </c>
      <c r="C478" s="1" t="n">
        <v>46128</v>
      </c>
      <c r="D478" t="inlineStr">
        <is>
          <t>VÄSTERBOTTENS LÄN</t>
        </is>
      </c>
      <c r="E478" t="inlineStr">
        <is>
          <t>ÅSELE</t>
        </is>
      </c>
      <c r="F478" t="inlineStr">
        <is>
          <t>Sveaskog</t>
        </is>
      </c>
      <c r="G478" t="n">
        <v>5.2</v>
      </c>
      <c r="H478" t="n">
        <v>0</v>
      </c>
      <c r="I478" t="n">
        <v>0</v>
      </c>
      <c r="J478" t="n">
        <v>0</v>
      </c>
      <c r="K478" t="n">
        <v>0</v>
      </c>
      <c r="L478" t="n">
        <v>0</v>
      </c>
      <c r="M478" t="n">
        <v>0</v>
      </c>
      <c r="N478" t="n">
        <v>0</v>
      </c>
      <c r="O478" t="n">
        <v>0</v>
      </c>
      <c r="P478" t="n">
        <v>0</v>
      </c>
      <c r="Q478" t="n">
        <v>0</v>
      </c>
      <c r="R478" s="2" t="inlineStr"/>
    </row>
    <row r="479" ht="15" customHeight="1">
      <c r="A479" t="inlineStr">
        <is>
          <t>A 29843-2025</t>
        </is>
      </c>
      <c r="B479" s="1" t="n">
        <v>45826.31524305556</v>
      </c>
      <c r="C479" s="1" t="n">
        <v>46128</v>
      </c>
      <c r="D479" t="inlineStr">
        <is>
          <t>VÄSTERBOTTENS LÄN</t>
        </is>
      </c>
      <c r="E479" t="inlineStr">
        <is>
          <t>ÅSELE</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29850-2025</t>
        </is>
      </c>
      <c r="B480" s="1" t="n">
        <v>45826</v>
      </c>
      <c r="C480" s="1" t="n">
        <v>46128</v>
      </c>
      <c r="D480" t="inlineStr">
        <is>
          <t>VÄSTERBOTTENS LÄN</t>
        </is>
      </c>
      <c r="E480" t="inlineStr">
        <is>
          <t>ÅSELE</t>
        </is>
      </c>
      <c r="F480" t="inlineStr">
        <is>
          <t>Sveaskog</t>
        </is>
      </c>
      <c r="G480" t="n">
        <v>7.1</v>
      </c>
      <c r="H480" t="n">
        <v>0</v>
      </c>
      <c r="I480" t="n">
        <v>0</v>
      </c>
      <c r="J480" t="n">
        <v>0</v>
      </c>
      <c r="K480" t="n">
        <v>0</v>
      </c>
      <c r="L480" t="n">
        <v>0</v>
      </c>
      <c r="M480" t="n">
        <v>0</v>
      </c>
      <c r="N480" t="n">
        <v>0</v>
      </c>
      <c r="O480" t="n">
        <v>0</v>
      </c>
      <c r="P480" t="n">
        <v>0</v>
      </c>
      <c r="Q480" t="n">
        <v>0</v>
      </c>
      <c r="R480" s="2" t="inlineStr"/>
    </row>
    <row r="481" ht="15" customHeight="1">
      <c r="A481" t="inlineStr">
        <is>
          <t>A 30037-2025</t>
        </is>
      </c>
      <c r="B481" s="1" t="n">
        <v>45826.57112268519</v>
      </c>
      <c r="C481" s="1" t="n">
        <v>46128</v>
      </c>
      <c r="D481" t="inlineStr">
        <is>
          <t>VÄSTERBOTTENS LÄN</t>
        </is>
      </c>
      <c r="E481" t="inlineStr">
        <is>
          <t>ÅSELE</t>
        </is>
      </c>
      <c r="F481" t="inlineStr">
        <is>
          <t>Sveaskog</t>
        </is>
      </c>
      <c r="G481" t="n">
        <v>8.9</v>
      </c>
      <c r="H481" t="n">
        <v>0</v>
      </c>
      <c r="I481" t="n">
        <v>0</v>
      </c>
      <c r="J481" t="n">
        <v>0</v>
      </c>
      <c r="K481" t="n">
        <v>0</v>
      </c>
      <c r="L481" t="n">
        <v>0</v>
      </c>
      <c r="M481" t="n">
        <v>0</v>
      </c>
      <c r="N481" t="n">
        <v>0</v>
      </c>
      <c r="O481" t="n">
        <v>0</v>
      </c>
      <c r="P481" t="n">
        <v>0</v>
      </c>
      <c r="Q481" t="n">
        <v>0</v>
      </c>
      <c r="R481" s="2" t="inlineStr"/>
    </row>
    <row r="482" ht="15" customHeight="1">
      <c r="A482" t="inlineStr">
        <is>
          <t>A 50288-2025</t>
        </is>
      </c>
      <c r="B482" s="1" t="n">
        <v>45944.39729166667</v>
      </c>
      <c r="C482" s="1" t="n">
        <v>46128</v>
      </c>
      <c r="D482" t="inlineStr">
        <is>
          <t>VÄSTERBOTTENS LÄN</t>
        </is>
      </c>
      <c r="E482" t="inlineStr">
        <is>
          <t>ÅSELE</t>
        </is>
      </c>
      <c r="F482" t="inlineStr">
        <is>
          <t>Sveaskog</t>
        </is>
      </c>
      <c r="G482" t="n">
        <v>25.2</v>
      </c>
      <c r="H482" t="n">
        <v>0</v>
      </c>
      <c r="I482" t="n">
        <v>0</v>
      </c>
      <c r="J482" t="n">
        <v>0</v>
      </c>
      <c r="K482" t="n">
        <v>0</v>
      </c>
      <c r="L482" t="n">
        <v>0</v>
      </c>
      <c r="M482" t="n">
        <v>0</v>
      </c>
      <c r="N482" t="n">
        <v>0</v>
      </c>
      <c r="O482" t="n">
        <v>0</v>
      </c>
      <c r="P482" t="n">
        <v>0</v>
      </c>
      <c r="Q482" t="n">
        <v>0</v>
      </c>
      <c r="R482" s="2" t="inlineStr"/>
    </row>
    <row r="483" ht="15" customHeight="1">
      <c r="A483" t="inlineStr">
        <is>
          <t>A 50322-2025</t>
        </is>
      </c>
      <c r="B483" s="1" t="n">
        <v>45944.45733796297</v>
      </c>
      <c r="C483" s="1" t="n">
        <v>46128</v>
      </c>
      <c r="D483" t="inlineStr">
        <is>
          <t>VÄSTERBOTTENS LÄN</t>
        </is>
      </c>
      <c r="E483" t="inlineStr">
        <is>
          <t>ÅSELE</t>
        </is>
      </c>
      <c r="F483" t="inlineStr">
        <is>
          <t>Sveaskog</t>
        </is>
      </c>
      <c r="G483" t="n">
        <v>13.8</v>
      </c>
      <c r="H483" t="n">
        <v>0</v>
      </c>
      <c r="I483" t="n">
        <v>0</v>
      </c>
      <c r="J483" t="n">
        <v>0</v>
      </c>
      <c r="K483" t="n">
        <v>0</v>
      </c>
      <c r="L483" t="n">
        <v>0</v>
      </c>
      <c r="M483" t="n">
        <v>0</v>
      </c>
      <c r="N483" t="n">
        <v>0</v>
      </c>
      <c r="O483" t="n">
        <v>0</v>
      </c>
      <c r="P483" t="n">
        <v>0</v>
      </c>
      <c r="Q483" t="n">
        <v>0</v>
      </c>
      <c r="R483" s="2" t="inlineStr"/>
    </row>
    <row r="484" ht="15" customHeight="1">
      <c r="A484" t="inlineStr">
        <is>
          <t>A 29039-2024</t>
        </is>
      </c>
      <c r="B484" s="1" t="n">
        <v>45481.60922453704</v>
      </c>
      <c r="C484" s="1" t="n">
        <v>46128</v>
      </c>
      <c r="D484" t="inlineStr">
        <is>
          <t>VÄSTERBOTTENS LÄN</t>
        </is>
      </c>
      <c r="E484" t="inlineStr">
        <is>
          <t>ÅSELE</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41583-2024</t>
        </is>
      </c>
      <c r="B485" s="1" t="n">
        <v>45560.55664351852</v>
      </c>
      <c r="C485" s="1" t="n">
        <v>46128</v>
      </c>
      <c r="D485" t="inlineStr">
        <is>
          <t>VÄSTERBOTTENS LÄN</t>
        </is>
      </c>
      <c r="E485" t="inlineStr">
        <is>
          <t>ÅSELE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29947-2025</t>
        </is>
      </c>
      <c r="B486" s="1" t="n">
        <v>45826</v>
      </c>
      <c r="C486" s="1" t="n">
        <v>46128</v>
      </c>
      <c r="D486" t="inlineStr">
        <is>
          <t>VÄSTERBOTTENS LÄN</t>
        </is>
      </c>
      <c r="E486" t="inlineStr">
        <is>
          <t>ÅSELE</t>
        </is>
      </c>
      <c r="F486" t="inlineStr">
        <is>
          <t>Sveaskog</t>
        </is>
      </c>
      <c r="G486" t="n">
        <v>15.4</v>
      </c>
      <c r="H486" t="n">
        <v>0</v>
      </c>
      <c r="I486" t="n">
        <v>0</v>
      </c>
      <c r="J486" t="n">
        <v>0</v>
      </c>
      <c r="K486" t="n">
        <v>0</v>
      </c>
      <c r="L486" t="n">
        <v>0</v>
      </c>
      <c r="M486" t="n">
        <v>0</v>
      </c>
      <c r="N486" t="n">
        <v>0</v>
      </c>
      <c r="O486" t="n">
        <v>0</v>
      </c>
      <c r="P486" t="n">
        <v>0</v>
      </c>
      <c r="Q486" t="n">
        <v>0</v>
      </c>
      <c r="R486" s="2" t="inlineStr"/>
    </row>
    <row r="487" ht="15" customHeight="1">
      <c r="A487" t="inlineStr">
        <is>
          <t>A 29978-2025</t>
        </is>
      </c>
      <c r="B487" s="1" t="n">
        <v>45826.49273148148</v>
      </c>
      <c r="C487" s="1" t="n">
        <v>46128</v>
      </c>
      <c r="D487" t="inlineStr">
        <is>
          <t>VÄSTERBOTTENS LÄN</t>
        </is>
      </c>
      <c r="E487" t="inlineStr">
        <is>
          <t>ÅSELE</t>
        </is>
      </c>
      <c r="F487" t="inlineStr">
        <is>
          <t>Sveaskog</t>
        </is>
      </c>
      <c r="G487" t="n">
        <v>4.9</v>
      </c>
      <c r="H487" t="n">
        <v>0</v>
      </c>
      <c r="I487" t="n">
        <v>0</v>
      </c>
      <c r="J487" t="n">
        <v>0</v>
      </c>
      <c r="K487" t="n">
        <v>0</v>
      </c>
      <c r="L487" t="n">
        <v>0</v>
      </c>
      <c r="M487" t="n">
        <v>0</v>
      </c>
      <c r="N487" t="n">
        <v>0</v>
      </c>
      <c r="O487" t="n">
        <v>0</v>
      </c>
      <c r="P487" t="n">
        <v>0</v>
      </c>
      <c r="Q487" t="n">
        <v>0</v>
      </c>
      <c r="R487" s="2" t="inlineStr"/>
    </row>
    <row r="488" ht="15" customHeight="1">
      <c r="A488" t="inlineStr">
        <is>
          <t>A 29998-2025</t>
        </is>
      </c>
      <c r="B488" s="1" t="n">
        <v>45826</v>
      </c>
      <c r="C488" s="1" t="n">
        <v>46128</v>
      </c>
      <c r="D488" t="inlineStr">
        <is>
          <t>VÄSTERBOTTENS LÄN</t>
        </is>
      </c>
      <c r="E488" t="inlineStr">
        <is>
          <t>ÅSELE</t>
        </is>
      </c>
      <c r="F488" t="inlineStr">
        <is>
          <t>Sveaskog</t>
        </is>
      </c>
      <c r="G488" t="n">
        <v>4.3</v>
      </c>
      <c r="H488" t="n">
        <v>0</v>
      </c>
      <c r="I488" t="n">
        <v>0</v>
      </c>
      <c r="J488" t="n">
        <v>0</v>
      </c>
      <c r="K488" t="n">
        <v>0</v>
      </c>
      <c r="L488" t="n">
        <v>0</v>
      </c>
      <c r="M488" t="n">
        <v>0</v>
      </c>
      <c r="N488" t="n">
        <v>0</v>
      </c>
      <c r="O488" t="n">
        <v>0</v>
      </c>
      <c r="P488" t="n">
        <v>0</v>
      </c>
      <c r="Q488" t="n">
        <v>0</v>
      </c>
      <c r="R488" s="2" t="inlineStr"/>
    </row>
    <row r="489" ht="15" customHeight="1">
      <c r="A489" t="inlineStr">
        <is>
          <t>A 41427-2024</t>
        </is>
      </c>
      <c r="B489" s="1" t="n">
        <v>45560.35121527778</v>
      </c>
      <c r="C489" s="1" t="n">
        <v>46128</v>
      </c>
      <c r="D489" t="inlineStr">
        <is>
          <t>VÄSTERBOTTENS LÄN</t>
        </is>
      </c>
      <c r="E489" t="inlineStr">
        <is>
          <t>ÅSELE</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50864-2025</t>
        </is>
      </c>
      <c r="B490" s="1" t="n">
        <v>45946.59537037037</v>
      </c>
      <c r="C490" s="1" t="n">
        <v>46128</v>
      </c>
      <c r="D490" t="inlineStr">
        <is>
          <t>VÄSTERBOTTENS LÄN</t>
        </is>
      </c>
      <c r="E490" t="inlineStr">
        <is>
          <t>ÅSELE</t>
        </is>
      </c>
      <c r="F490" t="inlineStr">
        <is>
          <t>SCA</t>
        </is>
      </c>
      <c r="G490" t="n">
        <v>6.9</v>
      </c>
      <c r="H490" t="n">
        <v>0</v>
      </c>
      <c r="I490" t="n">
        <v>0</v>
      </c>
      <c r="J490" t="n">
        <v>0</v>
      </c>
      <c r="K490" t="n">
        <v>0</v>
      </c>
      <c r="L490" t="n">
        <v>0</v>
      </c>
      <c r="M490" t="n">
        <v>0</v>
      </c>
      <c r="N490" t="n">
        <v>0</v>
      </c>
      <c r="O490" t="n">
        <v>0</v>
      </c>
      <c r="P490" t="n">
        <v>0</v>
      </c>
      <c r="Q490" t="n">
        <v>0</v>
      </c>
      <c r="R490" s="2" t="inlineStr"/>
    </row>
    <row r="491" ht="15" customHeight="1">
      <c r="A491" t="inlineStr">
        <is>
          <t>A 29531-2025</t>
        </is>
      </c>
      <c r="B491" s="1" t="n">
        <v>45825.34444444445</v>
      </c>
      <c r="C491" s="1" t="n">
        <v>46128</v>
      </c>
      <c r="D491" t="inlineStr">
        <is>
          <t>VÄSTERBOTTENS LÄN</t>
        </is>
      </c>
      <c r="E491" t="inlineStr">
        <is>
          <t>ÅSELE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50438-2025</t>
        </is>
      </c>
      <c r="B492" s="1" t="n">
        <v>45944.75725694445</v>
      </c>
      <c r="C492" s="1" t="n">
        <v>46128</v>
      </c>
      <c r="D492" t="inlineStr">
        <is>
          <t>VÄSTERBOTTENS LÄN</t>
        </is>
      </c>
      <c r="E492" t="inlineStr">
        <is>
          <t>ÅSELE</t>
        </is>
      </c>
      <c r="F492" t="inlineStr">
        <is>
          <t>Holmen skog AB</t>
        </is>
      </c>
      <c r="G492" t="n">
        <v>5.8</v>
      </c>
      <c r="H492" t="n">
        <v>0</v>
      </c>
      <c r="I492" t="n">
        <v>0</v>
      </c>
      <c r="J492" t="n">
        <v>0</v>
      </c>
      <c r="K492" t="n">
        <v>0</v>
      </c>
      <c r="L492" t="n">
        <v>0</v>
      </c>
      <c r="M492" t="n">
        <v>0</v>
      </c>
      <c r="N492" t="n">
        <v>0</v>
      </c>
      <c r="O492" t="n">
        <v>0</v>
      </c>
      <c r="P492" t="n">
        <v>0</v>
      </c>
      <c r="Q492" t="n">
        <v>0</v>
      </c>
      <c r="R492" s="2" t="inlineStr"/>
    </row>
    <row r="493" ht="15" customHeight="1">
      <c r="A493" t="inlineStr">
        <is>
          <t>A 4342-2023</t>
        </is>
      </c>
      <c r="B493" s="1" t="n">
        <v>44953.97421296296</v>
      </c>
      <c r="C493" s="1" t="n">
        <v>46128</v>
      </c>
      <c r="D493" t="inlineStr">
        <is>
          <t>VÄSTERBOTTENS LÄN</t>
        </is>
      </c>
      <c r="E493" t="inlineStr">
        <is>
          <t>ÅSELE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30183-2025</t>
        </is>
      </c>
      <c r="B494" s="1" t="n">
        <v>45827.34677083333</v>
      </c>
      <c r="C494" s="1" t="n">
        <v>46128</v>
      </c>
      <c r="D494" t="inlineStr">
        <is>
          <t>VÄSTERBOTTENS LÄN</t>
        </is>
      </c>
      <c r="E494" t="inlineStr">
        <is>
          <t>ÅSELE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23803-2025</t>
        </is>
      </c>
      <c r="B495" s="1" t="n">
        <v>45793.55854166667</v>
      </c>
      <c r="C495" s="1" t="n">
        <v>46128</v>
      </c>
      <c r="D495" t="inlineStr">
        <is>
          <t>VÄSTERBOTTENS LÄN</t>
        </is>
      </c>
      <c r="E495" t="inlineStr">
        <is>
          <t>ÅSELE</t>
        </is>
      </c>
      <c r="G495" t="n">
        <v>4.1</v>
      </c>
      <c r="H495" t="n">
        <v>0</v>
      </c>
      <c r="I495" t="n">
        <v>0</v>
      </c>
      <c r="J495" t="n">
        <v>0</v>
      </c>
      <c r="K495" t="n">
        <v>0</v>
      </c>
      <c r="L495" t="n">
        <v>0</v>
      </c>
      <c r="M495" t="n">
        <v>0</v>
      </c>
      <c r="N495" t="n">
        <v>0</v>
      </c>
      <c r="O495" t="n">
        <v>0</v>
      </c>
      <c r="P495" t="n">
        <v>0</v>
      </c>
      <c r="Q495" t="n">
        <v>0</v>
      </c>
      <c r="R495" s="2" t="inlineStr"/>
    </row>
    <row r="496" ht="15" customHeight="1">
      <c r="A496" t="inlineStr">
        <is>
          <t>A 32561-2023</t>
        </is>
      </c>
      <c r="B496" s="1" t="n">
        <v>45121.45128472222</v>
      </c>
      <c r="C496" s="1" t="n">
        <v>46128</v>
      </c>
      <c r="D496" t="inlineStr">
        <is>
          <t>VÄSTERBOTTENS LÄN</t>
        </is>
      </c>
      <c r="E496" t="inlineStr">
        <is>
          <t>ÅSELE</t>
        </is>
      </c>
      <c r="F496" t="inlineStr">
        <is>
          <t>Naturvårdsverket</t>
        </is>
      </c>
      <c r="G496" t="n">
        <v>2.5</v>
      </c>
      <c r="H496" t="n">
        <v>0</v>
      </c>
      <c r="I496" t="n">
        <v>0</v>
      </c>
      <c r="J496" t="n">
        <v>0</v>
      </c>
      <c r="K496" t="n">
        <v>0</v>
      </c>
      <c r="L496" t="n">
        <v>0</v>
      </c>
      <c r="M496" t="n">
        <v>0</v>
      </c>
      <c r="N496" t="n">
        <v>0</v>
      </c>
      <c r="O496" t="n">
        <v>0</v>
      </c>
      <c r="P496" t="n">
        <v>0</v>
      </c>
      <c r="Q496" t="n">
        <v>0</v>
      </c>
      <c r="R496" s="2" t="inlineStr"/>
    </row>
    <row r="497" ht="15" customHeight="1">
      <c r="A497" t="inlineStr">
        <is>
          <t>A 36164-2024</t>
        </is>
      </c>
      <c r="B497" s="1" t="n">
        <v>45534.3956712963</v>
      </c>
      <c r="C497" s="1" t="n">
        <v>46128</v>
      </c>
      <c r="D497" t="inlineStr">
        <is>
          <t>VÄSTERBOTTENS LÄN</t>
        </is>
      </c>
      <c r="E497" t="inlineStr">
        <is>
          <t>ÅSELE</t>
        </is>
      </c>
      <c r="F497" t="inlineStr">
        <is>
          <t>Sveaskog</t>
        </is>
      </c>
      <c r="G497" t="n">
        <v>31</v>
      </c>
      <c r="H497" t="n">
        <v>0</v>
      </c>
      <c r="I497" t="n">
        <v>0</v>
      </c>
      <c r="J497" t="n">
        <v>0</v>
      </c>
      <c r="K497" t="n">
        <v>0</v>
      </c>
      <c r="L497" t="n">
        <v>0</v>
      </c>
      <c r="M497" t="n">
        <v>0</v>
      </c>
      <c r="N497" t="n">
        <v>0</v>
      </c>
      <c r="O497" t="n">
        <v>0</v>
      </c>
      <c r="P497" t="n">
        <v>0</v>
      </c>
      <c r="Q497" t="n">
        <v>0</v>
      </c>
      <c r="R497" s="2" t="inlineStr"/>
    </row>
    <row r="498" ht="15" customHeight="1">
      <c r="A498" t="inlineStr">
        <is>
          <t>A 30879-2025</t>
        </is>
      </c>
      <c r="B498" s="1" t="n">
        <v>45832.34510416666</v>
      </c>
      <c r="C498" s="1" t="n">
        <v>46128</v>
      </c>
      <c r="D498" t="inlineStr">
        <is>
          <t>VÄSTERBOTTENS LÄN</t>
        </is>
      </c>
      <c r="E498" t="inlineStr">
        <is>
          <t>ÅSELE</t>
        </is>
      </c>
      <c r="F498" t="inlineStr">
        <is>
          <t>SCA</t>
        </is>
      </c>
      <c r="G498" t="n">
        <v>19.5</v>
      </c>
      <c r="H498" t="n">
        <v>0</v>
      </c>
      <c r="I498" t="n">
        <v>0</v>
      </c>
      <c r="J498" t="n">
        <v>0</v>
      </c>
      <c r="K498" t="n">
        <v>0</v>
      </c>
      <c r="L498" t="n">
        <v>0</v>
      </c>
      <c r="M498" t="n">
        <v>0</v>
      </c>
      <c r="N498" t="n">
        <v>0</v>
      </c>
      <c r="O498" t="n">
        <v>0</v>
      </c>
      <c r="P498" t="n">
        <v>0</v>
      </c>
      <c r="Q498" t="n">
        <v>0</v>
      </c>
      <c r="R498" s="2" t="inlineStr"/>
    </row>
    <row r="499" ht="15" customHeight="1">
      <c r="A499" t="inlineStr">
        <is>
          <t>A 51518-2025</t>
        </is>
      </c>
      <c r="B499" s="1" t="n">
        <v>45950.65675925926</v>
      </c>
      <c r="C499" s="1" t="n">
        <v>46128</v>
      </c>
      <c r="D499" t="inlineStr">
        <is>
          <t>VÄSTERBOTTENS LÄN</t>
        </is>
      </c>
      <c r="E499" t="inlineStr">
        <is>
          <t>ÅSELE</t>
        </is>
      </c>
      <c r="F499" t="inlineStr">
        <is>
          <t>SCA</t>
        </is>
      </c>
      <c r="G499" t="n">
        <v>5.4</v>
      </c>
      <c r="H499" t="n">
        <v>0</v>
      </c>
      <c r="I499" t="n">
        <v>0</v>
      </c>
      <c r="J499" t="n">
        <v>0</v>
      </c>
      <c r="K499" t="n">
        <v>0</v>
      </c>
      <c r="L499" t="n">
        <v>0</v>
      </c>
      <c r="M499" t="n">
        <v>0</v>
      </c>
      <c r="N499" t="n">
        <v>0</v>
      </c>
      <c r="O499" t="n">
        <v>0</v>
      </c>
      <c r="P499" t="n">
        <v>0</v>
      </c>
      <c r="Q499" t="n">
        <v>0</v>
      </c>
      <c r="R499" s="2" t="inlineStr"/>
    </row>
    <row r="500" ht="15" customHeight="1">
      <c r="A500" t="inlineStr">
        <is>
          <t>A 30763-2025</t>
        </is>
      </c>
      <c r="B500" s="1" t="n">
        <v>45831.60331018519</v>
      </c>
      <c r="C500" s="1" t="n">
        <v>46128</v>
      </c>
      <c r="D500" t="inlineStr">
        <is>
          <t>VÄSTERBOTTENS LÄN</t>
        </is>
      </c>
      <c r="E500" t="inlineStr">
        <is>
          <t>ÅSELE</t>
        </is>
      </c>
      <c r="F500" t="inlineStr">
        <is>
          <t>Sveaskog</t>
        </is>
      </c>
      <c r="G500" t="n">
        <v>15.1</v>
      </c>
      <c r="H500" t="n">
        <v>0</v>
      </c>
      <c r="I500" t="n">
        <v>0</v>
      </c>
      <c r="J500" t="n">
        <v>0</v>
      </c>
      <c r="K500" t="n">
        <v>0</v>
      </c>
      <c r="L500" t="n">
        <v>0</v>
      </c>
      <c r="M500" t="n">
        <v>0</v>
      </c>
      <c r="N500" t="n">
        <v>0</v>
      </c>
      <c r="O500" t="n">
        <v>0</v>
      </c>
      <c r="P500" t="n">
        <v>0</v>
      </c>
      <c r="Q500" t="n">
        <v>0</v>
      </c>
      <c r="R500" s="2" t="inlineStr"/>
    </row>
    <row r="501" ht="15" customHeight="1">
      <c r="A501" t="inlineStr">
        <is>
          <t>A 30773-2025</t>
        </is>
      </c>
      <c r="B501" s="1" t="n">
        <v>45831.61457175926</v>
      </c>
      <c r="C501" s="1" t="n">
        <v>46128</v>
      </c>
      <c r="D501" t="inlineStr">
        <is>
          <t>VÄSTERBOTTENS LÄN</t>
        </is>
      </c>
      <c r="E501" t="inlineStr">
        <is>
          <t>ÅSELE</t>
        </is>
      </c>
      <c r="F501" t="inlineStr">
        <is>
          <t>Sveaskog</t>
        </is>
      </c>
      <c r="G501" t="n">
        <v>2.5</v>
      </c>
      <c r="H501" t="n">
        <v>0</v>
      </c>
      <c r="I501" t="n">
        <v>0</v>
      </c>
      <c r="J501" t="n">
        <v>0</v>
      </c>
      <c r="K501" t="n">
        <v>0</v>
      </c>
      <c r="L501" t="n">
        <v>0</v>
      </c>
      <c r="M501" t="n">
        <v>0</v>
      </c>
      <c r="N501" t="n">
        <v>0</v>
      </c>
      <c r="O501" t="n">
        <v>0</v>
      </c>
      <c r="P501" t="n">
        <v>0</v>
      </c>
      <c r="Q501" t="n">
        <v>0</v>
      </c>
      <c r="R501" s="2" t="inlineStr"/>
    </row>
    <row r="502" ht="15" customHeight="1">
      <c r="A502" t="inlineStr">
        <is>
          <t>A 31217-2025</t>
        </is>
      </c>
      <c r="B502" s="1" t="n">
        <v>45832</v>
      </c>
      <c r="C502" s="1" t="n">
        <v>46128</v>
      </c>
      <c r="D502" t="inlineStr">
        <is>
          <t>VÄSTERBOTTENS LÄN</t>
        </is>
      </c>
      <c r="E502" t="inlineStr">
        <is>
          <t>ÅSELE</t>
        </is>
      </c>
      <c r="G502" t="n">
        <v>10.6</v>
      </c>
      <c r="H502" t="n">
        <v>0</v>
      </c>
      <c r="I502" t="n">
        <v>0</v>
      </c>
      <c r="J502" t="n">
        <v>0</v>
      </c>
      <c r="K502" t="n">
        <v>0</v>
      </c>
      <c r="L502" t="n">
        <v>0</v>
      </c>
      <c r="M502" t="n">
        <v>0</v>
      </c>
      <c r="N502" t="n">
        <v>0</v>
      </c>
      <c r="O502" t="n">
        <v>0</v>
      </c>
      <c r="P502" t="n">
        <v>0</v>
      </c>
      <c r="Q502" t="n">
        <v>0</v>
      </c>
      <c r="R502" s="2" t="inlineStr"/>
    </row>
    <row r="503" ht="15" customHeight="1">
      <c r="A503" t="inlineStr">
        <is>
          <t>A 51305-2025</t>
        </is>
      </c>
      <c r="B503" s="1" t="n">
        <v>45950.36554398148</v>
      </c>
      <c r="C503" s="1" t="n">
        <v>46128</v>
      </c>
      <c r="D503" t="inlineStr">
        <is>
          <t>VÄSTERBOTTENS LÄN</t>
        </is>
      </c>
      <c r="E503" t="inlineStr">
        <is>
          <t>ÅSELE</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30940-2025</t>
        </is>
      </c>
      <c r="B504" s="1" t="n">
        <v>45832</v>
      </c>
      <c r="C504" s="1" t="n">
        <v>46128</v>
      </c>
      <c r="D504" t="inlineStr">
        <is>
          <t>VÄSTERBOTTENS LÄN</t>
        </is>
      </c>
      <c r="E504" t="inlineStr">
        <is>
          <t>ÅSELE</t>
        </is>
      </c>
      <c r="G504" t="n">
        <v>10.1</v>
      </c>
      <c r="H504" t="n">
        <v>0</v>
      </c>
      <c r="I504" t="n">
        <v>0</v>
      </c>
      <c r="J504" t="n">
        <v>0</v>
      </c>
      <c r="K504" t="n">
        <v>0</v>
      </c>
      <c r="L504" t="n">
        <v>0</v>
      </c>
      <c r="M504" t="n">
        <v>0</v>
      </c>
      <c r="N504" t="n">
        <v>0</v>
      </c>
      <c r="O504" t="n">
        <v>0</v>
      </c>
      <c r="P504" t="n">
        <v>0</v>
      </c>
      <c r="Q504" t="n">
        <v>0</v>
      </c>
      <c r="R504" s="2" t="inlineStr"/>
    </row>
    <row r="505" ht="15" customHeight="1">
      <c r="A505" t="inlineStr">
        <is>
          <t>A 31224-2025</t>
        </is>
      </c>
      <c r="B505" s="1" t="n">
        <v>45832</v>
      </c>
      <c r="C505" s="1" t="n">
        <v>46128</v>
      </c>
      <c r="D505" t="inlineStr">
        <is>
          <t>VÄSTERBOTTENS LÄN</t>
        </is>
      </c>
      <c r="E505" t="inlineStr">
        <is>
          <t>ÅSELE</t>
        </is>
      </c>
      <c r="G505" t="n">
        <v>17</v>
      </c>
      <c r="H505" t="n">
        <v>0</v>
      </c>
      <c r="I505" t="n">
        <v>0</v>
      </c>
      <c r="J505" t="n">
        <v>0</v>
      </c>
      <c r="K505" t="n">
        <v>0</v>
      </c>
      <c r="L505" t="n">
        <v>0</v>
      </c>
      <c r="M505" t="n">
        <v>0</v>
      </c>
      <c r="N505" t="n">
        <v>0</v>
      </c>
      <c r="O505" t="n">
        <v>0</v>
      </c>
      <c r="P505" t="n">
        <v>0</v>
      </c>
      <c r="Q505" t="n">
        <v>0</v>
      </c>
      <c r="R505" s="2" t="inlineStr"/>
    </row>
    <row r="506" ht="15" customHeight="1">
      <c r="A506" t="inlineStr">
        <is>
          <t>A 42301-2024</t>
        </is>
      </c>
      <c r="B506" s="1" t="n">
        <v>45562.62887731481</v>
      </c>
      <c r="C506" s="1" t="n">
        <v>46128</v>
      </c>
      <c r="D506" t="inlineStr">
        <is>
          <t>VÄSTERBOTTENS LÄN</t>
        </is>
      </c>
      <c r="E506" t="inlineStr">
        <is>
          <t>ÅSELE</t>
        </is>
      </c>
      <c r="F506" t="inlineStr">
        <is>
          <t>Holmen skog AB</t>
        </is>
      </c>
      <c r="G506" t="n">
        <v>6.2</v>
      </c>
      <c r="H506" t="n">
        <v>0</v>
      </c>
      <c r="I506" t="n">
        <v>0</v>
      </c>
      <c r="J506" t="n">
        <v>0</v>
      </c>
      <c r="K506" t="n">
        <v>0</v>
      </c>
      <c r="L506" t="n">
        <v>0</v>
      </c>
      <c r="M506" t="n">
        <v>0</v>
      </c>
      <c r="N506" t="n">
        <v>0</v>
      </c>
      <c r="O506" t="n">
        <v>0</v>
      </c>
      <c r="P506" t="n">
        <v>0</v>
      </c>
      <c r="Q506" t="n">
        <v>0</v>
      </c>
      <c r="R506" s="2" t="inlineStr"/>
    </row>
    <row r="507" ht="15" customHeight="1">
      <c r="A507" t="inlineStr">
        <is>
          <t>A 8247-2023</t>
        </is>
      </c>
      <c r="B507" s="1" t="n">
        <v>44971</v>
      </c>
      <c r="C507" s="1" t="n">
        <v>46128</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30701-2025</t>
        </is>
      </c>
      <c r="B508" s="1" t="n">
        <v>45831</v>
      </c>
      <c r="C508" s="1" t="n">
        <v>46128</v>
      </c>
      <c r="D508" t="inlineStr">
        <is>
          <t>VÄSTERBOTTENS LÄN</t>
        </is>
      </c>
      <c r="E508" t="inlineStr">
        <is>
          <t>ÅSELE</t>
        </is>
      </c>
      <c r="F508" t="inlineStr">
        <is>
          <t>Sveaskog</t>
        </is>
      </c>
      <c r="G508" t="n">
        <v>14.2</v>
      </c>
      <c r="H508" t="n">
        <v>0</v>
      </c>
      <c r="I508" t="n">
        <v>0</v>
      </c>
      <c r="J508" t="n">
        <v>0</v>
      </c>
      <c r="K508" t="n">
        <v>0</v>
      </c>
      <c r="L508" t="n">
        <v>0</v>
      </c>
      <c r="M508" t="n">
        <v>0</v>
      </c>
      <c r="N508" t="n">
        <v>0</v>
      </c>
      <c r="O508" t="n">
        <v>0</v>
      </c>
      <c r="P508" t="n">
        <v>0</v>
      </c>
      <c r="Q508" t="n">
        <v>0</v>
      </c>
      <c r="R508" s="2" t="inlineStr"/>
    </row>
    <row r="509" ht="15" customHeight="1">
      <c r="A509" t="inlineStr">
        <is>
          <t>A 51197-2025</t>
        </is>
      </c>
      <c r="B509" s="1" t="n">
        <v>45947.63258101852</v>
      </c>
      <c r="C509" s="1" t="n">
        <v>46128</v>
      </c>
      <c r="D509" t="inlineStr">
        <is>
          <t>VÄSTERBOTTENS LÄN</t>
        </is>
      </c>
      <c r="E509" t="inlineStr">
        <is>
          <t>ÅSELE</t>
        </is>
      </c>
      <c r="F509" t="inlineStr">
        <is>
          <t>Holmen skog AB</t>
        </is>
      </c>
      <c r="G509" t="n">
        <v>9.6</v>
      </c>
      <c r="H509" t="n">
        <v>0</v>
      </c>
      <c r="I509" t="n">
        <v>0</v>
      </c>
      <c r="J509" t="n">
        <v>0</v>
      </c>
      <c r="K509" t="n">
        <v>0</v>
      </c>
      <c r="L509" t="n">
        <v>0</v>
      </c>
      <c r="M509" t="n">
        <v>0</v>
      </c>
      <c r="N509" t="n">
        <v>0</v>
      </c>
      <c r="O509" t="n">
        <v>0</v>
      </c>
      <c r="P509" t="n">
        <v>0</v>
      </c>
      <c r="Q509" t="n">
        <v>0</v>
      </c>
      <c r="R509" s="2" t="inlineStr"/>
    </row>
    <row r="510" ht="15" customHeight="1">
      <c r="A510" t="inlineStr">
        <is>
          <t>A 51099-2025</t>
        </is>
      </c>
      <c r="B510" s="1" t="n">
        <v>45947.48685185185</v>
      </c>
      <c r="C510" s="1" t="n">
        <v>46128</v>
      </c>
      <c r="D510" t="inlineStr">
        <is>
          <t>VÄSTERBOTTENS LÄN</t>
        </is>
      </c>
      <c r="E510" t="inlineStr">
        <is>
          <t>ÅSELE</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31371-2025</t>
        </is>
      </c>
      <c r="B511" s="1" t="n">
        <v>45832</v>
      </c>
      <c r="C511" s="1" t="n">
        <v>46128</v>
      </c>
      <c r="D511" t="inlineStr">
        <is>
          <t>VÄSTERBOTTENS LÄN</t>
        </is>
      </c>
      <c r="E511" t="inlineStr">
        <is>
          <t>ÅSELE</t>
        </is>
      </c>
      <c r="G511" t="n">
        <v>5.9</v>
      </c>
      <c r="H511" t="n">
        <v>0</v>
      </c>
      <c r="I511" t="n">
        <v>0</v>
      </c>
      <c r="J511" t="n">
        <v>0</v>
      </c>
      <c r="K511" t="n">
        <v>0</v>
      </c>
      <c r="L511" t="n">
        <v>0</v>
      </c>
      <c r="M511" t="n">
        <v>0</v>
      </c>
      <c r="N511" t="n">
        <v>0</v>
      </c>
      <c r="O511" t="n">
        <v>0</v>
      </c>
      <c r="P511" t="n">
        <v>0</v>
      </c>
      <c r="Q511" t="n">
        <v>0</v>
      </c>
      <c r="R511" s="2" t="inlineStr"/>
    </row>
    <row r="512" ht="15" customHeight="1">
      <c r="A512" t="inlineStr">
        <is>
          <t>A 30779-2025</t>
        </is>
      </c>
      <c r="B512" s="1" t="n">
        <v>45831.62219907407</v>
      </c>
      <c r="C512" s="1" t="n">
        <v>46128</v>
      </c>
      <c r="D512" t="inlineStr">
        <is>
          <t>VÄSTERBOTTENS LÄN</t>
        </is>
      </c>
      <c r="E512" t="inlineStr">
        <is>
          <t>ÅSELE</t>
        </is>
      </c>
      <c r="F512" t="inlineStr">
        <is>
          <t>Sveaskog</t>
        </is>
      </c>
      <c r="G512" t="n">
        <v>21.6</v>
      </c>
      <c r="H512" t="n">
        <v>0</v>
      </c>
      <c r="I512" t="n">
        <v>0</v>
      </c>
      <c r="J512" t="n">
        <v>0</v>
      </c>
      <c r="K512" t="n">
        <v>0</v>
      </c>
      <c r="L512" t="n">
        <v>0</v>
      </c>
      <c r="M512" t="n">
        <v>0</v>
      </c>
      <c r="N512" t="n">
        <v>0</v>
      </c>
      <c r="O512" t="n">
        <v>0</v>
      </c>
      <c r="P512" t="n">
        <v>0</v>
      </c>
      <c r="Q512" t="n">
        <v>0</v>
      </c>
      <c r="R512" s="2" t="inlineStr"/>
    </row>
    <row r="513" ht="15" customHeight="1">
      <c r="A513" t="inlineStr">
        <is>
          <t>A 31080-2025</t>
        </is>
      </c>
      <c r="B513" s="1" t="n">
        <v>45831</v>
      </c>
      <c r="C513" s="1" t="n">
        <v>46128</v>
      </c>
      <c r="D513" t="inlineStr">
        <is>
          <t>VÄSTERBOTTENS LÄN</t>
        </is>
      </c>
      <c r="E513" t="inlineStr">
        <is>
          <t>ÅSELE</t>
        </is>
      </c>
      <c r="G513" t="n">
        <v>4.9</v>
      </c>
      <c r="H513" t="n">
        <v>0</v>
      </c>
      <c r="I513" t="n">
        <v>0</v>
      </c>
      <c r="J513" t="n">
        <v>0</v>
      </c>
      <c r="K513" t="n">
        <v>0</v>
      </c>
      <c r="L513" t="n">
        <v>0</v>
      </c>
      <c r="M513" t="n">
        <v>0</v>
      </c>
      <c r="N513" t="n">
        <v>0</v>
      </c>
      <c r="O513" t="n">
        <v>0</v>
      </c>
      <c r="P513" t="n">
        <v>0</v>
      </c>
      <c r="Q513" t="n">
        <v>0</v>
      </c>
      <c r="R513" s="2" t="inlineStr"/>
    </row>
    <row r="514" ht="15" customHeight="1">
      <c r="A514" t="inlineStr">
        <is>
          <t>A 51059-2025</t>
        </is>
      </c>
      <c r="B514" s="1" t="n">
        <v>45947.44662037037</v>
      </c>
      <c r="C514" s="1" t="n">
        <v>46128</v>
      </c>
      <c r="D514" t="inlineStr">
        <is>
          <t>VÄSTERBOTTENS LÄN</t>
        </is>
      </c>
      <c r="E514" t="inlineStr">
        <is>
          <t>ÅSELE</t>
        </is>
      </c>
      <c r="F514" t="inlineStr">
        <is>
          <t>Holmen skog AB</t>
        </is>
      </c>
      <c r="G514" t="n">
        <v>3.1</v>
      </c>
      <c r="H514" t="n">
        <v>0</v>
      </c>
      <c r="I514" t="n">
        <v>0</v>
      </c>
      <c r="J514" t="n">
        <v>0</v>
      </c>
      <c r="K514" t="n">
        <v>0</v>
      </c>
      <c r="L514" t="n">
        <v>0</v>
      </c>
      <c r="M514" t="n">
        <v>0</v>
      </c>
      <c r="N514" t="n">
        <v>0</v>
      </c>
      <c r="O514" t="n">
        <v>0</v>
      </c>
      <c r="P514" t="n">
        <v>0</v>
      </c>
      <c r="Q514" t="n">
        <v>0</v>
      </c>
      <c r="R514" s="2" t="inlineStr"/>
    </row>
    <row r="515" ht="15" customHeight="1">
      <c r="A515" t="inlineStr">
        <is>
          <t>A 31219-2025</t>
        </is>
      </c>
      <c r="B515" s="1" t="n">
        <v>45832</v>
      </c>
      <c r="C515" s="1" t="n">
        <v>46128</v>
      </c>
      <c r="D515" t="inlineStr">
        <is>
          <t>VÄSTERBOTTENS LÄN</t>
        </is>
      </c>
      <c r="E515" t="inlineStr">
        <is>
          <t>ÅSELE</t>
        </is>
      </c>
      <c r="G515" t="n">
        <v>3.1</v>
      </c>
      <c r="H515" t="n">
        <v>0</v>
      </c>
      <c r="I515" t="n">
        <v>0</v>
      </c>
      <c r="J515" t="n">
        <v>0</v>
      </c>
      <c r="K515" t="n">
        <v>0</v>
      </c>
      <c r="L515" t="n">
        <v>0</v>
      </c>
      <c r="M515" t="n">
        <v>0</v>
      </c>
      <c r="N515" t="n">
        <v>0</v>
      </c>
      <c r="O515" t="n">
        <v>0</v>
      </c>
      <c r="P515" t="n">
        <v>0</v>
      </c>
      <c r="Q515" t="n">
        <v>0</v>
      </c>
      <c r="R515" s="2" t="inlineStr"/>
    </row>
    <row r="516" ht="15" customHeight="1">
      <c r="A516" t="inlineStr">
        <is>
          <t>A 42268-2024</t>
        </is>
      </c>
      <c r="B516" s="1" t="n">
        <v>45562.5971412037</v>
      </c>
      <c r="C516" s="1" t="n">
        <v>46128</v>
      </c>
      <c r="D516" t="inlineStr">
        <is>
          <t>VÄSTERBOTTENS LÄN</t>
        </is>
      </c>
      <c r="E516" t="inlineStr">
        <is>
          <t>ÅSELE</t>
        </is>
      </c>
      <c r="F516" t="inlineStr">
        <is>
          <t>Naturvårdsverket</t>
        </is>
      </c>
      <c r="G516" t="n">
        <v>1.6</v>
      </c>
      <c r="H516" t="n">
        <v>0</v>
      </c>
      <c r="I516" t="n">
        <v>0</v>
      </c>
      <c r="J516" t="n">
        <v>0</v>
      </c>
      <c r="K516" t="n">
        <v>0</v>
      </c>
      <c r="L516" t="n">
        <v>0</v>
      </c>
      <c r="M516" t="n">
        <v>0</v>
      </c>
      <c r="N516" t="n">
        <v>0</v>
      </c>
      <c r="O516" t="n">
        <v>0</v>
      </c>
      <c r="P516" t="n">
        <v>0</v>
      </c>
      <c r="Q516" t="n">
        <v>0</v>
      </c>
      <c r="R516" s="2" t="inlineStr"/>
    </row>
    <row r="517" ht="15" customHeight="1">
      <c r="A517" t="inlineStr">
        <is>
          <t>A 51093-2025</t>
        </is>
      </c>
      <c r="B517" s="1" t="n">
        <v>45947.4753125</v>
      </c>
      <c r="C517" s="1" t="n">
        <v>46128</v>
      </c>
      <c r="D517" t="inlineStr">
        <is>
          <t>VÄSTERBOTTENS LÄN</t>
        </is>
      </c>
      <c r="E517" t="inlineStr">
        <is>
          <t>ÅSELE</t>
        </is>
      </c>
      <c r="F517" t="inlineStr">
        <is>
          <t>Holmen skog AB</t>
        </is>
      </c>
      <c r="G517" t="n">
        <v>4.6</v>
      </c>
      <c r="H517" t="n">
        <v>0</v>
      </c>
      <c r="I517" t="n">
        <v>0</v>
      </c>
      <c r="J517" t="n">
        <v>0</v>
      </c>
      <c r="K517" t="n">
        <v>0</v>
      </c>
      <c r="L517" t="n">
        <v>0</v>
      </c>
      <c r="M517" t="n">
        <v>0</v>
      </c>
      <c r="N517" t="n">
        <v>0</v>
      </c>
      <c r="O517" t="n">
        <v>0</v>
      </c>
      <c r="P517" t="n">
        <v>0</v>
      </c>
      <c r="Q517" t="n">
        <v>0</v>
      </c>
      <c r="R517" s="2" t="inlineStr"/>
    </row>
    <row r="518" ht="15" customHeight="1">
      <c r="A518" t="inlineStr">
        <is>
          <t>A 51319-2025</t>
        </is>
      </c>
      <c r="B518" s="1" t="n">
        <v>45950.38591435185</v>
      </c>
      <c r="C518" s="1" t="n">
        <v>46128</v>
      </c>
      <c r="D518" t="inlineStr">
        <is>
          <t>VÄSTERBOTTENS LÄN</t>
        </is>
      </c>
      <c r="E518" t="inlineStr">
        <is>
          <t>ÅSELE</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31445-2025</t>
        </is>
      </c>
      <c r="B519" s="1" t="n">
        <v>45833.51791666666</v>
      </c>
      <c r="C519" s="1" t="n">
        <v>46128</v>
      </c>
      <c r="D519" t="inlineStr">
        <is>
          <t>VÄSTERBOTTENS LÄN</t>
        </is>
      </c>
      <c r="E519" t="inlineStr">
        <is>
          <t>ÅSELE</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17148-2025</t>
        </is>
      </c>
      <c r="B520" s="1" t="n">
        <v>45756.30644675926</v>
      </c>
      <c r="C520" s="1" t="n">
        <v>46128</v>
      </c>
      <c r="D520" t="inlineStr">
        <is>
          <t>VÄSTERBOTTENS LÄN</t>
        </is>
      </c>
      <c r="E520" t="inlineStr">
        <is>
          <t>ÅSELE</t>
        </is>
      </c>
      <c r="G520" t="n">
        <v>5.3</v>
      </c>
      <c r="H520" t="n">
        <v>0</v>
      </c>
      <c r="I520" t="n">
        <v>0</v>
      </c>
      <c r="J520" t="n">
        <v>0</v>
      </c>
      <c r="K520" t="n">
        <v>0</v>
      </c>
      <c r="L520" t="n">
        <v>0</v>
      </c>
      <c r="M520" t="n">
        <v>0</v>
      </c>
      <c r="N520" t="n">
        <v>0</v>
      </c>
      <c r="O520" t="n">
        <v>0</v>
      </c>
      <c r="P520" t="n">
        <v>0</v>
      </c>
      <c r="Q520" t="n">
        <v>0</v>
      </c>
      <c r="R520" s="2" t="inlineStr"/>
    </row>
    <row r="521" ht="15" customHeight="1">
      <c r="A521" t="inlineStr">
        <is>
          <t>A 51408-2025</t>
        </is>
      </c>
      <c r="B521" s="1" t="n">
        <v>45950.49023148148</v>
      </c>
      <c r="C521" s="1" t="n">
        <v>46128</v>
      </c>
      <c r="D521" t="inlineStr">
        <is>
          <t>VÄSTERBOTTENS LÄN</t>
        </is>
      </c>
      <c r="E521" t="inlineStr">
        <is>
          <t>ÅSELE</t>
        </is>
      </c>
      <c r="F521" t="inlineStr">
        <is>
          <t>SCA</t>
        </is>
      </c>
      <c r="G521" t="n">
        <v>19.4</v>
      </c>
      <c r="H521" t="n">
        <v>0</v>
      </c>
      <c r="I521" t="n">
        <v>0</v>
      </c>
      <c r="J521" t="n">
        <v>0</v>
      </c>
      <c r="K521" t="n">
        <v>0</v>
      </c>
      <c r="L521" t="n">
        <v>0</v>
      </c>
      <c r="M521" t="n">
        <v>0</v>
      </c>
      <c r="N521" t="n">
        <v>0</v>
      </c>
      <c r="O521" t="n">
        <v>0</v>
      </c>
      <c r="P521" t="n">
        <v>0</v>
      </c>
      <c r="Q521" t="n">
        <v>0</v>
      </c>
      <c r="R521" s="2" t="inlineStr"/>
    </row>
    <row r="522" ht="15" customHeight="1">
      <c r="A522" t="inlineStr">
        <is>
          <t>A 31313-2025</t>
        </is>
      </c>
      <c r="B522" s="1" t="n">
        <v>45833.39784722222</v>
      </c>
      <c r="C522" s="1" t="n">
        <v>46128</v>
      </c>
      <c r="D522" t="inlineStr">
        <is>
          <t>VÄSTERBOTTENS LÄN</t>
        </is>
      </c>
      <c r="E522" t="inlineStr">
        <is>
          <t>ÅSELE</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52064-2025</t>
        </is>
      </c>
      <c r="B523" s="1" t="n">
        <v>45952.63707175926</v>
      </c>
      <c r="C523" s="1" t="n">
        <v>46128</v>
      </c>
      <c r="D523" t="inlineStr">
        <is>
          <t>VÄSTERBOTTENS LÄN</t>
        </is>
      </c>
      <c r="E523" t="inlineStr">
        <is>
          <t>ÅSELE</t>
        </is>
      </c>
      <c r="G523" t="n">
        <v>14.7</v>
      </c>
      <c r="H523" t="n">
        <v>0</v>
      </c>
      <c r="I523" t="n">
        <v>0</v>
      </c>
      <c r="J523" t="n">
        <v>0</v>
      </c>
      <c r="K523" t="n">
        <v>0</v>
      </c>
      <c r="L523" t="n">
        <v>0</v>
      </c>
      <c r="M523" t="n">
        <v>0</v>
      </c>
      <c r="N523" t="n">
        <v>0</v>
      </c>
      <c r="O523" t="n">
        <v>0</v>
      </c>
      <c r="P523" t="n">
        <v>0</v>
      </c>
      <c r="Q523" t="n">
        <v>0</v>
      </c>
      <c r="R523" s="2" t="inlineStr"/>
    </row>
    <row r="524" ht="15" customHeight="1">
      <c r="A524" t="inlineStr">
        <is>
          <t>A 31278-2025</t>
        </is>
      </c>
      <c r="B524" s="1" t="n">
        <v>45833.34509259259</v>
      </c>
      <c r="C524" s="1" t="n">
        <v>46128</v>
      </c>
      <c r="D524" t="inlineStr">
        <is>
          <t>VÄSTERBOTTENS LÄN</t>
        </is>
      </c>
      <c r="E524" t="inlineStr">
        <is>
          <t>ÅSELE</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14167-2024</t>
        </is>
      </c>
      <c r="B525" s="1" t="n">
        <v>45392</v>
      </c>
      <c r="C525" s="1" t="n">
        <v>46128</v>
      </c>
      <c r="D525" t="inlineStr">
        <is>
          <t>VÄSTERBOTTENS LÄN</t>
        </is>
      </c>
      <c r="E525" t="inlineStr">
        <is>
          <t>ÅSELE</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51669-2025</t>
        </is>
      </c>
      <c r="B526" s="1" t="n">
        <v>45951.4962037037</v>
      </c>
      <c r="C526" s="1" t="n">
        <v>46128</v>
      </c>
      <c r="D526" t="inlineStr">
        <is>
          <t>VÄSTERBOTTENS LÄN</t>
        </is>
      </c>
      <c r="E526" t="inlineStr">
        <is>
          <t>ÅSELE</t>
        </is>
      </c>
      <c r="G526" t="n">
        <v>0.3</v>
      </c>
      <c r="H526" t="n">
        <v>0</v>
      </c>
      <c r="I526" t="n">
        <v>0</v>
      </c>
      <c r="J526" t="n">
        <v>0</v>
      </c>
      <c r="K526" t="n">
        <v>0</v>
      </c>
      <c r="L526" t="n">
        <v>0</v>
      </c>
      <c r="M526" t="n">
        <v>0</v>
      </c>
      <c r="N526" t="n">
        <v>0</v>
      </c>
      <c r="O526" t="n">
        <v>0</v>
      </c>
      <c r="P526" t="n">
        <v>0</v>
      </c>
      <c r="Q526" t="n">
        <v>0</v>
      </c>
      <c r="R526" s="2" t="inlineStr"/>
    </row>
    <row r="527" ht="15" customHeight="1">
      <c r="A527" t="inlineStr">
        <is>
          <t>A 48530-2024</t>
        </is>
      </c>
      <c r="B527" s="1" t="n">
        <v>45593.34453703704</v>
      </c>
      <c r="C527" s="1" t="n">
        <v>46128</v>
      </c>
      <c r="D527" t="inlineStr">
        <is>
          <t>VÄSTERBOTTENS LÄN</t>
        </is>
      </c>
      <c r="E527" t="inlineStr">
        <is>
          <t>ÅSELE</t>
        </is>
      </c>
      <c r="F527" t="inlineStr">
        <is>
          <t>SCA</t>
        </is>
      </c>
      <c r="G527" t="n">
        <v>8.9</v>
      </c>
      <c r="H527" t="n">
        <v>0</v>
      </c>
      <c r="I527" t="n">
        <v>0</v>
      </c>
      <c r="J527" t="n">
        <v>0</v>
      </c>
      <c r="K527" t="n">
        <v>0</v>
      </c>
      <c r="L527" t="n">
        <v>0</v>
      </c>
      <c r="M527" t="n">
        <v>0</v>
      </c>
      <c r="N527" t="n">
        <v>0</v>
      </c>
      <c r="O527" t="n">
        <v>0</v>
      </c>
      <c r="P527" t="n">
        <v>0</v>
      </c>
      <c r="Q527" t="n">
        <v>0</v>
      </c>
      <c r="R527" s="2" t="inlineStr"/>
    </row>
    <row r="528" ht="15" customHeight="1">
      <c r="A528" t="inlineStr">
        <is>
          <t>A 48531-2024</t>
        </is>
      </c>
      <c r="B528" s="1" t="n">
        <v>45593</v>
      </c>
      <c r="C528" s="1" t="n">
        <v>46128</v>
      </c>
      <c r="D528" t="inlineStr">
        <is>
          <t>VÄSTERBOTTENS LÄN</t>
        </is>
      </c>
      <c r="E528" t="inlineStr">
        <is>
          <t>ÅSELE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16785-2025</t>
        </is>
      </c>
      <c r="B529" s="1" t="n">
        <v>45754</v>
      </c>
      <c r="C529" s="1" t="n">
        <v>46128</v>
      </c>
      <c r="D529" t="inlineStr">
        <is>
          <t>VÄSTERBOTTENS LÄN</t>
        </is>
      </c>
      <c r="E529" t="inlineStr">
        <is>
          <t>ÅSELE</t>
        </is>
      </c>
      <c r="G529" t="n">
        <v>1.8</v>
      </c>
      <c r="H529" t="n">
        <v>0</v>
      </c>
      <c r="I529" t="n">
        <v>0</v>
      </c>
      <c r="J529" t="n">
        <v>0</v>
      </c>
      <c r="K529" t="n">
        <v>0</v>
      </c>
      <c r="L529" t="n">
        <v>0</v>
      </c>
      <c r="M529" t="n">
        <v>0</v>
      </c>
      <c r="N529" t="n">
        <v>0</v>
      </c>
      <c r="O529" t="n">
        <v>0</v>
      </c>
      <c r="P529" t="n">
        <v>0</v>
      </c>
      <c r="Q529" t="n">
        <v>0</v>
      </c>
      <c r="R529" s="2" t="inlineStr"/>
    </row>
    <row r="530" ht="15" customHeight="1">
      <c r="A530" t="inlineStr">
        <is>
          <t>A 41408-2023</t>
        </is>
      </c>
      <c r="B530" s="1" t="n">
        <v>45174</v>
      </c>
      <c r="C530" s="1" t="n">
        <v>46128</v>
      </c>
      <c r="D530" t="inlineStr">
        <is>
          <t>VÄSTERBOTTENS LÄN</t>
        </is>
      </c>
      <c r="E530" t="inlineStr">
        <is>
          <t>ÅSELE</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32143-2025</t>
        </is>
      </c>
      <c r="B531" s="1" t="n">
        <v>45835.52561342593</v>
      </c>
      <c r="C531" s="1" t="n">
        <v>46128</v>
      </c>
      <c r="D531" t="inlineStr">
        <is>
          <t>VÄSTERBOTTENS LÄN</t>
        </is>
      </c>
      <c r="E531" t="inlineStr">
        <is>
          <t>ÅSELE</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52143-2025</t>
        </is>
      </c>
      <c r="B532" s="1" t="n">
        <v>45953.3316550926</v>
      </c>
      <c r="C532" s="1" t="n">
        <v>46128</v>
      </c>
      <c r="D532" t="inlineStr">
        <is>
          <t>VÄSTERBOTTENS LÄN</t>
        </is>
      </c>
      <c r="E532" t="inlineStr">
        <is>
          <t>ÅSELE</t>
        </is>
      </c>
      <c r="G532" t="n">
        <v>4.9</v>
      </c>
      <c r="H532" t="n">
        <v>0</v>
      </c>
      <c r="I532" t="n">
        <v>0</v>
      </c>
      <c r="J532" t="n">
        <v>0</v>
      </c>
      <c r="K532" t="n">
        <v>0</v>
      </c>
      <c r="L532" t="n">
        <v>0</v>
      </c>
      <c r="M532" t="n">
        <v>0</v>
      </c>
      <c r="N532" t="n">
        <v>0</v>
      </c>
      <c r="O532" t="n">
        <v>0</v>
      </c>
      <c r="P532" t="n">
        <v>0</v>
      </c>
      <c r="Q532" t="n">
        <v>0</v>
      </c>
      <c r="R532" s="2" t="inlineStr"/>
    </row>
    <row r="533" ht="15" customHeight="1">
      <c r="A533" t="inlineStr">
        <is>
          <t>A 52165-2025</t>
        </is>
      </c>
      <c r="B533" s="1" t="n">
        <v>45953.36392361111</v>
      </c>
      <c r="C533" s="1" t="n">
        <v>46128</v>
      </c>
      <c r="D533" t="inlineStr">
        <is>
          <t>VÄSTERBOTTENS LÄN</t>
        </is>
      </c>
      <c r="E533" t="inlineStr">
        <is>
          <t>ÅSELE</t>
        </is>
      </c>
      <c r="G533" t="n">
        <v>12.6</v>
      </c>
      <c r="H533" t="n">
        <v>0</v>
      </c>
      <c r="I533" t="n">
        <v>0</v>
      </c>
      <c r="J533" t="n">
        <v>0</v>
      </c>
      <c r="K533" t="n">
        <v>0</v>
      </c>
      <c r="L533" t="n">
        <v>0</v>
      </c>
      <c r="M533" t="n">
        <v>0</v>
      </c>
      <c r="N533" t="n">
        <v>0</v>
      </c>
      <c r="O533" t="n">
        <v>0</v>
      </c>
      <c r="P533" t="n">
        <v>0</v>
      </c>
      <c r="Q533" t="n">
        <v>0</v>
      </c>
      <c r="R533" s="2" t="inlineStr"/>
    </row>
    <row r="534" ht="15" customHeight="1">
      <c r="A534" t="inlineStr">
        <is>
          <t>A 52192-2025</t>
        </is>
      </c>
      <c r="B534" s="1" t="n">
        <v>45953.38861111111</v>
      </c>
      <c r="C534" s="1" t="n">
        <v>46128</v>
      </c>
      <c r="D534" t="inlineStr">
        <is>
          <t>VÄSTERBOTTENS LÄN</t>
        </is>
      </c>
      <c r="E534" t="inlineStr">
        <is>
          <t>ÅSELE</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52326-2025</t>
        </is>
      </c>
      <c r="B535" s="1" t="n">
        <v>45953.67081018518</v>
      </c>
      <c r="C535" s="1" t="n">
        <v>46128</v>
      </c>
      <c r="D535" t="inlineStr">
        <is>
          <t>VÄSTERBOTTENS LÄN</t>
        </is>
      </c>
      <c r="E535" t="inlineStr">
        <is>
          <t>ÅSELE</t>
        </is>
      </c>
      <c r="G535" t="n">
        <v>5.5</v>
      </c>
      <c r="H535" t="n">
        <v>0</v>
      </c>
      <c r="I535" t="n">
        <v>0</v>
      </c>
      <c r="J535" t="n">
        <v>0</v>
      </c>
      <c r="K535" t="n">
        <v>0</v>
      </c>
      <c r="L535" t="n">
        <v>0</v>
      </c>
      <c r="M535" t="n">
        <v>0</v>
      </c>
      <c r="N535" t="n">
        <v>0</v>
      </c>
      <c r="O535" t="n">
        <v>0</v>
      </c>
      <c r="P535" t="n">
        <v>0</v>
      </c>
      <c r="Q535" t="n">
        <v>0</v>
      </c>
      <c r="R535" s="2" t="inlineStr"/>
    </row>
    <row r="536" ht="15" customHeight="1">
      <c r="A536" t="inlineStr">
        <is>
          <t>A 8724-2025</t>
        </is>
      </c>
      <c r="B536" s="1" t="n">
        <v>45712.51121527778</v>
      </c>
      <c r="C536" s="1" t="n">
        <v>46128</v>
      </c>
      <c r="D536" t="inlineStr">
        <is>
          <t>VÄSTERBOTTENS LÄN</t>
        </is>
      </c>
      <c r="E536" t="inlineStr">
        <is>
          <t>ÅSELE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48073-2023</t>
        </is>
      </c>
      <c r="B537" s="1" t="n">
        <v>45204</v>
      </c>
      <c r="C537" s="1" t="n">
        <v>46128</v>
      </c>
      <c r="D537" t="inlineStr">
        <is>
          <t>VÄSTERBOTTENS LÄN</t>
        </is>
      </c>
      <c r="E537" t="inlineStr">
        <is>
          <t>ÅSELE</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52139-2025</t>
        </is>
      </c>
      <c r="B538" s="1" t="n">
        <v>45953.32070601852</v>
      </c>
      <c r="C538" s="1" t="n">
        <v>46128</v>
      </c>
      <c r="D538" t="inlineStr">
        <is>
          <t>VÄSTERBOTTENS LÄN</t>
        </is>
      </c>
      <c r="E538" t="inlineStr">
        <is>
          <t>ÅSELE</t>
        </is>
      </c>
      <c r="G538" t="n">
        <v>4.2</v>
      </c>
      <c r="H538" t="n">
        <v>0</v>
      </c>
      <c r="I538" t="n">
        <v>0</v>
      </c>
      <c r="J538" t="n">
        <v>0</v>
      </c>
      <c r="K538" t="n">
        <v>0</v>
      </c>
      <c r="L538" t="n">
        <v>0</v>
      </c>
      <c r="M538" t="n">
        <v>0</v>
      </c>
      <c r="N538" t="n">
        <v>0</v>
      </c>
      <c r="O538" t="n">
        <v>0</v>
      </c>
      <c r="P538" t="n">
        <v>0</v>
      </c>
      <c r="Q538" t="n">
        <v>0</v>
      </c>
      <c r="R538" s="2" t="inlineStr"/>
    </row>
    <row r="539" ht="15" customHeight="1">
      <c r="A539" t="inlineStr">
        <is>
          <t>A 52632-2025</t>
        </is>
      </c>
      <c r="B539" s="1" t="n">
        <v>45954.71922453704</v>
      </c>
      <c r="C539" s="1" t="n">
        <v>46128</v>
      </c>
      <c r="D539" t="inlineStr">
        <is>
          <t>VÄSTERBOTTENS LÄN</t>
        </is>
      </c>
      <c r="E539" t="inlineStr">
        <is>
          <t>ÅSELE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18605-2023</t>
        </is>
      </c>
      <c r="B540" s="1" t="n">
        <v>45041</v>
      </c>
      <c r="C540" s="1" t="n">
        <v>46128</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25713-2024</t>
        </is>
      </c>
      <c r="B541" s="1" t="n">
        <v>45463</v>
      </c>
      <c r="C541" s="1" t="n">
        <v>46128</v>
      </c>
      <c r="D541" t="inlineStr">
        <is>
          <t>VÄSTERBOTTENS LÄN</t>
        </is>
      </c>
      <c r="E541" t="inlineStr">
        <is>
          <t>ÅSELE</t>
        </is>
      </c>
      <c r="F541" t="inlineStr">
        <is>
          <t>SCA</t>
        </is>
      </c>
      <c r="G541" t="n">
        <v>7.7</v>
      </c>
      <c r="H541" t="n">
        <v>0</v>
      </c>
      <c r="I541" t="n">
        <v>0</v>
      </c>
      <c r="J541" t="n">
        <v>0</v>
      </c>
      <c r="K541" t="n">
        <v>0</v>
      </c>
      <c r="L541" t="n">
        <v>0</v>
      </c>
      <c r="M541" t="n">
        <v>0</v>
      </c>
      <c r="N541" t="n">
        <v>0</v>
      </c>
      <c r="O541" t="n">
        <v>0</v>
      </c>
      <c r="P541" t="n">
        <v>0</v>
      </c>
      <c r="Q541" t="n">
        <v>0</v>
      </c>
      <c r="R541" s="2" t="inlineStr"/>
    </row>
    <row r="542" ht="15" customHeight="1">
      <c r="A542" t="inlineStr">
        <is>
          <t>A 52663-2025</t>
        </is>
      </c>
      <c r="B542" s="1" t="n">
        <v>45955.49012731481</v>
      </c>
      <c r="C542" s="1" t="n">
        <v>46128</v>
      </c>
      <c r="D542" t="inlineStr">
        <is>
          <t>VÄSTERBOTTENS LÄN</t>
        </is>
      </c>
      <c r="E542" t="inlineStr">
        <is>
          <t>ÅSELE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31193-2023</t>
        </is>
      </c>
      <c r="B543" s="1" t="n">
        <v>45113.94976851852</v>
      </c>
      <c r="C543" s="1" t="n">
        <v>46128</v>
      </c>
      <c r="D543" t="inlineStr">
        <is>
          <t>VÄSTERBOTTENS LÄN</t>
        </is>
      </c>
      <c r="E543" t="inlineStr">
        <is>
          <t>ÅSELE</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60868-2022</t>
        </is>
      </c>
      <c r="B544" s="1" t="n">
        <v>44908</v>
      </c>
      <c r="C544" s="1" t="n">
        <v>46128</v>
      </c>
      <c r="D544" t="inlineStr">
        <is>
          <t>VÄSTERBOTTENS LÄN</t>
        </is>
      </c>
      <c r="E544" t="inlineStr">
        <is>
          <t>ÅSELE</t>
        </is>
      </c>
      <c r="G544" t="n">
        <v>2</v>
      </c>
      <c r="H544" t="n">
        <v>0</v>
      </c>
      <c r="I544" t="n">
        <v>0</v>
      </c>
      <c r="J544" t="n">
        <v>0</v>
      </c>
      <c r="K544" t="n">
        <v>0</v>
      </c>
      <c r="L544" t="n">
        <v>0</v>
      </c>
      <c r="M544" t="n">
        <v>0</v>
      </c>
      <c r="N544" t="n">
        <v>0</v>
      </c>
      <c r="O544" t="n">
        <v>0</v>
      </c>
      <c r="P544" t="n">
        <v>0</v>
      </c>
      <c r="Q544" t="n">
        <v>0</v>
      </c>
      <c r="R544" s="2" t="inlineStr"/>
    </row>
    <row r="545" ht="15" customHeight="1">
      <c r="A545" t="inlineStr">
        <is>
          <t>A 53192-2025</t>
        </is>
      </c>
      <c r="B545" s="1" t="n">
        <v>45958.56741898148</v>
      </c>
      <c r="C545" s="1" t="n">
        <v>46128</v>
      </c>
      <c r="D545" t="inlineStr">
        <is>
          <t>VÄSTERBOTTENS LÄN</t>
        </is>
      </c>
      <c r="E545" t="inlineStr">
        <is>
          <t>ÅSELE</t>
        </is>
      </c>
      <c r="F545" t="inlineStr">
        <is>
          <t>Holmen skog AB</t>
        </is>
      </c>
      <c r="G545" t="n">
        <v>2.3</v>
      </c>
      <c r="H545" t="n">
        <v>0</v>
      </c>
      <c r="I545" t="n">
        <v>0</v>
      </c>
      <c r="J545" t="n">
        <v>0</v>
      </c>
      <c r="K545" t="n">
        <v>0</v>
      </c>
      <c r="L545" t="n">
        <v>0</v>
      </c>
      <c r="M545" t="n">
        <v>0</v>
      </c>
      <c r="N545" t="n">
        <v>0</v>
      </c>
      <c r="O545" t="n">
        <v>0</v>
      </c>
      <c r="P545" t="n">
        <v>0</v>
      </c>
      <c r="Q545" t="n">
        <v>0</v>
      </c>
      <c r="R545" s="2" t="inlineStr"/>
    </row>
    <row r="546" ht="15" customHeight="1">
      <c r="A546" t="inlineStr">
        <is>
          <t>A 32648-2025</t>
        </is>
      </c>
      <c r="B546" s="1" t="n">
        <v>45838.67253472222</v>
      </c>
      <c r="C546" s="1" t="n">
        <v>46128</v>
      </c>
      <c r="D546" t="inlineStr">
        <is>
          <t>VÄSTERBOTTENS LÄN</t>
        </is>
      </c>
      <c r="E546" t="inlineStr">
        <is>
          <t>ÅSELE</t>
        </is>
      </c>
      <c r="F546" t="inlineStr">
        <is>
          <t>Holmen skog AB</t>
        </is>
      </c>
      <c r="G546" t="n">
        <v>20</v>
      </c>
      <c r="H546" t="n">
        <v>0</v>
      </c>
      <c r="I546" t="n">
        <v>0</v>
      </c>
      <c r="J546" t="n">
        <v>0</v>
      </c>
      <c r="K546" t="n">
        <v>0</v>
      </c>
      <c r="L546" t="n">
        <v>0</v>
      </c>
      <c r="M546" t="n">
        <v>0</v>
      </c>
      <c r="N546" t="n">
        <v>0</v>
      </c>
      <c r="O546" t="n">
        <v>0</v>
      </c>
      <c r="P546" t="n">
        <v>0</v>
      </c>
      <c r="Q546" t="n">
        <v>0</v>
      </c>
      <c r="R546" s="2" t="inlineStr"/>
    </row>
    <row r="547" ht="15" customHeight="1">
      <c r="A547" t="inlineStr">
        <is>
          <t>A 15082-2023</t>
        </is>
      </c>
      <c r="B547" s="1" t="n">
        <v>45016</v>
      </c>
      <c r="C547" s="1" t="n">
        <v>46128</v>
      </c>
      <c r="D547" t="inlineStr">
        <is>
          <t>VÄSTERBOTTENS LÄN</t>
        </is>
      </c>
      <c r="E547" t="inlineStr">
        <is>
          <t>ÅSELE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32259-2025</t>
        </is>
      </c>
      <c r="B548" s="1" t="n">
        <v>45835.64210648148</v>
      </c>
      <c r="C548" s="1" t="n">
        <v>46128</v>
      </c>
      <c r="D548" t="inlineStr">
        <is>
          <t>VÄSTERBOTTENS LÄN</t>
        </is>
      </c>
      <c r="E548" t="inlineStr">
        <is>
          <t>ÅSELE</t>
        </is>
      </c>
      <c r="F548" t="inlineStr">
        <is>
          <t>Naturvårdsverket</t>
        </is>
      </c>
      <c r="G548" t="n">
        <v>63.9</v>
      </c>
      <c r="H548" t="n">
        <v>0</v>
      </c>
      <c r="I548" t="n">
        <v>0</v>
      </c>
      <c r="J548" t="n">
        <v>0</v>
      </c>
      <c r="K548" t="n">
        <v>0</v>
      </c>
      <c r="L548" t="n">
        <v>0</v>
      </c>
      <c r="M548" t="n">
        <v>0</v>
      </c>
      <c r="N548" t="n">
        <v>0</v>
      </c>
      <c r="O548" t="n">
        <v>0</v>
      </c>
      <c r="P548" t="n">
        <v>0</v>
      </c>
      <c r="Q548" t="n">
        <v>0</v>
      </c>
      <c r="R548" s="2" t="inlineStr"/>
    </row>
    <row r="549" ht="15" customHeight="1">
      <c r="A549" t="inlineStr">
        <is>
          <t>A 52662-2025</t>
        </is>
      </c>
      <c r="B549" s="1" t="n">
        <v>45955.48998842593</v>
      </c>
      <c r="C549" s="1" t="n">
        <v>46128</v>
      </c>
      <c r="D549" t="inlineStr">
        <is>
          <t>VÄSTERBOTTENS LÄN</t>
        </is>
      </c>
      <c r="E549" t="inlineStr">
        <is>
          <t>ÅSELE</t>
        </is>
      </c>
      <c r="F549" t="inlineStr">
        <is>
          <t>SCA</t>
        </is>
      </c>
      <c r="G549" t="n">
        <v>6.5</v>
      </c>
      <c r="H549" t="n">
        <v>0</v>
      </c>
      <c r="I549" t="n">
        <v>0</v>
      </c>
      <c r="J549" t="n">
        <v>0</v>
      </c>
      <c r="K549" t="n">
        <v>0</v>
      </c>
      <c r="L549" t="n">
        <v>0</v>
      </c>
      <c r="M549" t="n">
        <v>0</v>
      </c>
      <c r="N549" t="n">
        <v>0</v>
      </c>
      <c r="O549" t="n">
        <v>0</v>
      </c>
      <c r="P549" t="n">
        <v>0</v>
      </c>
      <c r="Q549" t="n">
        <v>0</v>
      </c>
      <c r="R549" s="2" t="inlineStr"/>
    </row>
    <row r="550" ht="15" customHeight="1">
      <c r="A550" t="inlineStr">
        <is>
          <t>A 52664-2025</t>
        </is>
      </c>
      <c r="B550" s="1" t="n">
        <v>45955.61505787037</v>
      </c>
      <c r="C550" s="1" t="n">
        <v>46128</v>
      </c>
      <c r="D550" t="inlineStr">
        <is>
          <t>VÄSTERBOTTENS LÄN</t>
        </is>
      </c>
      <c r="E550" t="inlineStr">
        <is>
          <t>ÅSELE</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32289-2025</t>
        </is>
      </c>
      <c r="B551" s="1" t="n">
        <v>45835.69831018519</v>
      </c>
      <c r="C551" s="1" t="n">
        <v>46128</v>
      </c>
      <c r="D551" t="inlineStr">
        <is>
          <t>VÄSTERBOTTENS LÄN</t>
        </is>
      </c>
      <c r="E551" t="inlineStr">
        <is>
          <t>ÅSELE</t>
        </is>
      </c>
      <c r="F551" t="inlineStr">
        <is>
          <t>SCA</t>
        </is>
      </c>
      <c r="G551" t="n">
        <v>21.2</v>
      </c>
      <c r="H551" t="n">
        <v>0</v>
      </c>
      <c r="I551" t="n">
        <v>0</v>
      </c>
      <c r="J551" t="n">
        <v>0</v>
      </c>
      <c r="K551" t="n">
        <v>0</v>
      </c>
      <c r="L551" t="n">
        <v>0</v>
      </c>
      <c r="M551" t="n">
        <v>0</v>
      </c>
      <c r="N551" t="n">
        <v>0</v>
      </c>
      <c r="O551" t="n">
        <v>0</v>
      </c>
      <c r="P551" t="n">
        <v>0</v>
      </c>
      <c r="Q551" t="n">
        <v>0</v>
      </c>
      <c r="R551" s="2" t="inlineStr"/>
    </row>
    <row r="552" ht="15" customHeight="1">
      <c r="A552" t="inlineStr">
        <is>
          <t>A 36037-2024</t>
        </is>
      </c>
      <c r="B552" s="1" t="n">
        <v>45533.5966087963</v>
      </c>
      <c r="C552" s="1" t="n">
        <v>46128</v>
      </c>
      <c r="D552" t="inlineStr">
        <is>
          <t>VÄSTERBOTTENS LÄN</t>
        </is>
      </c>
      <c r="E552" t="inlineStr">
        <is>
          <t>ÅSELE</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55657-2024</t>
        </is>
      </c>
      <c r="B553" s="1" t="n">
        <v>45622.63604166666</v>
      </c>
      <c r="C553" s="1" t="n">
        <v>46128</v>
      </c>
      <c r="D553" t="inlineStr">
        <is>
          <t>VÄSTERBOTTENS LÄN</t>
        </is>
      </c>
      <c r="E553" t="inlineStr">
        <is>
          <t>ÅSELE</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32673-2025</t>
        </is>
      </c>
      <c r="B554" s="1" t="n">
        <v>45838.70978009259</v>
      </c>
      <c r="C554" s="1" t="n">
        <v>46128</v>
      </c>
      <c r="D554" t="inlineStr">
        <is>
          <t>VÄSTERBOTTENS LÄN</t>
        </is>
      </c>
      <c r="E554" t="inlineStr">
        <is>
          <t>ÅSELE</t>
        </is>
      </c>
      <c r="F554" t="inlineStr">
        <is>
          <t>Holmen skog AB</t>
        </is>
      </c>
      <c r="G554" t="n">
        <v>16.8</v>
      </c>
      <c r="H554" t="n">
        <v>0</v>
      </c>
      <c r="I554" t="n">
        <v>0</v>
      </c>
      <c r="J554" t="n">
        <v>0</v>
      </c>
      <c r="K554" t="n">
        <v>0</v>
      </c>
      <c r="L554" t="n">
        <v>0</v>
      </c>
      <c r="M554" t="n">
        <v>0</v>
      </c>
      <c r="N554" t="n">
        <v>0</v>
      </c>
      <c r="O554" t="n">
        <v>0</v>
      </c>
      <c r="P554" t="n">
        <v>0</v>
      </c>
      <c r="Q554" t="n">
        <v>0</v>
      </c>
      <c r="R554" s="2" t="inlineStr"/>
    </row>
    <row r="555" ht="15" customHeight="1">
      <c r="A555" t="inlineStr">
        <is>
          <t>A 53239-2025</t>
        </is>
      </c>
      <c r="B555" s="1" t="n">
        <v>45958.63582175926</v>
      </c>
      <c r="C555" s="1" t="n">
        <v>46128</v>
      </c>
      <c r="D555" t="inlineStr">
        <is>
          <t>VÄSTERBOTTENS LÄN</t>
        </is>
      </c>
      <c r="E555" t="inlineStr">
        <is>
          <t>ÅSELE</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8094-2023</t>
        </is>
      </c>
      <c r="B556" s="1" t="n">
        <v>44970</v>
      </c>
      <c r="C556" s="1" t="n">
        <v>46128</v>
      </c>
      <c r="D556" t="inlineStr">
        <is>
          <t>VÄSTERBOTTENS LÄN</t>
        </is>
      </c>
      <c r="E556" t="inlineStr">
        <is>
          <t>ÅSELE</t>
        </is>
      </c>
      <c r="G556" t="n">
        <v>3.4</v>
      </c>
      <c r="H556" t="n">
        <v>0</v>
      </c>
      <c r="I556" t="n">
        <v>0</v>
      </c>
      <c r="J556" t="n">
        <v>0</v>
      </c>
      <c r="K556" t="n">
        <v>0</v>
      </c>
      <c r="L556" t="n">
        <v>0</v>
      </c>
      <c r="M556" t="n">
        <v>0</v>
      </c>
      <c r="N556" t="n">
        <v>0</v>
      </c>
      <c r="O556" t="n">
        <v>0</v>
      </c>
      <c r="P556" t="n">
        <v>0</v>
      </c>
      <c r="Q556" t="n">
        <v>0</v>
      </c>
      <c r="R556" s="2" t="inlineStr"/>
    </row>
    <row r="557" ht="15" customHeight="1">
      <c r="A557" t="inlineStr">
        <is>
          <t>A 22114-2024</t>
        </is>
      </c>
      <c r="B557" s="1" t="n">
        <v>45443</v>
      </c>
      <c r="C557" s="1" t="n">
        <v>46128</v>
      </c>
      <c r="D557" t="inlineStr">
        <is>
          <t>VÄSTERBOTTENS LÄN</t>
        </is>
      </c>
      <c r="E557" t="inlineStr">
        <is>
          <t>ÅSELE</t>
        </is>
      </c>
      <c r="F557" t="inlineStr">
        <is>
          <t>SCA</t>
        </is>
      </c>
      <c r="G557" t="n">
        <v>30.2</v>
      </c>
      <c r="H557" t="n">
        <v>0</v>
      </c>
      <c r="I557" t="n">
        <v>0</v>
      </c>
      <c r="J557" t="n">
        <v>0</v>
      </c>
      <c r="K557" t="n">
        <v>0</v>
      </c>
      <c r="L557" t="n">
        <v>0</v>
      </c>
      <c r="M557" t="n">
        <v>0</v>
      </c>
      <c r="N557" t="n">
        <v>0</v>
      </c>
      <c r="O557" t="n">
        <v>0</v>
      </c>
      <c r="P557" t="n">
        <v>0</v>
      </c>
      <c r="Q557" t="n">
        <v>0</v>
      </c>
      <c r="R557" s="2" t="inlineStr"/>
    </row>
    <row r="558" ht="15" customHeight="1">
      <c r="A558" t="inlineStr">
        <is>
          <t>A 28962-2024</t>
        </is>
      </c>
      <c r="B558" s="1" t="n">
        <v>45481.41788194444</v>
      </c>
      <c r="C558" s="1" t="n">
        <v>46128</v>
      </c>
      <c r="D558" t="inlineStr">
        <is>
          <t>VÄSTERBOTTENS LÄN</t>
        </is>
      </c>
      <c r="E558" t="inlineStr">
        <is>
          <t>ÅSELE</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29511-2024</t>
        </is>
      </c>
      <c r="B559" s="1" t="n">
        <v>45484</v>
      </c>
      <c r="C559" s="1" t="n">
        <v>46128</v>
      </c>
      <c r="D559" t="inlineStr">
        <is>
          <t>VÄSTERBOTTENS LÄN</t>
        </is>
      </c>
      <c r="E559" t="inlineStr">
        <is>
          <t>ÅSELE</t>
        </is>
      </c>
      <c r="G559" t="n">
        <v>0.2</v>
      </c>
      <c r="H559" t="n">
        <v>0</v>
      </c>
      <c r="I559" t="n">
        <v>0</v>
      </c>
      <c r="J559" t="n">
        <v>0</v>
      </c>
      <c r="K559" t="n">
        <v>0</v>
      </c>
      <c r="L559" t="n">
        <v>0</v>
      </c>
      <c r="M559" t="n">
        <v>0</v>
      </c>
      <c r="N559" t="n">
        <v>0</v>
      </c>
      <c r="O559" t="n">
        <v>0</v>
      </c>
      <c r="P559" t="n">
        <v>0</v>
      </c>
      <c r="Q559" t="n">
        <v>0</v>
      </c>
      <c r="R559" s="2" t="inlineStr"/>
    </row>
    <row r="560" ht="15" customHeight="1">
      <c r="A560" t="inlineStr">
        <is>
          <t>A 29517-2024</t>
        </is>
      </c>
      <c r="B560" s="1" t="n">
        <v>45484</v>
      </c>
      <c r="C560" s="1" t="n">
        <v>46128</v>
      </c>
      <c r="D560" t="inlineStr">
        <is>
          <t>VÄSTERBOTTENS LÄN</t>
        </is>
      </c>
      <c r="E560" t="inlineStr">
        <is>
          <t>ÅSELE</t>
        </is>
      </c>
      <c r="G560" t="n">
        <v>0.7</v>
      </c>
      <c r="H560" t="n">
        <v>0</v>
      </c>
      <c r="I560" t="n">
        <v>0</v>
      </c>
      <c r="J560" t="n">
        <v>0</v>
      </c>
      <c r="K560" t="n">
        <v>0</v>
      </c>
      <c r="L560" t="n">
        <v>0</v>
      </c>
      <c r="M560" t="n">
        <v>0</v>
      </c>
      <c r="N560" t="n">
        <v>0</v>
      </c>
      <c r="O560" t="n">
        <v>0</v>
      </c>
      <c r="P560" t="n">
        <v>0</v>
      </c>
      <c r="Q560" t="n">
        <v>0</v>
      </c>
      <c r="R560" s="2" t="inlineStr"/>
    </row>
    <row r="561" ht="15" customHeight="1">
      <c r="A561" t="inlineStr">
        <is>
          <t>A 6283-2025</t>
        </is>
      </c>
      <c r="B561" s="1" t="n">
        <v>45698.63582175926</v>
      </c>
      <c r="C561" s="1" t="n">
        <v>46128</v>
      </c>
      <c r="D561" t="inlineStr">
        <is>
          <t>VÄSTERBOTTENS LÄN</t>
        </is>
      </c>
      <c r="E561" t="inlineStr">
        <is>
          <t>ÅSELE</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32714-2025</t>
        </is>
      </c>
      <c r="B562" s="1" t="n">
        <v>45839.37024305556</v>
      </c>
      <c r="C562" s="1" t="n">
        <v>46128</v>
      </c>
      <c r="D562" t="inlineStr">
        <is>
          <t>VÄSTERBOTTENS LÄN</t>
        </is>
      </c>
      <c r="E562" t="inlineStr">
        <is>
          <t>ÅSELE</t>
        </is>
      </c>
      <c r="G562" t="n">
        <v>19.1</v>
      </c>
      <c r="H562" t="n">
        <v>0</v>
      </c>
      <c r="I562" t="n">
        <v>0</v>
      </c>
      <c r="J562" t="n">
        <v>0</v>
      </c>
      <c r="K562" t="n">
        <v>0</v>
      </c>
      <c r="L562" t="n">
        <v>0</v>
      </c>
      <c r="M562" t="n">
        <v>0</v>
      </c>
      <c r="N562" t="n">
        <v>0</v>
      </c>
      <c r="O562" t="n">
        <v>0</v>
      </c>
      <c r="P562" t="n">
        <v>0</v>
      </c>
      <c r="Q562" t="n">
        <v>0</v>
      </c>
      <c r="R562" s="2" t="inlineStr"/>
    </row>
    <row r="563" ht="15" customHeight="1">
      <c r="A563" t="inlineStr">
        <is>
          <t>A 53779-2025</t>
        </is>
      </c>
      <c r="B563" s="1" t="n">
        <v>45960.69875</v>
      </c>
      <c r="C563" s="1" t="n">
        <v>46128</v>
      </c>
      <c r="D563" t="inlineStr">
        <is>
          <t>VÄSTERBOTTENS LÄN</t>
        </is>
      </c>
      <c r="E563" t="inlineStr">
        <is>
          <t>ÅSELE</t>
        </is>
      </c>
      <c r="F563" t="inlineStr">
        <is>
          <t>Holmen skog AB</t>
        </is>
      </c>
      <c r="G563" t="n">
        <v>25.8</v>
      </c>
      <c r="H563" t="n">
        <v>0</v>
      </c>
      <c r="I563" t="n">
        <v>0</v>
      </c>
      <c r="J563" t="n">
        <v>0</v>
      </c>
      <c r="K563" t="n">
        <v>0</v>
      </c>
      <c r="L563" t="n">
        <v>0</v>
      </c>
      <c r="M563" t="n">
        <v>0</v>
      </c>
      <c r="N563" t="n">
        <v>0</v>
      </c>
      <c r="O563" t="n">
        <v>0</v>
      </c>
      <c r="P563" t="n">
        <v>0</v>
      </c>
      <c r="Q563" t="n">
        <v>0</v>
      </c>
      <c r="R563" s="2" t="inlineStr"/>
    </row>
    <row r="564" ht="15" customHeight="1">
      <c r="A564" t="inlineStr">
        <is>
          <t>A 20397-2025</t>
        </is>
      </c>
      <c r="B564" s="1" t="n">
        <v>45775.45503472222</v>
      </c>
      <c r="C564" s="1" t="n">
        <v>46128</v>
      </c>
      <c r="D564" t="inlineStr">
        <is>
          <t>VÄSTERBOTTENS LÄN</t>
        </is>
      </c>
      <c r="E564" t="inlineStr">
        <is>
          <t>ÅSELE</t>
        </is>
      </c>
      <c r="G564" t="n">
        <v>11.9</v>
      </c>
      <c r="H564" t="n">
        <v>0</v>
      </c>
      <c r="I564" t="n">
        <v>0</v>
      </c>
      <c r="J564" t="n">
        <v>0</v>
      </c>
      <c r="K564" t="n">
        <v>0</v>
      </c>
      <c r="L564" t="n">
        <v>0</v>
      </c>
      <c r="M564" t="n">
        <v>0</v>
      </c>
      <c r="N564" t="n">
        <v>0</v>
      </c>
      <c r="O564" t="n">
        <v>0</v>
      </c>
      <c r="P564" t="n">
        <v>0</v>
      </c>
      <c r="Q564" t="n">
        <v>0</v>
      </c>
      <c r="R564" s="2" t="inlineStr"/>
    </row>
    <row r="565" ht="15" customHeight="1">
      <c r="A565" t="inlineStr">
        <is>
          <t>A 32308-2023</t>
        </is>
      </c>
      <c r="B565" s="1" t="n">
        <v>45120.43883101852</v>
      </c>
      <c r="C565" s="1" t="n">
        <v>46128</v>
      </c>
      <c r="D565" t="inlineStr">
        <is>
          <t>VÄSTERBOTTENS LÄN</t>
        </is>
      </c>
      <c r="E565" t="inlineStr">
        <is>
          <t>ÅSELE</t>
        </is>
      </c>
      <c r="F565" t="inlineStr">
        <is>
          <t>Sveaskog</t>
        </is>
      </c>
      <c r="G565" t="n">
        <v>22.9</v>
      </c>
      <c r="H565" t="n">
        <v>0</v>
      </c>
      <c r="I565" t="n">
        <v>0</v>
      </c>
      <c r="J565" t="n">
        <v>0</v>
      </c>
      <c r="K565" t="n">
        <v>0</v>
      </c>
      <c r="L565" t="n">
        <v>0</v>
      </c>
      <c r="M565" t="n">
        <v>0</v>
      </c>
      <c r="N565" t="n">
        <v>0</v>
      </c>
      <c r="O565" t="n">
        <v>0</v>
      </c>
      <c r="P565" t="n">
        <v>0</v>
      </c>
      <c r="Q565" t="n">
        <v>0</v>
      </c>
      <c r="R565" s="2" t="inlineStr"/>
    </row>
    <row r="566" ht="15" customHeight="1">
      <c r="A566" t="inlineStr">
        <is>
          <t>A 32810-2025</t>
        </is>
      </c>
      <c r="B566" s="1" t="n">
        <v>45839.51207175926</v>
      </c>
      <c r="C566" s="1" t="n">
        <v>46128</v>
      </c>
      <c r="D566" t="inlineStr">
        <is>
          <t>VÄSTERBOTTENS LÄN</t>
        </is>
      </c>
      <c r="E566" t="inlineStr">
        <is>
          <t>ÅSELE</t>
        </is>
      </c>
      <c r="F566" t="inlineStr">
        <is>
          <t>Holmen skog AB</t>
        </is>
      </c>
      <c r="G566" t="n">
        <v>3.7</v>
      </c>
      <c r="H566" t="n">
        <v>0</v>
      </c>
      <c r="I566" t="n">
        <v>0</v>
      </c>
      <c r="J566" t="n">
        <v>0</v>
      </c>
      <c r="K566" t="n">
        <v>0</v>
      </c>
      <c r="L566" t="n">
        <v>0</v>
      </c>
      <c r="M566" t="n">
        <v>0</v>
      </c>
      <c r="N566" t="n">
        <v>0</v>
      </c>
      <c r="O566" t="n">
        <v>0</v>
      </c>
      <c r="P566" t="n">
        <v>0</v>
      </c>
      <c r="Q566" t="n">
        <v>0</v>
      </c>
      <c r="R566" s="2" t="inlineStr"/>
    </row>
    <row r="567" ht="15" customHeight="1">
      <c r="A567" t="inlineStr">
        <is>
          <t>A 50151-2024</t>
        </is>
      </c>
      <c r="B567" s="1" t="n">
        <v>45600.45456018519</v>
      </c>
      <c r="C567" s="1" t="n">
        <v>46128</v>
      </c>
      <c r="D567" t="inlineStr">
        <is>
          <t>VÄSTERBOTTENS LÄN</t>
        </is>
      </c>
      <c r="E567" t="inlineStr">
        <is>
          <t>ÅSELE</t>
        </is>
      </c>
      <c r="F567" t="inlineStr">
        <is>
          <t>Holmen skog AB</t>
        </is>
      </c>
      <c r="G567" t="n">
        <v>3.3</v>
      </c>
      <c r="H567" t="n">
        <v>0</v>
      </c>
      <c r="I567" t="n">
        <v>0</v>
      </c>
      <c r="J567" t="n">
        <v>0</v>
      </c>
      <c r="K567" t="n">
        <v>0</v>
      </c>
      <c r="L567" t="n">
        <v>0</v>
      </c>
      <c r="M567" t="n">
        <v>0</v>
      </c>
      <c r="N567" t="n">
        <v>0</v>
      </c>
      <c r="O567" t="n">
        <v>0</v>
      </c>
      <c r="P567" t="n">
        <v>0</v>
      </c>
      <c r="Q567" t="n">
        <v>0</v>
      </c>
      <c r="R567" s="2" t="inlineStr"/>
    </row>
    <row r="568" ht="15" customHeight="1">
      <c r="A568" t="inlineStr">
        <is>
          <t>A 32891-2025</t>
        </is>
      </c>
      <c r="B568" s="1" t="n">
        <v>45839.60825231481</v>
      </c>
      <c r="C568" s="1" t="n">
        <v>46128</v>
      </c>
      <c r="D568" t="inlineStr">
        <is>
          <t>VÄSTERBOTTENS LÄN</t>
        </is>
      </c>
      <c r="E568" t="inlineStr">
        <is>
          <t>ÅSELE</t>
        </is>
      </c>
      <c r="F568" t="inlineStr">
        <is>
          <t>Holmen skog AB</t>
        </is>
      </c>
      <c r="G568" t="n">
        <v>18.8</v>
      </c>
      <c r="H568" t="n">
        <v>0</v>
      </c>
      <c r="I568" t="n">
        <v>0</v>
      </c>
      <c r="J568" t="n">
        <v>0</v>
      </c>
      <c r="K568" t="n">
        <v>0</v>
      </c>
      <c r="L568" t="n">
        <v>0</v>
      </c>
      <c r="M568" t="n">
        <v>0</v>
      </c>
      <c r="N568" t="n">
        <v>0</v>
      </c>
      <c r="O568" t="n">
        <v>0</v>
      </c>
      <c r="P568" t="n">
        <v>0</v>
      </c>
      <c r="Q568" t="n">
        <v>0</v>
      </c>
      <c r="R568" s="2" t="inlineStr"/>
    </row>
    <row r="569" ht="15" customHeight="1">
      <c r="A569" t="inlineStr">
        <is>
          <t>A 41402-2024</t>
        </is>
      </c>
      <c r="B569" s="1" t="n">
        <v>45560.33498842592</v>
      </c>
      <c r="C569" s="1" t="n">
        <v>46128</v>
      </c>
      <c r="D569" t="inlineStr">
        <is>
          <t>VÄSTERBOTTENS LÄN</t>
        </is>
      </c>
      <c r="E569" t="inlineStr">
        <is>
          <t>ÅSELE</t>
        </is>
      </c>
      <c r="F569" t="inlineStr">
        <is>
          <t>Holmen skog AB</t>
        </is>
      </c>
      <c r="G569" t="n">
        <v>4.5</v>
      </c>
      <c r="H569" t="n">
        <v>0</v>
      </c>
      <c r="I569" t="n">
        <v>0</v>
      </c>
      <c r="J569" t="n">
        <v>0</v>
      </c>
      <c r="K569" t="n">
        <v>0</v>
      </c>
      <c r="L569" t="n">
        <v>0</v>
      </c>
      <c r="M569" t="n">
        <v>0</v>
      </c>
      <c r="N569" t="n">
        <v>0</v>
      </c>
      <c r="O569" t="n">
        <v>0</v>
      </c>
      <c r="P569" t="n">
        <v>0</v>
      </c>
      <c r="Q569" t="n">
        <v>0</v>
      </c>
      <c r="R569" s="2" t="inlineStr"/>
    </row>
    <row r="570" ht="15" customHeight="1">
      <c r="A570" t="inlineStr">
        <is>
          <t>A 5249-2024</t>
        </is>
      </c>
      <c r="B570" s="1" t="n">
        <v>45330.93196759259</v>
      </c>
      <c r="C570" s="1" t="n">
        <v>46128</v>
      </c>
      <c r="D570" t="inlineStr">
        <is>
          <t>VÄSTERBOTTENS LÄN</t>
        </is>
      </c>
      <c r="E570" t="inlineStr">
        <is>
          <t>ÅSELE</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32945-2025</t>
        </is>
      </c>
      <c r="B571" s="1" t="n">
        <v>45839.68309027778</v>
      </c>
      <c r="C571" s="1" t="n">
        <v>46128</v>
      </c>
      <c r="D571" t="inlineStr">
        <is>
          <t>VÄSTERBOTTENS LÄN</t>
        </is>
      </c>
      <c r="E571" t="inlineStr">
        <is>
          <t>ÅSELE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32976-2025</t>
        </is>
      </c>
      <c r="B572" s="1" t="n">
        <v>45839.79112268519</v>
      </c>
      <c r="C572" s="1" t="n">
        <v>46128</v>
      </c>
      <c r="D572" t="inlineStr">
        <is>
          <t>VÄSTERBOTTENS LÄN</t>
        </is>
      </c>
      <c r="E572" t="inlineStr">
        <is>
          <t>ÅSELE</t>
        </is>
      </c>
      <c r="F572" t="inlineStr">
        <is>
          <t>Holmen skog AB</t>
        </is>
      </c>
      <c r="G572" t="n">
        <v>5.2</v>
      </c>
      <c r="H572" t="n">
        <v>0</v>
      </c>
      <c r="I572" t="n">
        <v>0</v>
      </c>
      <c r="J572" t="n">
        <v>0</v>
      </c>
      <c r="K572" t="n">
        <v>0</v>
      </c>
      <c r="L572" t="n">
        <v>0</v>
      </c>
      <c r="M572" t="n">
        <v>0</v>
      </c>
      <c r="N572" t="n">
        <v>0</v>
      </c>
      <c r="O572" t="n">
        <v>0</v>
      </c>
      <c r="P572" t="n">
        <v>0</v>
      </c>
      <c r="Q572" t="n">
        <v>0</v>
      </c>
      <c r="R572" s="2" t="inlineStr"/>
    </row>
    <row r="573" ht="15" customHeight="1">
      <c r="A573" t="inlineStr">
        <is>
          <t>A 33711-2025</t>
        </is>
      </c>
      <c r="B573" s="1" t="n">
        <v>45841.83383101852</v>
      </c>
      <c r="C573" s="1" t="n">
        <v>46128</v>
      </c>
      <c r="D573" t="inlineStr">
        <is>
          <t>VÄSTERBOTTENS LÄN</t>
        </is>
      </c>
      <c r="E573" t="inlineStr">
        <is>
          <t>ÅSELE</t>
        </is>
      </c>
      <c r="G573" t="n">
        <v>7.7</v>
      </c>
      <c r="H573" t="n">
        <v>0</v>
      </c>
      <c r="I573" t="n">
        <v>0</v>
      </c>
      <c r="J573" t="n">
        <v>0</v>
      </c>
      <c r="K573" t="n">
        <v>0</v>
      </c>
      <c r="L573" t="n">
        <v>0</v>
      </c>
      <c r="M573" t="n">
        <v>0</v>
      </c>
      <c r="N573" t="n">
        <v>0</v>
      </c>
      <c r="O573" t="n">
        <v>0</v>
      </c>
      <c r="P573" t="n">
        <v>0</v>
      </c>
      <c r="Q573" t="n">
        <v>0</v>
      </c>
      <c r="R573" s="2" t="inlineStr"/>
    </row>
    <row r="574" ht="15" customHeight="1">
      <c r="A574" t="inlineStr">
        <is>
          <t>A 27436-2023</t>
        </is>
      </c>
      <c r="B574" s="1" t="n">
        <v>45092</v>
      </c>
      <c r="C574" s="1" t="n">
        <v>46128</v>
      </c>
      <c r="D574" t="inlineStr">
        <is>
          <t>VÄSTERBOTTENS LÄN</t>
        </is>
      </c>
      <c r="E574" t="inlineStr">
        <is>
          <t>ÅSELE</t>
        </is>
      </c>
      <c r="F574" t="inlineStr">
        <is>
          <t>Övriga Aktiebolag</t>
        </is>
      </c>
      <c r="G574" t="n">
        <v>1.2</v>
      </c>
      <c r="H574" t="n">
        <v>0</v>
      </c>
      <c r="I574" t="n">
        <v>0</v>
      </c>
      <c r="J574" t="n">
        <v>0</v>
      </c>
      <c r="K574" t="n">
        <v>0</v>
      </c>
      <c r="L574" t="n">
        <v>0</v>
      </c>
      <c r="M574" t="n">
        <v>0</v>
      </c>
      <c r="N574" t="n">
        <v>0</v>
      </c>
      <c r="O574" t="n">
        <v>0</v>
      </c>
      <c r="P574" t="n">
        <v>0</v>
      </c>
      <c r="Q574" t="n">
        <v>0</v>
      </c>
      <c r="R574" s="2" t="inlineStr"/>
    </row>
    <row r="575" ht="15" customHeight="1">
      <c r="A575" t="inlineStr">
        <is>
          <t>A 4921-2024</t>
        </is>
      </c>
      <c r="B575" s="1" t="n">
        <v>45329</v>
      </c>
      <c r="C575" s="1" t="n">
        <v>46128</v>
      </c>
      <c r="D575" t="inlineStr">
        <is>
          <t>VÄSTERBOTTENS LÄN</t>
        </is>
      </c>
      <c r="E575" t="inlineStr">
        <is>
          <t>ÅSELE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42180-2021</t>
        </is>
      </c>
      <c r="B576" s="1" t="n">
        <v>44426.68600694444</v>
      </c>
      <c r="C576" s="1" t="n">
        <v>46128</v>
      </c>
      <c r="D576" t="inlineStr">
        <is>
          <t>VÄSTERBOTTENS LÄN</t>
        </is>
      </c>
      <c r="E576" t="inlineStr">
        <is>
          <t>ÅSELE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33788-2025</t>
        </is>
      </c>
      <c r="B577" s="1" t="n">
        <v>45842</v>
      </c>
      <c r="C577" s="1" t="n">
        <v>46128</v>
      </c>
      <c r="D577" t="inlineStr">
        <is>
          <t>VÄSTERBOTTENS LÄN</t>
        </is>
      </c>
      <c r="E577" t="inlineStr">
        <is>
          <t>ÅSELE</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8722-2025</t>
        </is>
      </c>
      <c r="B578" s="1" t="n">
        <v>45712.51097222222</v>
      </c>
      <c r="C578" s="1" t="n">
        <v>46128</v>
      </c>
      <c r="D578" t="inlineStr">
        <is>
          <t>VÄSTERBOTTENS LÄN</t>
        </is>
      </c>
      <c r="E578" t="inlineStr">
        <is>
          <t>ÅSELE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27939-2024</t>
        </is>
      </c>
      <c r="B579" s="1" t="n">
        <v>45476</v>
      </c>
      <c r="C579" s="1" t="n">
        <v>46128</v>
      </c>
      <c r="D579" t="inlineStr">
        <is>
          <t>VÄSTERBOTTENS LÄN</t>
        </is>
      </c>
      <c r="E579" t="inlineStr">
        <is>
          <t>ÅSELE</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45689-2022</t>
        </is>
      </c>
      <c r="B580" s="1" t="n">
        <v>44845.95304398148</v>
      </c>
      <c r="C580" s="1" t="n">
        <v>46128</v>
      </c>
      <c r="D580" t="inlineStr">
        <is>
          <t>VÄSTERBOTTENS LÄN</t>
        </is>
      </c>
      <c r="E580" t="inlineStr">
        <is>
          <t>ÅSELE</t>
        </is>
      </c>
      <c r="F580" t="inlineStr">
        <is>
          <t>SCA</t>
        </is>
      </c>
      <c r="G580" t="n">
        <v>9.5</v>
      </c>
      <c r="H580" t="n">
        <v>0</v>
      </c>
      <c r="I580" t="n">
        <v>0</v>
      </c>
      <c r="J580" t="n">
        <v>0</v>
      </c>
      <c r="K580" t="n">
        <v>0</v>
      </c>
      <c r="L580" t="n">
        <v>0</v>
      </c>
      <c r="M580" t="n">
        <v>0</v>
      </c>
      <c r="N580" t="n">
        <v>0</v>
      </c>
      <c r="O580" t="n">
        <v>0</v>
      </c>
      <c r="P580" t="n">
        <v>0</v>
      </c>
      <c r="Q580" t="n">
        <v>0</v>
      </c>
      <c r="R580" s="2" t="inlineStr"/>
    </row>
    <row r="581" ht="15" customHeight="1">
      <c r="A581" t="inlineStr">
        <is>
          <t>A 33710-2025</t>
        </is>
      </c>
      <c r="B581" s="1" t="n">
        <v>45841.83299768518</v>
      </c>
      <c r="C581" s="1" t="n">
        <v>46128</v>
      </c>
      <c r="D581" t="inlineStr">
        <is>
          <t>VÄSTERBOTTENS LÄN</t>
        </is>
      </c>
      <c r="E581" t="inlineStr">
        <is>
          <t>ÅSELE</t>
        </is>
      </c>
      <c r="G581" t="n">
        <v>13.7</v>
      </c>
      <c r="H581" t="n">
        <v>0</v>
      </c>
      <c r="I581" t="n">
        <v>0</v>
      </c>
      <c r="J581" t="n">
        <v>0</v>
      </c>
      <c r="K581" t="n">
        <v>0</v>
      </c>
      <c r="L581" t="n">
        <v>0</v>
      </c>
      <c r="M581" t="n">
        <v>0</v>
      </c>
      <c r="N581" t="n">
        <v>0</v>
      </c>
      <c r="O581" t="n">
        <v>0</v>
      </c>
      <c r="P581" t="n">
        <v>0</v>
      </c>
      <c r="Q581" t="n">
        <v>0</v>
      </c>
      <c r="R581" s="2" t="inlineStr"/>
    </row>
    <row r="582" ht="15" customHeight="1">
      <c r="A582" t="inlineStr">
        <is>
          <t>A 17672-2023</t>
        </is>
      </c>
      <c r="B582" s="1" t="n">
        <v>45036</v>
      </c>
      <c r="C582" s="1" t="n">
        <v>46128</v>
      </c>
      <c r="D582" t="inlineStr">
        <is>
          <t>VÄSTERBOTTENS LÄN</t>
        </is>
      </c>
      <c r="E582" t="inlineStr">
        <is>
          <t>ÅSELE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17698-2023</t>
        </is>
      </c>
      <c r="B583" s="1" t="n">
        <v>45035</v>
      </c>
      <c r="C583" s="1" t="n">
        <v>46128</v>
      </c>
      <c r="D583" t="inlineStr">
        <is>
          <t>VÄSTERBOTTENS LÄN</t>
        </is>
      </c>
      <c r="E583" t="inlineStr">
        <is>
          <t>ÅSELE</t>
        </is>
      </c>
      <c r="G583" t="n">
        <v>7</v>
      </c>
      <c r="H583" t="n">
        <v>0</v>
      </c>
      <c r="I583" t="n">
        <v>0</v>
      </c>
      <c r="J583" t="n">
        <v>0</v>
      </c>
      <c r="K583" t="n">
        <v>0</v>
      </c>
      <c r="L583" t="n">
        <v>0</v>
      </c>
      <c r="M583" t="n">
        <v>0</v>
      </c>
      <c r="N583" t="n">
        <v>0</v>
      </c>
      <c r="O583" t="n">
        <v>0</v>
      </c>
      <c r="P583" t="n">
        <v>0</v>
      </c>
      <c r="Q583" t="n">
        <v>0</v>
      </c>
      <c r="R583" s="2" t="inlineStr"/>
    </row>
    <row r="584" ht="15" customHeight="1">
      <c r="A584" t="inlineStr">
        <is>
          <t>A 34295-2025</t>
        </is>
      </c>
      <c r="B584" s="1" t="n">
        <v>45846.34438657408</v>
      </c>
      <c r="C584" s="1" t="n">
        <v>46128</v>
      </c>
      <c r="D584" t="inlineStr">
        <is>
          <t>VÄSTERBOTTENS LÄN</t>
        </is>
      </c>
      <c r="E584" t="inlineStr">
        <is>
          <t>ÅSELE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73419-2021</t>
        </is>
      </c>
      <c r="B585" s="1" t="n">
        <v>44551</v>
      </c>
      <c r="C585" s="1" t="n">
        <v>46128</v>
      </c>
      <c r="D585" t="inlineStr">
        <is>
          <t>VÄSTERBOTTENS LÄN</t>
        </is>
      </c>
      <c r="E585" t="inlineStr">
        <is>
          <t>ÅSELE</t>
        </is>
      </c>
      <c r="G585" t="n">
        <v>14</v>
      </c>
      <c r="H585" t="n">
        <v>0</v>
      </c>
      <c r="I585" t="n">
        <v>0</v>
      </c>
      <c r="J585" t="n">
        <v>0</v>
      </c>
      <c r="K585" t="n">
        <v>0</v>
      </c>
      <c r="L585" t="n">
        <v>0</v>
      </c>
      <c r="M585" t="n">
        <v>0</v>
      </c>
      <c r="N585" t="n">
        <v>0</v>
      </c>
      <c r="O585" t="n">
        <v>0</v>
      </c>
      <c r="P585" t="n">
        <v>0</v>
      </c>
      <c r="Q585" t="n">
        <v>0</v>
      </c>
      <c r="R585" s="2" t="inlineStr"/>
    </row>
    <row r="586" ht="15" customHeight="1">
      <c r="A586" t="inlineStr">
        <is>
          <t>A 54846-2025</t>
        </is>
      </c>
      <c r="B586" s="1" t="n">
        <v>45966.70601851852</v>
      </c>
      <c r="C586" s="1" t="n">
        <v>46128</v>
      </c>
      <c r="D586" t="inlineStr">
        <is>
          <t>VÄSTERBOTTENS LÄN</t>
        </is>
      </c>
      <c r="E586" t="inlineStr">
        <is>
          <t>ÅSELE</t>
        </is>
      </c>
      <c r="F586" t="inlineStr">
        <is>
          <t>Sveaskog</t>
        </is>
      </c>
      <c r="G586" t="n">
        <v>21.9</v>
      </c>
      <c r="H586" t="n">
        <v>0</v>
      </c>
      <c r="I586" t="n">
        <v>0</v>
      </c>
      <c r="J586" t="n">
        <v>0</v>
      </c>
      <c r="K586" t="n">
        <v>0</v>
      </c>
      <c r="L586" t="n">
        <v>0</v>
      </c>
      <c r="M586" t="n">
        <v>0</v>
      </c>
      <c r="N586" t="n">
        <v>0</v>
      </c>
      <c r="O586" t="n">
        <v>0</v>
      </c>
      <c r="P586" t="n">
        <v>0</v>
      </c>
      <c r="Q586" t="n">
        <v>0</v>
      </c>
      <c r="R586" s="2" t="inlineStr"/>
    </row>
    <row r="587" ht="15" customHeight="1">
      <c r="A587" t="inlineStr">
        <is>
          <t>A 54849-2025</t>
        </is>
      </c>
      <c r="B587" s="1" t="n">
        <v>45966.71070601852</v>
      </c>
      <c r="C587" s="1" t="n">
        <v>46128</v>
      </c>
      <c r="D587" t="inlineStr">
        <is>
          <t>VÄSTERBOTTENS LÄN</t>
        </is>
      </c>
      <c r="E587" t="inlineStr">
        <is>
          <t>ÅSELE</t>
        </is>
      </c>
      <c r="F587" t="inlineStr">
        <is>
          <t>Sveaskog</t>
        </is>
      </c>
      <c r="G587" t="n">
        <v>19.3</v>
      </c>
      <c r="H587" t="n">
        <v>0</v>
      </c>
      <c r="I587" t="n">
        <v>0</v>
      </c>
      <c r="J587" t="n">
        <v>0</v>
      </c>
      <c r="K587" t="n">
        <v>0</v>
      </c>
      <c r="L587" t="n">
        <v>0</v>
      </c>
      <c r="M587" t="n">
        <v>0</v>
      </c>
      <c r="N587" t="n">
        <v>0</v>
      </c>
      <c r="O587" t="n">
        <v>0</v>
      </c>
      <c r="P587" t="n">
        <v>0</v>
      </c>
      <c r="Q587" t="n">
        <v>0</v>
      </c>
      <c r="R587" s="2" t="inlineStr"/>
    </row>
    <row r="588" ht="15" customHeight="1">
      <c r="A588" t="inlineStr">
        <is>
          <t>A 54853-2025</t>
        </is>
      </c>
      <c r="B588" s="1" t="n">
        <v>45966.72503472222</v>
      </c>
      <c r="C588" s="1" t="n">
        <v>46128</v>
      </c>
      <c r="D588" t="inlineStr">
        <is>
          <t>VÄSTERBOTTENS LÄN</t>
        </is>
      </c>
      <c r="E588" t="inlineStr">
        <is>
          <t>ÅSELE</t>
        </is>
      </c>
      <c r="F588" t="inlineStr">
        <is>
          <t>Sveaskog</t>
        </is>
      </c>
      <c r="G588" t="n">
        <v>29.3</v>
      </c>
      <c r="H588" t="n">
        <v>0</v>
      </c>
      <c r="I588" t="n">
        <v>0</v>
      </c>
      <c r="J588" t="n">
        <v>0</v>
      </c>
      <c r="K588" t="n">
        <v>0</v>
      </c>
      <c r="L588" t="n">
        <v>0</v>
      </c>
      <c r="M588" t="n">
        <v>0</v>
      </c>
      <c r="N588" t="n">
        <v>0</v>
      </c>
      <c r="O588" t="n">
        <v>0</v>
      </c>
      <c r="P588" t="n">
        <v>0</v>
      </c>
      <c r="Q588" t="n">
        <v>0</v>
      </c>
      <c r="R588" s="2" t="inlineStr"/>
    </row>
    <row r="589" ht="15" customHeight="1">
      <c r="A589" t="inlineStr">
        <is>
          <t>A 18792-2024</t>
        </is>
      </c>
      <c r="B589" s="1" t="n">
        <v>45426</v>
      </c>
      <c r="C589" s="1" t="n">
        <v>46128</v>
      </c>
      <c r="D589" t="inlineStr">
        <is>
          <t>VÄSTERBOTTENS LÄN</t>
        </is>
      </c>
      <c r="E589" t="inlineStr">
        <is>
          <t>ÅSELE</t>
        </is>
      </c>
      <c r="G589" t="n">
        <v>7.2</v>
      </c>
      <c r="H589" t="n">
        <v>0</v>
      </c>
      <c r="I589" t="n">
        <v>0</v>
      </c>
      <c r="J589" t="n">
        <v>0</v>
      </c>
      <c r="K589" t="n">
        <v>0</v>
      </c>
      <c r="L589" t="n">
        <v>0</v>
      </c>
      <c r="M589" t="n">
        <v>0</v>
      </c>
      <c r="N589" t="n">
        <v>0</v>
      </c>
      <c r="O589" t="n">
        <v>0</v>
      </c>
      <c r="P589" t="n">
        <v>0</v>
      </c>
      <c r="Q589" t="n">
        <v>0</v>
      </c>
      <c r="R589" s="2" t="inlineStr"/>
    </row>
    <row r="590" ht="15" customHeight="1">
      <c r="A590" t="inlineStr">
        <is>
          <t>A 39731-2023</t>
        </is>
      </c>
      <c r="B590" s="1" t="n">
        <v>45167</v>
      </c>
      <c r="C590" s="1" t="n">
        <v>46128</v>
      </c>
      <c r="D590" t="inlineStr">
        <is>
          <t>VÄSTERBOTTENS LÄN</t>
        </is>
      </c>
      <c r="E590" t="inlineStr">
        <is>
          <t>ÅSELE</t>
        </is>
      </c>
      <c r="F590" t="inlineStr">
        <is>
          <t>Sveaskog</t>
        </is>
      </c>
      <c r="G590" t="n">
        <v>17.6</v>
      </c>
      <c r="H590" t="n">
        <v>0</v>
      </c>
      <c r="I590" t="n">
        <v>0</v>
      </c>
      <c r="J590" t="n">
        <v>0</v>
      </c>
      <c r="K590" t="n">
        <v>0</v>
      </c>
      <c r="L590" t="n">
        <v>0</v>
      </c>
      <c r="M590" t="n">
        <v>0</v>
      </c>
      <c r="N590" t="n">
        <v>0</v>
      </c>
      <c r="O590" t="n">
        <v>0</v>
      </c>
      <c r="P590" t="n">
        <v>0</v>
      </c>
      <c r="Q590" t="n">
        <v>0</v>
      </c>
      <c r="R590" s="2" t="inlineStr"/>
    </row>
    <row r="591" ht="15" customHeight="1">
      <c r="A591" t="inlineStr">
        <is>
          <t>A 54811-2025</t>
        </is>
      </c>
      <c r="B591" s="1" t="n">
        <v>45966.64833333333</v>
      </c>
      <c r="C591" s="1" t="n">
        <v>46128</v>
      </c>
      <c r="D591" t="inlineStr">
        <is>
          <t>VÄSTERBOTTENS LÄN</t>
        </is>
      </c>
      <c r="E591" t="inlineStr">
        <is>
          <t>ÅSELE</t>
        </is>
      </c>
      <c r="F591" t="inlineStr">
        <is>
          <t>Kommuner</t>
        </is>
      </c>
      <c r="G591" t="n">
        <v>13.7</v>
      </c>
      <c r="H591" t="n">
        <v>0</v>
      </c>
      <c r="I591" t="n">
        <v>0</v>
      </c>
      <c r="J591" t="n">
        <v>0</v>
      </c>
      <c r="K591" t="n">
        <v>0</v>
      </c>
      <c r="L591" t="n">
        <v>0</v>
      </c>
      <c r="M591" t="n">
        <v>0</v>
      </c>
      <c r="N591" t="n">
        <v>0</v>
      </c>
      <c r="O591" t="n">
        <v>0</v>
      </c>
      <c r="P591" t="n">
        <v>0</v>
      </c>
      <c r="Q591" t="n">
        <v>0</v>
      </c>
      <c r="R591" s="2" t="inlineStr"/>
    </row>
    <row r="592" ht="15" customHeight="1">
      <c r="A592" t="inlineStr">
        <is>
          <t>A 54317-2025</t>
        </is>
      </c>
      <c r="B592" s="1" t="n">
        <v>45965.32998842592</v>
      </c>
      <c r="C592" s="1" t="n">
        <v>46128</v>
      </c>
      <c r="D592" t="inlineStr">
        <is>
          <t>VÄSTERBOTTENS LÄN</t>
        </is>
      </c>
      <c r="E592" t="inlineStr">
        <is>
          <t>ÅSELE</t>
        </is>
      </c>
      <c r="F592" t="inlineStr">
        <is>
          <t>Holmen skog AB</t>
        </is>
      </c>
      <c r="G592" t="n">
        <v>10.4</v>
      </c>
      <c r="H592" t="n">
        <v>0</v>
      </c>
      <c r="I592" t="n">
        <v>0</v>
      </c>
      <c r="J592" t="n">
        <v>0</v>
      </c>
      <c r="K592" t="n">
        <v>0</v>
      </c>
      <c r="L592" t="n">
        <v>0</v>
      </c>
      <c r="M592" t="n">
        <v>0</v>
      </c>
      <c r="N592" t="n">
        <v>0</v>
      </c>
      <c r="O592" t="n">
        <v>0</v>
      </c>
      <c r="P592" t="n">
        <v>0</v>
      </c>
      <c r="Q592" t="n">
        <v>0</v>
      </c>
      <c r="R592" s="2" t="inlineStr"/>
    </row>
    <row r="593" ht="15" customHeight="1">
      <c r="A593" t="inlineStr">
        <is>
          <t>A 743-2025</t>
        </is>
      </c>
      <c r="B593" s="1" t="n">
        <v>45665.4312037037</v>
      </c>
      <c r="C593" s="1" t="n">
        <v>46128</v>
      </c>
      <c r="D593" t="inlineStr">
        <is>
          <t>VÄSTERBOTTENS LÄN</t>
        </is>
      </c>
      <c r="E593" t="inlineStr">
        <is>
          <t>ÅSELE</t>
        </is>
      </c>
      <c r="F593" t="inlineStr">
        <is>
          <t>Naturvårdsverket</t>
        </is>
      </c>
      <c r="G593" t="n">
        <v>2</v>
      </c>
      <c r="H593" t="n">
        <v>0</v>
      </c>
      <c r="I593" t="n">
        <v>0</v>
      </c>
      <c r="J593" t="n">
        <v>0</v>
      </c>
      <c r="K593" t="n">
        <v>0</v>
      </c>
      <c r="L593" t="n">
        <v>0</v>
      </c>
      <c r="M593" t="n">
        <v>0</v>
      </c>
      <c r="N593" t="n">
        <v>0</v>
      </c>
      <c r="O593" t="n">
        <v>0</v>
      </c>
      <c r="P593" t="n">
        <v>0</v>
      </c>
      <c r="Q593" t="n">
        <v>0</v>
      </c>
      <c r="R593" s="2" t="inlineStr"/>
    </row>
    <row r="594" ht="15" customHeight="1">
      <c r="A594" t="inlineStr">
        <is>
          <t>A 39450-2024</t>
        </is>
      </c>
      <c r="B594" s="1" t="n">
        <v>45551.61681712963</v>
      </c>
      <c r="C594" s="1" t="n">
        <v>46128</v>
      </c>
      <c r="D594" t="inlineStr">
        <is>
          <t>VÄSTERBOTTENS LÄN</t>
        </is>
      </c>
      <c r="E594" t="inlineStr">
        <is>
          <t>ÅSELE</t>
        </is>
      </c>
      <c r="G594" t="n">
        <v>1.8</v>
      </c>
      <c r="H594" t="n">
        <v>0</v>
      </c>
      <c r="I594" t="n">
        <v>0</v>
      </c>
      <c r="J594" t="n">
        <v>0</v>
      </c>
      <c r="K594" t="n">
        <v>0</v>
      </c>
      <c r="L594" t="n">
        <v>0</v>
      </c>
      <c r="M594" t="n">
        <v>0</v>
      </c>
      <c r="N594" t="n">
        <v>0</v>
      </c>
      <c r="O594" t="n">
        <v>0</v>
      </c>
      <c r="P594" t="n">
        <v>0</v>
      </c>
      <c r="Q594" t="n">
        <v>0</v>
      </c>
      <c r="R594" s="2" t="inlineStr"/>
    </row>
    <row r="595" ht="15" customHeight="1">
      <c r="A595" t="inlineStr">
        <is>
          <t>A 54832-2025</t>
        </is>
      </c>
      <c r="B595" s="1" t="n">
        <v>45966.67761574074</v>
      </c>
      <c r="C595" s="1" t="n">
        <v>46128</v>
      </c>
      <c r="D595" t="inlineStr">
        <is>
          <t>VÄSTERBOTTENS LÄN</t>
        </is>
      </c>
      <c r="E595" t="inlineStr">
        <is>
          <t>ÅSELE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34667-2025</t>
        </is>
      </c>
      <c r="B596" s="1" t="n">
        <v>45848.38278935185</v>
      </c>
      <c r="C596" s="1" t="n">
        <v>46128</v>
      </c>
      <c r="D596" t="inlineStr">
        <is>
          <t>VÄSTERBOTTENS LÄN</t>
        </is>
      </c>
      <c r="E596" t="inlineStr">
        <is>
          <t>ÅSELE</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34301-2025</t>
        </is>
      </c>
      <c r="B597" s="1" t="n">
        <v>45846.34537037037</v>
      </c>
      <c r="C597" s="1" t="n">
        <v>46128</v>
      </c>
      <c r="D597" t="inlineStr">
        <is>
          <t>VÄSTERBOTTENS LÄN</t>
        </is>
      </c>
      <c r="E597" t="inlineStr">
        <is>
          <t>ÅSELE</t>
        </is>
      </c>
      <c r="F597" t="inlineStr">
        <is>
          <t>SCA</t>
        </is>
      </c>
      <c r="G597" t="n">
        <v>27.4</v>
      </c>
      <c r="H597" t="n">
        <v>0</v>
      </c>
      <c r="I597" t="n">
        <v>0</v>
      </c>
      <c r="J597" t="n">
        <v>0</v>
      </c>
      <c r="K597" t="n">
        <v>0</v>
      </c>
      <c r="L597" t="n">
        <v>0</v>
      </c>
      <c r="M597" t="n">
        <v>0</v>
      </c>
      <c r="N597" t="n">
        <v>0</v>
      </c>
      <c r="O597" t="n">
        <v>0</v>
      </c>
      <c r="P597" t="n">
        <v>0</v>
      </c>
      <c r="Q597" t="n">
        <v>0</v>
      </c>
      <c r="R597" s="2" t="inlineStr"/>
    </row>
    <row r="598" ht="15" customHeight="1">
      <c r="A598" t="inlineStr">
        <is>
          <t>A 34659-2025</t>
        </is>
      </c>
      <c r="B598" s="1" t="n">
        <v>45848.36859953704</v>
      </c>
      <c r="C598" s="1" t="n">
        <v>46128</v>
      </c>
      <c r="D598" t="inlineStr">
        <is>
          <t>VÄSTERBOTTENS LÄN</t>
        </is>
      </c>
      <c r="E598" t="inlineStr">
        <is>
          <t>ÅSELE</t>
        </is>
      </c>
      <c r="G598" t="n">
        <v>2.6</v>
      </c>
      <c r="H598" t="n">
        <v>0</v>
      </c>
      <c r="I598" t="n">
        <v>0</v>
      </c>
      <c r="J598" t="n">
        <v>0</v>
      </c>
      <c r="K598" t="n">
        <v>0</v>
      </c>
      <c r="L598" t="n">
        <v>0</v>
      </c>
      <c r="M598" t="n">
        <v>0</v>
      </c>
      <c r="N598" t="n">
        <v>0</v>
      </c>
      <c r="O598" t="n">
        <v>0</v>
      </c>
      <c r="P598" t="n">
        <v>0</v>
      </c>
      <c r="Q598" t="n">
        <v>0</v>
      </c>
      <c r="R598" s="2" t="inlineStr"/>
    </row>
    <row r="599" ht="15" customHeight="1">
      <c r="A599" t="inlineStr">
        <is>
          <t>A 34661-2025</t>
        </is>
      </c>
      <c r="B599" s="1" t="n">
        <v>45848.3715625</v>
      </c>
      <c r="C599" s="1" t="n">
        <v>46128</v>
      </c>
      <c r="D599" t="inlineStr">
        <is>
          <t>VÄSTERBOTTENS LÄN</t>
        </is>
      </c>
      <c r="E599" t="inlineStr">
        <is>
          <t>ÅSELE</t>
        </is>
      </c>
      <c r="G599" t="n">
        <v>0.6</v>
      </c>
      <c r="H599" t="n">
        <v>0</v>
      </c>
      <c r="I599" t="n">
        <v>0</v>
      </c>
      <c r="J599" t="n">
        <v>0</v>
      </c>
      <c r="K599" t="n">
        <v>0</v>
      </c>
      <c r="L599" t="n">
        <v>0</v>
      </c>
      <c r="M599" t="n">
        <v>0</v>
      </c>
      <c r="N599" t="n">
        <v>0</v>
      </c>
      <c r="O599" t="n">
        <v>0</v>
      </c>
      <c r="P599" t="n">
        <v>0</v>
      </c>
      <c r="Q599" t="n">
        <v>0</v>
      </c>
      <c r="R599" s="2" t="inlineStr"/>
    </row>
    <row r="600" ht="15" customHeight="1">
      <c r="A600" t="inlineStr">
        <is>
          <t>A 55054-2025</t>
        </is>
      </c>
      <c r="B600" s="1" t="n">
        <v>45967.67780092593</v>
      </c>
      <c r="C600" s="1" t="n">
        <v>46128</v>
      </c>
      <c r="D600" t="inlineStr">
        <is>
          <t>VÄSTERBOTTENS LÄN</t>
        </is>
      </c>
      <c r="E600" t="inlineStr">
        <is>
          <t>ÅSELE</t>
        </is>
      </c>
      <c r="F600" t="inlineStr">
        <is>
          <t>SCA</t>
        </is>
      </c>
      <c r="G600" t="n">
        <v>13.3</v>
      </c>
      <c r="H600" t="n">
        <v>0</v>
      </c>
      <c r="I600" t="n">
        <v>0</v>
      </c>
      <c r="J600" t="n">
        <v>0</v>
      </c>
      <c r="K600" t="n">
        <v>0</v>
      </c>
      <c r="L600" t="n">
        <v>0</v>
      </c>
      <c r="M600" t="n">
        <v>0</v>
      </c>
      <c r="N600" t="n">
        <v>0</v>
      </c>
      <c r="O600" t="n">
        <v>0</v>
      </c>
      <c r="P600" t="n">
        <v>0</v>
      </c>
      <c r="Q600" t="n">
        <v>0</v>
      </c>
      <c r="R600" s="2" t="inlineStr"/>
    </row>
    <row r="601" ht="15" customHeight="1">
      <c r="A601" t="inlineStr">
        <is>
          <t>A 55169-2025</t>
        </is>
      </c>
      <c r="B601" s="1" t="n">
        <v>45968.49219907408</v>
      </c>
      <c r="C601" s="1" t="n">
        <v>46128</v>
      </c>
      <c r="D601" t="inlineStr">
        <is>
          <t>VÄSTERBOTTENS LÄN</t>
        </is>
      </c>
      <c r="E601" t="inlineStr">
        <is>
          <t>ÅSELE</t>
        </is>
      </c>
      <c r="F601" t="inlineStr">
        <is>
          <t>Naturvårdsverket</t>
        </is>
      </c>
      <c r="G601" t="n">
        <v>1.2</v>
      </c>
      <c r="H601" t="n">
        <v>0</v>
      </c>
      <c r="I601" t="n">
        <v>0</v>
      </c>
      <c r="J601" t="n">
        <v>0</v>
      </c>
      <c r="K601" t="n">
        <v>0</v>
      </c>
      <c r="L601" t="n">
        <v>0</v>
      </c>
      <c r="M601" t="n">
        <v>0</v>
      </c>
      <c r="N601" t="n">
        <v>0</v>
      </c>
      <c r="O601" t="n">
        <v>0</v>
      </c>
      <c r="P601" t="n">
        <v>0</v>
      </c>
      <c r="Q601" t="n">
        <v>0</v>
      </c>
      <c r="R601" s="2" t="inlineStr"/>
    </row>
    <row r="602" ht="15" customHeight="1">
      <c r="A602" t="inlineStr">
        <is>
          <t>A 44801-2023</t>
        </is>
      </c>
      <c r="B602" s="1" t="n">
        <v>45190.47796296296</v>
      </c>
      <c r="C602" s="1" t="n">
        <v>46128</v>
      </c>
      <c r="D602" t="inlineStr">
        <is>
          <t>VÄSTERBOTTENS LÄN</t>
        </is>
      </c>
      <c r="E602" t="inlineStr">
        <is>
          <t>ÅSELE</t>
        </is>
      </c>
      <c r="F602" t="inlineStr">
        <is>
          <t>Naturvårdsverket</t>
        </is>
      </c>
      <c r="G602" t="n">
        <v>2.4</v>
      </c>
      <c r="H602" t="n">
        <v>0</v>
      </c>
      <c r="I602" t="n">
        <v>0</v>
      </c>
      <c r="J602" t="n">
        <v>0</v>
      </c>
      <c r="K602" t="n">
        <v>0</v>
      </c>
      <c r="L602" t="n">
        <v>0</v>
      </c>
      <c r="M602" t="n">
        <v>0</v>
      </c>
      <c r="N602" t="n">
        <v>0</v>
      </c>
      <c r="O602" t="n">
        <v>0</v>
      </c>
      <c r="P602" t="n">
        <v>0</v>
      </c>
      <c r="Q602" t="n">
        <v>0</v>
      </c>
      <c r="R602" s="2" t="inlineStr"/>
    </row>
    <row r="603" ht="15" customHeight="1">
      <c r="A603" t="inlineStr">
        <is>
          <t>A 34852-2025</t>
        </is>
      </c>
      <c r="B603" s="1" t="n">
        <v>45849.42777777778</v>
      </c>
      <c r="C603" s="1" t="n">
        <v>46128</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54977-2025</t>
        </is>
      </c>
      <c r="B604" s="1" t="n">
        <v>45967.51125</v>
      </c>
      <c r="C604" s="1" t="n">
        <v>46128</v>
      </c>
      <c r="D604" t="inlineStr">
        <is>
          <t>VÄSTERBOTTENS LÄN</t>
        </is>
      </c>
      <c r="E604" t="inlineStr">
        <is>
          <t>ÅSELE</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55161-2025</t>
        </is>
      </c>
      <c r="B605" s="1" t="n">
        <v>45968.47324074074</v>
      </c>
      <c r="C605" s="1" t="n">
        <v>46128</v>
      </c>
      <c r="D605" t="inlineStr">
        <is>
          <t>VÄSTERBOTTENS LÄN</t>
        </is>
      </c>
      <c r="E605" t="inlineStr">
        <is>
          <t>ÅSELE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34883-2025</t>
        </is>
      </c>
      <c r="B606" s="1" t="n">
        <v>45849.46943287037</v>
      </c>
      <c r="C606" s="1" t="n">
        <v>46128</v>
      </c>
      <c r="D606" t="inlineStr">
        <is>
          <t>VÄSTERBOTTENS LÄN</t>
        </is>
      </c>
      <c r="E606" t="inlineStr">
        <is>
          <t>ÅSELE</t>
        </is>
      </c>
      <c r="F606" t="inlineStr">
        <is>
          <t>SCA</t>
        </is>
      </c>
      <c r="G606" t="n">
        <v>13.3</v>
      </c>
      <c r="H606" t="n">
        <v>0</v>
      </c>
      <c r="I606" t="n">
        <v>0</v>
      </c>
      <c r="J606" t="n">
        <v>0</v>
      </c>
      <c r="K606" t="n">
        <v>0</v>
      </c>
      <c r="L606" t="n">
        <v>0</v>
      </c>
      <c r="M606" t="n">
        <v>0</v>
      </c>
      <c r="N606" t="n">
        <v>0</v>
      </c>
      <c r="O606" t="n">
        <v>0</v>
      </c>
      <c r="P606" t="n">
        <v>0</v>
      </c>
      <c r="Q606" t="n">
        <v>0</v>
      </c>
      <c r="R606" s="2" t="inlineStr"/>
    </row>
    <row r="607" ht="15" customHeight="1">
      <c r="A607" t="inlineStr">
        <is>
          <t>A 58596-2024</t>
        </is>
      </c>
      <c r="B607" s="1" t="n">
        <v>45635</v>
      </c>
      <c r="C607" s="1" t="n">
        <v>46128</v>
      </c>
      <c r="D607" t="inlineStr">
        <is>
          <t>VÄSTERBOTTENS LÄN</t>
        </is>
      </c>
      <c r="E607" t="inlineStr">
        <is>
          <t>ÅSELE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61330-2024</t>
        </is>
      </c>
      <c r="B608" s="1" t="n">
        <v>45645</v>
      </c>
      <c r="C608" s="1" t="n">
        <v>46128</v>
      </c>
      <c r="D608" t="inlineStr">
        <is>
          <t>VÄSTERBOTTENS LÄN</t>
        </is>
      </c>
      <c r="E608" t="inlineStr">
        <is>
          <t>ÅSELE</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34843-2025</t>
        </is>
      </c>
      <c r="B609" s="1" t="n">
        <v>45849.40900462963</v>
      </c>
      <c r="C609" s="1" t="n">
        <v>46128</v>
      </c>
      <c r="D609" t="inlineStr">
        <is>
          <t>VÄSTERBOTTENS LÄN</t>
        </is>
      </c>
      <c r="E609" t="inlineStr">
        <is>
          <t>ÅSELE</t>
        </is>
      </c>
      <c r="F609" t="inlineStr">
        <is>
          <t>Sveaskog</t>
        </is>
      </c>
      <c r="G609" t="n">
        <v>4.2</v>
      </c>
      <c r="H609" t="n">
        <v>0</v>
      </c>
      <c r="I609" t="n">
        <v>0</v>
      </c>
      <c r="J609" t="n">
        <v>0</v>
      </c>
      <c r="K609" t="n">
        <v>0</v>
      </c>
      <c r="L609" t="n">
        <v>0</v>
      </c>
      <c r="M609" t="n">
        <v>0</v>
      </c>
      <c r="N609" t="n">
        <v>0</v>
      </c>
      <c r="O609" t="n">
        <v>0</v>
      </c>
      <c r="P609" t="n">
        <v>0</v>
      </c>
      <c r="Q609" t="n">
        <v>0</v>
      </c>
      <c r="R609" s="2" t="inlineStr"/>
    </row>
    <row r="610" ht="15" customHeight="1">
      <c r="A610" t="inlineStr">
        <is>
          <t>A 34900-2025</t>
        </is>
      </c>
      <c r="B610" s="1" t="n">
        <v>45849.5046875</v>
      </c>
      <c r="C610" s="1" t="n">
        <v>46128</v>
      </c>
      <c r="D610" t="inlineStr">
        <is>
          <t>VÄSTERBOTTENS LÄN</t>
        </is>
      </c>
      <c r="E610" t="inlineStr">
        <is>
          <t>ÅSELE</t>
        </is>
      </c>
      <c r="G610" t="n">
        <v>1.4</v>
      </c>
      <c r="H610" t="n">
        <v>0</v>
      </c>
      <c r="I610" t="n">
        <v>0</v>
      </c>
      <c r="J610" t="n">
        <v>0</v>
      </c>
      <c r="K610" t="n">
        <v>0</v>
      </c>
      <c r="L610" t="n">
        <v>0</v>
      </c>
      <c r="M610" t="n">
        <v>0</v>
      </c>
      <c r="N610" t="n">
        <v>0</v>
      </c>
      <c r="O610" t="n">
        <v>0</v>
      </c>
      <c r="P610" t="n">
        <v>0</v>
      </c>
      <c r="Q610" t="n">
        <v>0</v>
      </c>
      <c r="R610" s="2" t="inlineStr"/>
    </row>
    <row r="611" ht="15" customHeight="1">
      <c r="A611" t="inlineStr">
        <is>
          <t>A 34904-2025</t>
        </is>
      </c>
      <c r="B611" s="1" t="n">
        <v>45849.51297453704</v>
      </c>
      <c r="C611" s="1" t="n">
        <v>46128</v>
      </c>
      <c r="D611" t="inlineStr">
        <is>
          <t>VÄSTERBOTTENS LÄN</t>
        </is>
      </c>
      <c r="E611" t="inlineStr">
        <is>
          <t>ÅSELE</t>
        </is>
      </c>
      <c r="G611" t="n">
        <v>1.6</v>
      </c>
      <c r="H611" t="n">
        <v>0</v>
      </c>
      <c r="I611" t="n">
        <v>0</v>
      </c>
      <c r="J611" t="n">
        <v>0</v>
      </c>
      <c r="K611" t="n">
        <v>0</v>
      </c>
      <c r="L611" t="n">
        <v>0</v>
      </c>
      <c r="M611" t="n">
        <v>0</v>
      </c>
      <c r="N611" t="n">
        <v>0</v>
      </c>
      <c r="O611" t="n">
        <v>0</v>
      </c>
      <c r="P611" t="n">
        <v>0</v>
      </c>
      <c r="Q611" t="n">
        <v>0</v>
      </c>
      <c r="R611" s="2" t="inlineStr"/>
    </row>
    <row r="612" ht="15" customHeight="1">
      <c r="A612" t="inlineStr">
        <is>
          <t>A 34808-2025</t>
        </is>
      </c>
      <c r="B612" s="1" t="n">
        <v>45849.34042824074</v>
      </c>
      <c r="C612" s="1" t="n">
        <v>46128</v>
      </c>
      <c r="D612" t="inlineStr">
        <is>
          <t>VÄSTERBOTTENS LÄN</t>
        </is>
      </c>
      <c r="E612" t="inlineStr">
        <is>
          <t>ÅSELE</t>
        </is>
      </c>
      <c r="F612" t="inlineStr">
        <is>
          <t>Holmen skog AB</t>
        </is>
      </c>
      <c r="G612" t="n">
        <v>1.4</v>
      </c>
      <c r="H612" t="n">
        <v>0</v>
      </c>
      <c r="I612" t="n">
        <v>0</v>
      </c>
      <c r="J612" t="n">
        <v>0</v>
      </c>
      <c r="K612" t="n">
        <v>0</v>
      </c>
      <c r="L612" t="n">
        <v>0</v>
      </c>
      <c r="M612" t="n">
        <v>0</v>
      </c>
      <c r="N612" t="n">
        <v>0</v>
      </c>
      <c r="O612" t="n">
        <v>0</v>
      </c>
      <c r="P612" t="n">
        <v>0</v>
      </c>
      <c r="Q612" t="n">
        <v>0</v>
      </c>
      <c r="R612" s="2" t="inlineStr"/>
    </row>
    <row r="613" ht="15" customHeight="1">
      <c r="A613" t="inlineStr">
        <is>
          <t>A 24444-2024</t>
        </is>
      </c>
      <c r="B613" s="1" t="n">
        <v>45457.96425925926</v>
      </c>
      <c r="C613" s="1" t="n">
        <v>46128</v>
      </c>
      <c r="D613" t="inlineStr">
        <is>
          <t>VÄSTERBOTTENS LÄN</t>
        </is>
      </c>
      <c r="E613" t="inlineStr">
        <is>
          <t>ÅSELE</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31119-2023</t>
        </is>
      </c>
      <c r="B614" s="1" t="n">
        <v>45099</v>
      </c>
      <c r="C614" s="1" t="n">
        <v>46128</v>
      </c>
      <c r="D614" t="inlineStr">
        <is>
          <t>VÄSTERBOTTENS LÄN</t>
        </is>
      </c>
      <c r="E614" t="inlineStr">
        <is>
          <t>ÅSELE</t>
        </is>
      </c>
      <c r="G614" t="n">
        <v>5</v>
      </c>
      <c r="H614" t="n">
        <v>0</v>
      </c>
      <c r="I614" t="n">
        <v>0</v>
      </c>
      <c r="J614" t="n">
        <v>0</v>
      </c>
      <c r="K614" t="n">
        <v>0</v>
      </c>
      <c r="L614" t="n">
        <v>0</v>
      </c>
      <c r="M614" t="n">
        <v>0</v>
      </c>
      <c r="N614" t="n">
        <v>0</v>
      </c>
      <c r="O614" t="n">
        <v>0</v>
      </c>
      <c r="P614" t="n">
        <v>0</v>
      </c>
      <c r="Q614" t="n">
        <v>0</v>
      </c>
      <c r="R614" s="2" t="inlineStr"/>
    </row>
    <row r="615" ht="15" customHeight="1">
      <c r="A615" t="inlineStr">
        <is>
          <t>A 35281-2025</t>
        </is>
      </c>
      <c r="B615" s="1" t="n">
        <v>45854.33944444444</v>
      </c>
      <c r="C615" s="1" t="n">
        <v>46128</v>
      </c>
      <c r="D615" t="inlineStr">
        <is>
          <t>VÄSTERBOTTENS LÄN</t>
        </is>
      </c>
      <c r="E615" t="inlineStr">
        <is>
          <t>ÅSELE</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31659-2024</t>
        </is>
      </c>
      <c r="B616" s="1" t="n">
        <v>45506</v>
      </c>
      <c r="C616" s="1" t="n">
        <v>46128</v>
      </c>
      <c r="D616" t="inlineStr">
        <is>
          <t>VÄSTERBOTTENS LÄN</t>
        </is>
      </c>
      <c r="E616" t="inlineStr">
        <is>
          <t>ÅSELE</t>
        </is>
      </c>
      <c r="G616" t="n">
        <v>41.1</v>
      </c>
      <c r="H616" t="n">
        <v>0</v>
      </c>
      <c r="I616" t="n">
        <v>0</v>
      </c>
      <c r="J616" t="n">
        <v>0</v>
      </c>
      <c r="K616" t="n">
        <v>0</v>
      </c>
      <c r="L616" t="n">
        <v>0</v>
      </c>
      <c r="M616" t="n">
        <v>0</v>
      </c>
      <c r="N616" t="n">
        <v>0</v>
      </c>
      <c r="O616" t="n">
        <v>0</v>
      </c>
      <c r="P616" t="n">
        <v>0</v>
      </c>
      <c r="Q616" t="n">
        <v>0</v>
      </c>
      <c r="R616" s="2" t="inlineStr"/>
    </row>
    <row r="617" ht="15" customHeight="1">
      <c r="A617" t="inlineStr">
        <is>
          <t>A 55566-2025</t>
        </is>
      </c>
      <c r="B617" s="1" t="n">
        <v>45971.65574074074</v>
      </c>
      <c r="C617" s="1" t="n">
        <v>46128</v>
      </c>
      <c r="D617" t="inlineStr">
        <is>
          <t>VÄSTERBOTTENS LÄN</t>
        </is>
      </c>
      <c r="E617" t="inlineStr">
        <is>
          <t>ÅSELE</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22112-2024</t>
        </is>
      </c>
      <c r="B618" s="1" t="n">
        <v>45443</v>
      </c>
      <c r="C618" s="1" t="n">
        <v>46128</v>
      </c>
      <c r="D618" t="inlineStr">
        <is>
          <t>VÄSTERBOTTENS LÄN</t>
        </is>
      </c>
      <c r="E618" t="inlineStr">
        <is>
          <t>ÅSELE</t>
        </is>
      </c>
      <c r="F618" t="inlineStr">
        <is>
          <t>SCA</t>
        </is>
      </c>
      <c r="G618" t="n">
        <v>25.9</v>
      </c>
      <c r="H618" t="n">
        <v>0</v>
      </c>
      <c r="I618" t="n">
        <v>0</v>
      </c>
      <c r="J618" t="n">
        <v>0</v>
      </c>
      <c r="K618" t="n">
        <v>0</v>
      </c>
      <c r="L618" t="n">
        <v>0</v>
      </c>
      <c r="M618" t="n">
        <v>0</v>
      </c>
      <c r="N618" t="n">
        <v>0</v>
      </c>
      <c r="O618" t="n">
        <v>0</v>
      </c>
      <c r="P618" t="n">
        <v>0</v>
      </c>
      <c r="Q618" t="n">
        <v>0</v>
      </c>
      <c r="R618" s="2" t="inlineStr"/>
    </row>
    <row r="619" ht="15" customHeight="1">
      <c r="A619" t="inlineStr">
        <is>
          <t>A 29736-2024</t>
        </is>
      </c>
      <c r="B619" s="1" t="n">
        <v>45485.38484953704</v>
      </c>
      <c r="C619" s="1" t="n">
        <v>46128</v>
      </c>
      <c r="D619" t="inlineStr">
        <is>
          <t>VÄSTERBOTTENS LÄN</t>
        </is>
      </c>
      <c r="E619" t="inlineStr">
        <is>
          <t>ÅSELE</t>
        </is>
      </c>
      <c r="G619" t="n">
        <v>0.2</v>
      </c>
      <c r="H619" t="n">
        <v>0</v>
      </c>
      <c r="I619" t="n">
        <v>0</v>
      </c>
      <c r="J619" t="n">
        <v>0</v>
      </c>
      <c r="K619" t="n">
        <v>0</v>
      </c>
      <c r="L619" t="n">
        <v>0</v>
      </c>
      <c r="M619" t="n">
        <v>0</v>
      </c>
      <c r="N619" t="n">
        <v>0</v>
      </c>
      <c r="O619" t="n">
        <v>0</v>
      </c>
      <c r="P619" t="n">
        <v>0</v>
      </c>
      <c r="Q619" t="n">
        <v>0</v>
      </c>
      <c r="R619" s="2" t="inlineStr"/>
    </row>
    <row r="620" ht="15" customHeight="1">
      <c r="A620" t="inlineStr">
        <is>
          <t>A 55342-2025</t>
        </is>
      </c>
      <c r="B620" s="1" t="n">
        <v>45971.34835648148</v>
      </c>
      <c r="C620" s="1" t="n">
        <v>46128</v>
      </c>
      <c r="D620" t="inlineStr">
        <is>
          <t>VÄSTERBOTTENS LÄN</t>
        </is>
      </c>
      <c r="E620" t="inlineStr">
        <is>
          <t>ÅSELE</t>
        </is>
      </c>
      <c r="F620" t="inlineStr">
        <is>
          <t>Holmen skog AB</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35554-2025</t>
        </is>
      </c>
      <c r="B621" s="1" t="n">
        <v>45856</v>
      </c>
      <c r="C621" s="1" t="n">
        <v>46128</v>
      </c>
      <c r="D621" t="inlineStr">
        <is>
          <t>VÄSTERBOTTENS LÄN</t>
        </is>
      </c>
      <c r="E621" t="inlineStr">
        <is>
          <t>ÅSELE</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55817-2025</t>
        </is>
      </c>
      <c r="B622" s="1" t="n">
        <v>45972.69997685185</v>
      </c>
      <c r="C622" s="1" t="n">
        <v>46128</v>
      </c>
      <c r="D622" t="inlineStr">
        <is>
          <t>VÄSTERBOTTENS LÄN</t>
        </is>
      </c>
      <c r="E622" t="inlineStr">
        <is>
          <t>ÅSELE</t>
        </is>
      </c>
      <c r="F622" t="inlineStr">
        <is>
          <t>Holmen skog AB</t>
        </is>
      </c>
      <c r="G622" t="n">
        <v>12.1</v>
      </c>
      <c r="H622" t="n">
        <v>0</v>
      </c>
      <c r="I622" t="n">
        <v>0</v>
      </c>
      <c r="J622" t="n">
        <v>0</v>
      </c>
      <c r="K622" t="n">
        <v>0</v>
      </c>
      <c r="L622" t="n">
        <v>0</v>
      </c>
      <c r="M622" t="n">
        <v>0</v>
      </c>
      <c r="N622" t="n">
        <v>0</v>
      </c>
      <c r="O622" t="n">
        <v>0</v>
      </c>
      <c r="P622" t="n">
        <v>0</v>
      </c>
      <c r="Q622" t="n">
        <v>0</v>
      </c>
      <c r="R622" s="2" t="inlineStr"/>
    </row>
    <row r="623" ht="15" customHeight="1">
      <c r="A623" t="inlineStr">
        <is>
          <t>A 35556-2025</t>
        </is>
      </c>
      <c r="B623" s="1" t="n">
        <v>45856.52092592593</v>
      </c>
      <c r="C623" s="1" t="n">
        <v>46128</v>
      </c>
      <c r="D623" t="inlineStr">
        <is>
          <t>VÄSTERBOTTENS LÄN</t>
        </is>
      </c>
      <c r="E623" t="inlineStr">
        <is>
          <t>ÅSELE</t>
        </is>
      </c>
      <c r="F623" t="inlineStr">
        <is>
          <t>Naturvårdsverket</t>
        </is>
      </c>
      <c r="G623" t="n">
        <v>8.9</v>
      </c>
      <c r="H623" t="n">
        <v>0</v>
      </c>
      <c r="I623" t="n">
        <v>0</v>
      </c>
      <c r="J623" t="n">
        <v>0</v>
      </c>
      <c r="K623" t="n">
        <v>0</v>
      </c>
      <c r="L623" t="n">
        <v>0</v>
      </c>
      <c r="M623" t="n">
        <v>0</v>
      </c>
      <c r="N623" t="n">
        <v>0</v>
      </c>
      <c r="O623" t="n">
        <v>0</v>
      </c>
      <c r="P623" t="n">
        <v>0</v>
      </c>
      <c r="Q623" t="n">
        <v>0</v>
      </c>
      <c r="R623" s="2" t="inlineStr"/>
    </row>
    <row r="624" ht="15" customHeight="1">
      <c r="A624" t="inlineStr">
        <is>
          <t>A 35549-2025</t>
        </is>
      </c>
      <c r="B624" s="1" t="n">
        <v>45856.49295138889</v>
      </c>
      <c r="C624" s="1" t="n">
        <v>46128</v>
      </c>
      <c r="D624" t="inlineStr">
        <is>
          <t>VÄSTERBOTTENS LÄN</t>
        </is>
      </c>
      <c r="E624" t="inlineStr">
        <is>
          <t>ÅSELE</t>
        </is>
      </c>
      <c r="F624" t="inlineStr">
        <is>
          <t>Naturvårdsverket</t>
        </is>
      </c>
      <c r="G624" t="n">
        <v>2.4</v>
      </c>
      <c r="H624" t="n">
        <v>0</v>
      </c>
      <c r="I624" t="n">
        <v>0</v>
      </c>
      <c r="J624" t="n">
        <v>0</v>
      </c>
      <c r="K624" t="n">
        <v>0</v>
      </c>
      <c r="L624" t="n">
        <v>0</v>
      </c>
      <c r="M624" t="n">
        <v>0</v>
      </c>
      <c r="N624" t="n">
        <v>0</v>
      </c>
      <c r="O624" t="n">
        <v>0</v>
      </c>
      <c r="P624" t="n">
        <v>0</v>
      </c>
      <c r="Q624" t="n">
        <v>0</v>
      </c>
      <c r="R624" s="2" t="inlineStr"/>
    </row>
    <row r="625" ht="15" customHeight="1">
      <c r="A625" t="inlineStr">
        <is>
          <t>A 55615-2024</t>
        </is>
      </c>
      <c r="B625" s="1" t="n">
        <v>45622.58969907407</v>
      </c>
      <c r="C625" s="1" t="n">
        <v>46128</v>
      </c>
      <c r="D625" t="inlineStr">
        <is>
          <t>VÄSTERBOTTENS LÄN</t>
        </is>
      </c>
      <c r="E625" t="inlineStr">
        <is>
          <t>ÅSELE</t>
        </is>
      </c>
      <c r="G625" t="n">
        <v>1.2</v>
      </c>
      <c r="H625" t="n">
        <v>0</v>
      </c>
      <c r="I625" t="n">
        <v>0</v>
      </c>
      <c r="J625" t="n">
        <v>0</v>
      </c>
      <c r="K625" t="n">
        <v>0</v>
      </c>
      <c r="L625" t="n">
        <v>0</v>
      </c>
      <c r="M625" t="n">
        <v>0</v>
      </c>
      <c r="N625" t="n">
        <v>0</v>
      </c>
      <c r="O625" t="n">
        <v>0</v>
      </c>
      <c r="P625" t="n">
        <v>0</v>
      </c>
      <c r="Q625" t="n">
        <v>0</v>
      </c>
      <c r="R625" s="2" t="inlineStr"/>
    </row>
    <row r="626" ht="15" customHeight="1">
      <c r="A626" t="inlineStr">
        <is>
          <t>A 1136-2025</t>
        </is>
      </c>
      <c r="B626" s="1" t="n">
        <v>45666</v>
      </c>
      <c r="C626" s="1" t="n">
        <v>46128</v>
      </c>
      <c r="D626" t="inlineStr">
        <is>
          <t>VÄSTERBOTTENS LÄN</t>
        </is>
      </c>
      <c r="E626" t="inlineStr">
        <is>
          <t>ÅSELE</t>
        </is>
      </c>
      <c r="G626" t="n">
        <v>18.6</v>
      </c>
      <c r="H626" t="n">
        <v>0</v>
      </c>
      <c r="I626" t="n">
        <v>0</v>
      </c>
      <c r="J626" t="n">
        <v>0</v>
      </c>
      <c r="K626" t="n">
        <v>0</v>
      </c>
      <c r="L626" t="n">
        <v>0</v>
      </c>
      <c r="M626" t="n">
        <v>0</v>
      </c>
      <c r="N626" t="n">
        <v>0</v>
      </c>
      <c r="O626" t="n">
        <v>0</v>
      </c>
      <c r="P626" t="n">
        <v>0</v>
      </c>
      <c r="Q626" t="n">
        <v>0</v>
      </c>
      <c r="R626" s="2" t="inlineStr"/>
    </row>
    <row r="627" ht="15" customHeight="1">
      <c r="A627" t="inlineStr">
        <is>
          <t>A 56291-2025</t>
        </is>
      </c>
      <c r="B627" s="1" t="n">
        <v>45974.5987037037</v>
      </c>
      <c r="C627" s="1" t="n">
        <v>46128</v>
      </c>
      <c r="D627" t="inlineStr">
        <is>
          <t>VÄSTERBOTTENS LÄN</t>
        </is>
      </c>
      <c r="E627" t="inlineStr">
        <is>
          <t>ÅSELE</t>
        </is>
      </c>
      <c r="G627" t="n">
        <v>5.3</v>
      </c>
      <c r="H627" t="n">
        <v>0</v>
      </c>
      <c r="I627" t="n">
        <v>0</v>
      </c>
      <c r="J627" t="n">
        <v>0</v>
      </c>
      <c r="K627" t="n">
        <v>0</v>
      </c>
      <c r="L627" t="n">
        <v>0</v>
      </c>
      <c r="M627" t="n">
        <v>0</v>
      </c>
      <c r="N627" t="n">
        <v>0</v>
      </c>
      <c r="O627" t="n">
        <v>0</v>
      </c>
      <c r="P627" t="n">
        <v>0</v>
      </c>
      <c r="Q627" t="n">
        <v>0</v>
      </c>
      <c r="R627" s="2" t="inlineStr"/>
    </row>
    <row r="628" ht="15" customHeight="1">
      <c r="A628" t="inlineStr">
        <is>
          <t>A 3059-2024</t>
        </is>
      </c>
      <c r="B628" s="1" t="n">
        <v>45316</v>
      </c>
      <c r="C628" s="1" t="n">
        <v>46128</v>
      </c>
      <c r="D628" t="inlineStr">
        <is>
          <t>VÄSTERBOTTENS LÄN</t>
        </is>
      </c>
      <c r="E628" t="inlineStr">
        <is>
          <t>ÅSELE</t>
        </is>
      </c>
      <c r="G628" t="n">
        <v>0.7</v>
      </c>
      <c r="H628" t="n">
        <v>0</v>
      </c>
      <c r="I628" t="n">
        <v>0</v>
      </c>
      <c r="J628" t="n">
        <v>0</v>
      </c>
      <c r="K628" t="n">
        <v>0</v>
      </c>
      <c r="L628" t="n">
        <v>0</v>
      </c>
      <c r="M628" t="n">
        <v>0</v>
      </c>
      <c r="N628" t="n">
        <v>0</v>
      </c>
      <c r="O628" t="n">
        <v>0</v>
      </c>
      <c r="P628" t="n">
        <v>0</v>
      </c>
      <c r="Q628" t="n">
        <v>0</v>
      </c>
      <c r="R628" s="2" t="inlineStr"/>
    </row>
    <row r="629" ht="15" customHeight="1">
      <c r="A629" t="inlineStr">
        <is>
          <t>A 42304-2024</t>
        </is>
      </c>
      <c r="B629" s="1" t="n">
        <v>45562</v>
      </c>
      <c r="C629" s="1" t="n">
        <v>46128</v>
      </c>
      <c r="D629" t="inlineStr">
        <is>
          <t>VÄSTERBOTTENS LÄN</t>
        </is>
      </c>
      <c r="E629" t="inlineStr">
        <is>
          <t>ÅSELE</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56018-2025</t>
        </is>
      </c>
      <c r="B630" s="1" t="n">
        <v>45973.59322916667</v>
      </c>
      <c r="C630" s="1" t="n">
        <v>46128</v>
      </c>
      <c r="D630" t="inlineStr">
        <is>
          <t>VÄSTERBOTTENS LÄN</t>
        </is>
      </c>
      <c r="E630" t="inlineStr">
        <is>
          <t>ÅSELE</t>
        </is>
      </c>
      <c r="F630" t="inlineStr">
        <is>
          <t>Holmen skog AB</t>
        </is>
      </c>
      <c r="G630" t="n">
        <v>8.6</v>
      </c>
      <c r="H630" t="n">
        <v>0</v>
      </c>
      <c r="I630" t="n">
        <v>0</v>
      </c>
      <c r="J630" t="n">
        <v>0</v>
      </c>
      <c r="K630" t="n">
        <v>0</v>
      </c>
      <c r="L630" t="n">
        <v>0</v>
      </c>
      <c r="M630" t="n">
        <v>0</v>
      </c>
      <c r="N630" t="n">
        <v>0</v>
      </c>
      <c r="O630" t="n">
        <v>0</v>
      </c>
      <c r="P630" t="n">
        <v>0</v>
      </c>
      <c r="Q630" t="n">
        <v>0</v>
      </c>
      <c r="R630" s="2" t="inlineStr"/>
    </row>
    <row r="631" ht="15" customHeight="1">
      <c r="A631" t="inlineStr">
        <is>
          <t>A 44894-2024</t>
        </is>
      </c>
      <c r="B631" s="1" t="n">
        <v>45575.36512731481</v>
      </c>
      <c r="C631" s="1" t="n">
        <v>46128</v>
      </c>
      <c r="D631" t="inlineStr">
        <is>
          <t>VÄSTERBOTTENS LÄN</t>
        </is>
      </c>
      <c r="E631" t="inlineStr">
        <is>
          <t>ÅSELE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56551-2025</t>
        </is>
      </c>
      <c r="B632" s="1" t="n">
        <v>45975.48168981481</v>
      </c>
      <c r="C632" s="1" t="n">
        <v>46128</v>
      </c>
      <c r="D632" t="inlineStr">
        <is>
          <t>VÄSTERBOTTENS LÄN</t>
        </is>
      </c>
      <c r="E632" t="inlineStr">
        <is>
          <t>ÅSELE</t>
        </is>
      </c>
      <c r="G632" t="n">
        <v>4.3</v>
      </c>
      <c r="H632" t="n">
        <v>0</v>
      </c>
      <c r="I632" t="n">
        <v>0</v>
      </c>
      <c r="J632" t="n">
        <v>0</v>
      </c>
      <c r="K632" t="n">
        <v>0</v>
      </c>
      <c r="L632" t="n">
        <v>0</v>
      </c>
      <c r="M632" t="n">
        <v>0</v>
      </c>
      <c r="N632" t="n">
        <v>0</v>
      </c>
      <c r="O632" t="n">
        <v>0</v>
      </c>
      <c r="P632" t="n">
        <v>0</v>
      </c>
      <c r="Q632" t="n">
        <v>0</v>
      </c>
      <c r="R632" s="2" t="inlineStr"/>
    </row>
    <row r="633" ht="15" customHeight="1">
      <c r="A633" t="inlineStr">
        <is>
          <t>A 56974-2025</t>
        </is>
      </c>
      <c r="B633" s="1" t="n">
        <v>45978.68910879629</v>
      </c>
      <c r="C633" s="1" t="n">
        <v>46128</v>
      </c>
      <c r="D633" t="inlineStr">
        <is>
          <t>VÄSTERBOTTENS LÄN</t>
        </is>
      </c>
      <c r="E633" t="inlineStr">
        <is>
          <t>ÅSELE</t>
        </is>
      </c>
      <c r="F633" t="inlineStr">
        <is>
          <t>Holmen skog AB</t>
        </is>
      </c>
      <c r="G633" t="n">
        <v>15.5</v>
      </c>
      <c r="H633" t="n">
        <v>0</v>
      </c>
      <c r="I633" t="n">
        <v>0</v>
      </c>
      <c r="J633" t="n">
        <v>0</v>
      </c>
      <c r="K633" t="n">
        <v>0</v>
      </c>
      <c r="L633" t="n">
        <v>0</v>
      </c>
      <c r="M633" t="n">
        <v>0</v>
      </c>
      <c r="N633" t="n">
        <v>0</v>
      </c>
      <c r="O633" t="n">
        <v>0</v>
      </c>
      <c r="P633" t="n">
        <v>0</v>
      </c>
      <c r="Q633" t="n">
        <v>0</v>
      </c>
      <c r="R633" s="2" t="inlineStr"/>
    </row>
    <row r="634" ht="15" customHeight="1">
      <c r="A634" t="inlineStr">
        <is>
          <t>A 35983-2025</t>
        </is>
      </c>
      <c r="B634" s="1" t="n">
        <v>45863.44965277778</v>
      </c>
      <c r="C634" s="1" t="n">
        <v>46128</v>
      </c>
      <c r="D634" t="inlineStr">
        <is>
          <t>VÄSTERBOTTENS LÄN</t>
        </is>
      </c>
      <c r="E634" t="inlineStr">
        <is>
          <t>ÅSELE</t>
        </is>
      </c>
      <c r="F634" t="inlineStr">
        <is>
          <t>Holmen skog AB</t>
        </is>
      </c>
      <c r="G634" t="n">
        <v>4.8</v>
      </c>
      <c r="H634" t="n">
        <v>0</v>
      </c>
      <c r="I634" t="n">
        <v>0</v>
      </c>
      <c r="J634" t="n">
        <v>0</v>
      </c>
      <c r="K634" t="n">
        <v>0</v>
      </c>
      <c r="L634" t="n">
        <v>0</v>
      </c>
      <c r="M634" t="n">
        <v>0</v>
      </c>
      <c r="N634" t="n">
        <v>0</v>
      </c>
      <c r="O634" t="n">
        <v>0</v>
      </c>
      <c r="P634" t="n">
        <v>0</v>
      </c>
      <c r="Q634" t="n">
        <v>0</v>
      </c>
      <c r="R634" s="2" t="inlineStr"/>
    </row>
    <row r="635" ht="15" customHeight="1">
      <c r="A635" t="inlineStr">
        <is>
          <t>A 35976-2025</t>
        </is>
      </c>
      <c r="B635" s="1" t="n">
        <v>45863.44001157407</v>
      </c>
      <c r="C635" s="1" t="n">
        <v>46128</v>
      </c>
      <c r="D635" t="inlineStr">
        <is>
          <t>VÄSTERBOTTENS LÄN</t>
        </is>
      </c>
      <c r="E635" t="inlineStr">
        <is>
          <t>ÅSELE</t>
        </is>
      </c>
      <c r="F635" t="inlineStr">
        <is>
          <t>Holmen skog AB</t>
        </is>
      </c>
      <c r="G635" t="n">
        <v>4.1</v>
      </c>
      <c r="H635" t="n">
        <v>0</v>
      </c>
      <c r="I635" t="n">
        <v>0</v>
      </c>
      <c r="J635" t="n">
        <v>0</v>
      </c>
      <c r="K635" t="n">
        <v>0</v>
      </c>
      <c r="L635" t="n">
        <v>0</v>
      </c>
      <c r="M635" t="n">
        <v>0</v>
      </c>
      <c r="N635" t="n">
        <v>0</v>
      </c>
      <c r="O635" t="n">
        <v>0</v>
      </c>
      <c r="P635" t="n">
        <v>0</v>
      </c>
      <c r="Q635" t="n">
        <v>0</v>
      </c>
      <c r="R635" s="2" t="inlineStr"/>
    </row>
    <row r="636" ht="15" customHeight="1">
      <c r="A636" t="inlineStr">
        <is>
          <t>A 49879-2024</t>
        </is>
      </c>
      <c r="B636" s="1" t="n">
        <v>45597.49931712963</v>
      </c>
      <c r="C636" s="1" t="n">
        <v>46128</v>
      </c>
      <c r="D636" t="inlineStr">
        <is>
          <t>VÄSTERBOTTENS LÄN</t>
        </is>
      </c>
      <c r="E636" t="inlineStr">
        <is>
          <t>ÅSELE</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36372-2025</t>
        </is>
      </c>
      <c r="B637" s="1" t="n">
        <v>45867</v>
      </c>
      <c r="C637" s="1" t="n">
        <v>46128</v>
      </c>
      <c r="D637" t="inlineStr">
        <is>
          <t>VÄSTERBOTTENS LÄN</t>
        </is>
      </c>
      <c r="E637" t="inlineStr">
        <is>
          <t>ÅSELE</t>
        </is>
      </c>
      <c r="G637" t="n">
        <v>4.3</v>
      </c>
      <c r="H637" t="n">
        <v>0</v>
      </c>
      <c r="I637" t="n">
        <v>0</v>
      </c>
      <c r="J637" t="n">
        <v>0</v>
      </c>
      <c r="K637" t="n">
        <v>0</v>
      </c>
      <c r="L637" t="n">
        <v>0</v>
      </c>
      <c r="M637" t="n">
        <v>0</v>
      </c>
      <c r="N637" t="n">
        <v>0</v>
      </c>
      <c r="O637" t="n">
        <v>0</v>
      </c>
      <c r="P637" t="n">
        <v>0</v>
      </c>
      <c r="Q637" t="n">
        <v>0</v>
      </c>
      <c r="R637" s="2" t="inlineStr"/>
    </row>
    <row r="638" ht="15" customHeight="1">
      <c r="A638" t="inlineStr">
        <is>
          <t>A 56562-2025</t>
        </is>
      </c>
      <c r="B638" s="1" t="n">
        <v>45975.49438657407</v>
      </c>
      <c r="C638" s="1" t="n">
        <v>46128</v>
      </c>
      <c r="D638" t="inlineStr">
        <is>
          <t>VÄSTERBOTTENS LÄN</t>
        </is>
      </c>
      <c r="E638" t="inlineStr">
        <is>
          <t>ÅSELE</t>
        </is>
      </c>
      <c r="G638" t="n">
        <v>0.8</v>
      </c>
      <c r="H638" t="n">
        <v>0</v>
      </c>
      <c r="I638" t="n">
        <v>0</v>
      </c>
      <c r="J638" t="n">
        <v>0</v>
      </c>
      <c r="K638" t="n">
        <v>0</v>
      </c>
      <c r="L638" t="n">
        <v>0</v>
      </c>
      <c r="M638" t="n">
        <v>0</v>
      </c>
      <c r="N638" t="n">
        <v>0</v>
      </c>
      <c r="O638" t="n">
        <v>0</v>
      </c>
      <c r="P638" t="n">
        <v>0</v>
      </c>
      <c r="Q638" t="n">
        <v>0</v>
      </c>
      <c r="R638" s="2" t="inlineStr"/>
    </row>
    <row r="639" ht="15" customHeight="1">
      <c r="A639" t="inlineStr">
        <is>
          <t>A 36370-2025</t>
        </is>
      </c>
      <c r="B639" s="1" t="n">
        <v>45867</v>
      </c>
      <c r="C639" s="1" t="n">
        <v>46128</v>
      </c>
      <c r="D639" t="inlineStr">
        <is>
          <t>VÄSTERBOTTENS LÄN</t>
        </is>
      </c>
      <c r="E639" t="inlineStr">
        <is>
          <t>ÅSELE</t>
        </is>
      </c>
      <c r="G639" t="n">
        <v>4.3</v>
      </c>
      <c r="H639" t="n">
        <v>0</v>
      </c>
      <c r="I639" t="n">
        <v>0</v>
      </c>
      <c r="J639" t="n">
        <v>0</v>
      </c>
      <c r="K639" t="n">
        <v>0</v>
      </c>
      <c r="L639" t="n">
        <v>0</v>
      </c>
      <c r="M639" t="n">
        <v>0</v>
      </c>
      <c r="N639" t="n">
        <v>0</v>
      </c>
      <c r="O639" t="n">
        <v>0</v>
      </c>
      <c r="P639" t="n">
        <v>0</v>
      </c>
      <c r="Q639" t="n">
        <v>0</v>
      </c>
      <c r="R639" s="2" t="inlineStr"/>
    </row>
    <row r="640" ht="15" customHeight="1">
      <c r="A640" t="inlineStr">
        <is>
          <t>A 36376-2025</t>
        </is>
      </c>
      <c r="B640" s="1" t="n">
        <v>45868.56623842593</v>
      </c>
      <c r="C640" s="1" t="n">
        <v>46128</v>
      </c>
      <c r="D640" t="inlineStr">
        <is>
          <t>VÄSTERBOTTENS LÄN</t>
        </is>
      </c>
      <c r="E640" t="inlineStr">
        <is>
          <t>ÅSELE</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32942-2024</t>
        </is>
      </c>
      <c r="B641" s="1" t="n">
        <v>45517</v>
      </c>
      <c r="C641" s="1" t="n">
        <v>46128</v>
      </c>
      <c r="D641" t="inlineStr">
        <is>
          <t>VÄSTERBOTTENS LÄN</t>
        </is>
      </c>
      <c r="E641" t="inlineStr">
        <is>
          <t>ÅSELE</t>
        </is>
      </c>
      <c r="G641" t="n">
        <v>1.1</v>
      </c>
      <c r="H641" t="n">
        <v>0</v>
      </c>
      <c r="I641" t="n">
        <v>0</v>
      </c>
      <c r="J641" t="n">
        <v>0</v>
      </c>
      <c r="K641" t="n">
        <v>0</v>
      </c>
      <c r="L641" t="n">
        <v>0</v>
      </c>
      <c r="M641" t="n">
        <v>0</v>
      </c>
      <c r="N641" t="n">
        <v>0</v>
      </c>
      <c r="O641" t="n">
        <v>0</v>
      </c>
      <c r="P641" t="n">
        <v>0</v>
      </c>
      <c r="Q641" t="n">
        <v>0</v>
      </c>
      <c r="R641" s="2" t="inlineStr"/>
    </row>
    <row r="642" ht="15" customHeight="1">
      <c r="A642" t="inlineStr">
        <is>
          <t>A 36154-2025</t>
        </is>
      </c>
      <c r="B642" s="1" t="n">
        <v>45867.34443287037</v>
      </c>
      <c r="C642" s="1" t="n">
        <v>46128</v>
      </c>
      <c r="D642" t="inlineStr">
        <is>
          <t>VÄSTERBOTTENS LÄN</t>
        </is>
      </c>
      <c r="E642" t="inlineStr">
        <is>
          <t>ÅSELE</t>
        </is>
      </c>
      <c r="F642" t="inlineStr">
        <is>
          <t>SCA</t>
        </is>
      </c>
      <c r="G642" t="n">
        <v>19.9</v>
      </c>
      <c r="H642" t="n">
        <v>0</v>
      </c>
      <c r="I642" t="n">
        <v>0</v>
      </c>
      <c r="J642" t="n">
        <v>0</v>
      </c>
      <c r="K642" t="n">
        <v>0</v>
      </c>
      <c r="L642" t="n">
        <v>0</v>
      </c>
      <c r="M642" t="n">
        <v>0</v>
      </c>
      <c r="N642" t="n">
        <v>0</v>
      </c>
      <c r="O642" t="n">
        <v>0</v>
      </c>
      <c r="P642" t="n">
        <v>0</v>
      </c>
      <c r="Q642" t="n">
        <v>0</v>
      </c>
      <c r="R642" s="2" t="inlineStr"/>
    </row>
    <row r="643" ht="15" customHeight="1">
      <c r="A643" t="inlineStr">
        <is>
          <t>A 56583-2025</t>
        </is>
      </c>
      <c r="B643" s="1" t="n">
        <v>45975.5490625</v>
      </c>
      <c r="C643" s="1" t="n">
        <v>46128</v>
      </c>
      <c r="D643" t="inlineStr">
        <is>
          <t>VÄSTERBOTTENS LÄN</t>
        </is>
      </c>
      <c r="E643" t="inlineStr">
        <is>
          <t>ÅSELE</t>
        </is>
      </c>
      <c r="G643" t="n">
        <v>11.6</v>
      </c>
      <c r="H643" t="n">
        <v>0</v>
      </c>
      <c r="I643" t="n">
        <v>0</v>
      </c>
      <c r="J643" t="n">
        <v>0</v>
      </c>
      <c r="K643" t="n">
        <v>0</v>
      </c>
      <c r="L643" t="n">
        <v>0</v>
      </c>
      <c r="M643" t="n">
        <v>0</v>
      </c>
      <c r="N643" t="n">
        <v>0</v>
      </c>
      <c r="O643" t="n">
        <v>0</v>
      </c>
      <c r="P643" t="n">
        <v>0</v>
      </c>
      <c r="Q643" t="n">
        <v>0</v>
      </c>
      <c r="R643" s="2" t="inlineStr"/>
    </row>
    <row r="644" ht="15" customHeight="1">
      <c r="A644" t="inlineStr">
        <is>
          <t>A 36278-2025</t>
        </is>
      </c>
      <c r="B644" s="1" t="n">
        <v>45867</v>
      </c>
      <c r="C644" s="1" t="n">
        <v>46128</v>
      </c>
      <c r="D644" t="inlineStr">
        <is>
          <t>VÄSTERBOTTENS LÄN</t>
        </is>
      </c>
      <c r="E644" t="inlineStr">
        <is>
          <t>ÅSELE</t>
        </is>
      </c>
      <c r="F644" t="inlineStr">
        <is>
          <t>SCA</t>
        </is>
      </c>
      <c r="G644" t="n">
        <v>11.3</v>
      </c>
      <c r="H644" t="n">
        <v>0</v>
      </c>
      <c r="I644" t="n">
        <v>0</v>
      </c>
      <c r="J644" t="n">
        <v>0</v>
      </c>
      <c r="K644" t="n">
        <v>0</v>
      </c>
      <c r="L644" t="n">
        <v>0</v>
      </c>
      <c r="M644" t="n">
        <v>0</v>
      </c>
      <c r="N644" t="n">
        <v>0</v>
      </c>
      <c r="O644" t="n">
        <v>0</v>
      </c>
      <c r="P644" t="n">
        <v>0</v>
      </c>
      <c r="Q644" t="n">
        <v>0</v>
      </c>
      <c r="R644" s="2" t="inlineStr"/>
    </row>
    <row r="645" ht="15" customHeight="1">
      <c r="A645" t="inlineStr">
        <is>
          <t>A 36198-2025</t>
        </is>
      </c>
      <c r="B645" s="1" t="n">
        <v>45867.43743055555</v>
      </c>
      <c r="C645" s="1" t="n">
        <v>46128</v>
      </c>
      <c r="D645" t="inlineStr">
        <is>
          <t>VÄSTERBOTTENS LÄN</t>
        </is>
      </c>
      <c r="E645" t="inlineStr">
        <is>
          <t>ÅSELE</t>
        </is>
      </c>
      <c r="F645" t="inlineStr">
        <is>
          <t>Holmen skog AB</t>
        </is>
      </c>
      <c r="G645" t="n">
        <v>14.9</v>
      </c>
      <c r="H645" t="n">
        <v>0</v>
      </c>
      <c r="I645" t="n">
        <v>0</v>
      </c>
      <c r="J645" t="n">
        <v>0</v>
      </c>
      <c r="K645" t="n">
        <v>0</v>
      </c>
      <c r="L645" t="n">
        <v>0</v>
      </c>
      <c r="M645" t="n">
        <v>0</v>
      </c>
      <c r="N645" t="n">
        <v>0</v>
      </c>
      <c r="O645" t="n">
        <v>0</v>
      </c>
      <c r="P645" t="n">
        <v>0</v>
      </c>
      <c r="Q645" t="n">
        <v>0</v>
      </c>
      <c r="R645" s="2" t="inlineStr"/>
    </row>
    <row r="646" ht="15" customHeight="1">
      <c r="A646" t="inlineStr">
        <is>
          <t>A 36413-2025</t>
        </is>
      </c>
      <c r="B646" s="1" t="n">
        <v>45868.69234953704</v>
      </c>
      <c r="C646" s="1" t="n">
        <v>46128</v>
      </c>
      <c r="D646" t="inlineStr">
        <is>
          <t>VÄSTERBOTTENS LÄN</t>
        </is>
      </c>
      <c r="E646" t="inlineStr">
        <is>
          <t>ÅSELE</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36220-2025</t>
        </is>
      </c>
      <c r="B647" s="1" t="n">
        <v>45867.505</v>
      </c>
      <c r="C647" s="1" t="n">
        <v>46128</v>
      </c>
      <c r="D647" t="inlineStr">
        <is>
          <t>VÄSTERBOTTENS LÄN</t>
        </is>
      </c>
      <c r="E647" t="inlineStr">
        <is>
          <t>ÅSELE</t>
        </is>
      </c>
      <c r="F647" t="inlineStr">
        <is>
          <t>Holmen skog AB</t>
        </is>
      </c>
      <c r="G647" t="n">
        <v>5.6</v>
      </c>
      <c r="H647" t="n">
        <v>0</v>
      </c>
      <c r="I647" t="n">
        <v>0</v>
      </c>
      <c r="J647" t="n">
        <v>0</v>
      </c>
      <c r="K647" t="n">
        <v>0</v>
      </c>
      <c r="L647" t="n">
        <v>0</v>
      </c>
      <c r="M647" t="n">
        <v>0</v>
      </c>
      <c r="N647" t="n">
        <v>0</v>
      </c>
      <c r="O647" t="n">
        <v>0</v>
      </c>
      <c r="P647" t="n">
        <v>0</v>
      </c>
      <c r="Q647" t="n">
        <v>0</v>
      </c>
      <c r="R647" s="2" t="inlineStr"/>
    </row>
    <row r="648" ht="15" customHeight="1">
      <c r="A648" t="inlineStr">
        <is>
          <t>A 36315-2025</t>
        </is>
      </c>
      <c r="B648" s="1" t="n">
        <v>45868</v>
      </c>
      <c r="C648" s="1" t="n">
        <v>46128</v>
      </c>
      <c r="D648" t="inlineStr">
        <is>
          <t>VÄSTERBOTTENS LÄN</t>
        </is>
      </c>
      <c r="E648" t="inlineStr">
        <is>
          <t>ÅSELE</t>
        </is>
      </c>
      <c r="G648" t="n">
        <v>1.6</v>
      </c>
      <c r="H648" t="n">
        <v>0</v>
      </c>
      <c r="I648" t="n">
        <v>0</v>
      </c>
      <c r="J648" t="n">
        <v>0</v>
      </c>
      <c r="K648" t="n">
        <v>0</v>
      </c>
      <c r="L648" t="n">
        <v>0</v>
      </c>
      <c r="M648" t="n">
        <v>0</v>
      </c>
      <c r="N648" t="n">
        <v>0</v>
      </c>
      <c r="O648" t="n">
        <v>0</v>
      </c>
      <c r="P648" t="n">
        <v>0</v>
      </c>
      <c r="Q648" t="n">
        <v>0</v>
      </c>
      <c r="R648" s="2" t="inlineStr"/>
    </row>
    <row r="649" ht="15" customHeight="1">
      <c r="A649" t="inlineStr">
        <is>
          <t>A 36174-2025</t>
        </is>
      </c>
      <c r="B649" s="1" t="n">
        <v>45867.39787037037</v>
      </c>
      <c r="C649" s="1" t="n">
        <v>46128</v>
      </c>
      <c r="D649" t="inlineStr">
        <is>
          <t>VÄSTERBOTTENS LÄN</t>
        </is>
      </c>
      <c r="E649" t="inlineStr">
        <is>
          <t>ÅSELE</t>
        </is>
      </c>
      <c r="F649" t="inlineStr">
        <is>
          <t>Holmen skog AB</t>
        </is>
      </c>
      <c r="G649" t="n">
        <v>4.5</v>
      </c>
      <c r="H649" t="n">
        <v>0</v>
      </c>
      <c r="I649" t="n">
        <v>0</v>
      </c>
      <c r="J649" t="n">
        <v>0</v>
      </c>
      <c r="K649" t="n">
        <v>0</v>
      </c>
      <c r="L649" t="n">
        <v>0</v>
      </c>
      <c r="M649" t="n">
        <v>0</v>
      </c>
      <c r="N649" t="n">
        <v>0</v>
      </c>
      <c r="O649" t="n">
        <v>0</v>
      </c>
      <c r="P649" t="n">
        <v>0</v>
      </c>
      <c r="Q649" t="n">
        <v>0</v>
      </c>
      <c r="R649" s="2" t="inlineStr"/>
    </row>
    <row r="650" ht="15" customHeight="1">
      <c r="A650" t="inlineStr">
        <is>
          <t>A 36301-2025</t>
        </is>
      </c>
      <c r="B650" s="1" t="n">
        <v>45867.70578703703</v>
      </c>
      <c r="C650" s="1" t="n">
        <v>46128</v>
      </c>
      <c r="D650" t="inlineStr">
        <is>
          <t>VÄSTERBOTTENS LÄN</t>
        </is>
      </c>
      <c r="E650" t="inlineStr">
        <is>
          <t>ÅSELE</t>
        </is>
      </c>
      <c r="F650" t="inlineStr">
        <is>
          <t>Holmen skog AB</t>
        </is>
      </c>
      <c r="G650" t="n">
        <v>3.5</v>
      </c>
      <c r="H650" t="n">
        <v>0</v>
      </c>
      <c r="I650" t="n">
        <v>0</v>
      </c>
      <c r="J650" t="n">
        <v>0</v>
      </c>
      <c r="K650" t="n">
        <v>0</v>
      </c>
      <c r="L650" t="n">
        <v>0</v>
      </c>
      <c r="M650" t="n">
        <v>0</v>
      </c>
      <c r="N650" t="n">
        <v>0</v>
      </c>
      <c r="O650" t="n">
        <v>0</v>
      </c>
      <c r="P650" t="n">
        <v>0</v>
      </c>
      <c r="Q650" t="n">
        <v>0</v>
      </c>
      <c r="R650" s="2" t="inlineStr"/>
    </row>
    <row r="651" ht="15" customHeight="1">
      <c r="A651" t="inlineStr">
        <is>
          <t>A 56536-2025</t>
        </is>
      </c>
      <c r="B651" s="1" t="n">
        <v>45975.47174768519</v>
      </c>
      <c r="C651" s="1" t="n">
        <v>46128</v>
      </c>
      <c r="D651" t="inlineStr">
        <is>
          <t>VÄSTERBOTTENS LÄN</t>
        </is>
      </c>
      <c r="E651" t="inlineStr">
        <is>
          <t>ÅSELE</t>
        </is>
      </c>
      <c r="F651" t="inlineStr">
        <is>
          <t>Holmen skog AB</t>
        </is>
      </c>
      <c r="G651" t="n">
        <v>13.3</v>
      </c>
      <c r="H651" t="n">
        <v>0</v>
      </c>
      <c r="I651" t="n">
        <v>0</v>
      </c>
      <c r="J651" t="n">
        <v>0</v>
      </c>
      <c r="K651" t="n">
        <v>0</v>
      </c>
      <c r="L651" t="n">
        <v>0</v>
      </c>
      <c r="M651" t="n">
        <v>0</v>
      </c>
      <c r="N651" t="n">
        <v>0</v>
      </c>
      <c r="O651" t="n">
        <v>0</v>
      </c>
      <c r="P651" t="n">
        <v>0</v>
      </c>
      <c r="Q651" t="n">
        <v>0</v>
      </c>
      <c r="R651" s="2" t="inlineStr"/>
    </row>
    <row r="652" ht="15" customHeight="1">
      <c r="A652" t="inlineStr">
        <is>
          <t>A 36393-2025</t>
        </is>
      </c>
      <c r="B652" s="1" t="n">
        <v>45868.61376157407</v>
      </c>
      <c r="C652" s="1" t="n">
        <v>46128</v>
      </c>
      <c r="D652" t="inlineStr">
        <is>
          <t>VÄSTERBOTTENS LÄN</t>
        </is>
      </c>
      <c r="E652" t="inlineStr">
        <is>
          <t>ÅSELE</t>
        </is>
      </c>
      <c r="F652" t="inlineStr">
        <is>
          <t>Holmen skog AB</t>
        </is>
      </c>
      <c r="G652" t="n">
        <v>4.7</v>
      </c>
      <c r="H652" t="n">
        <v>0</v>
      </c>
      <c r="I652" t="n">
        <v>0</v>
      </c>
      <c r="J652" t="n">
        <v>0</v>
      </c>
      <c r="K652" t="n">
        <v>0</v>
      </c>
      <c r="L652" t="n">
        <v>0</v>
      </c>
      <c r="M652" t="n">
        <v>0</v>
      </c>
      <c r="N652" t="n">
        <v>0</v>
      </c>
      <c r="O652" t="n">
        <v>0</v>
      </c>
      <c r="P652" t="n">
        <v>0</v>
      </c>
      <c r="Q652" t="n">
        <v>0</v>
      </c>
      <c r="R652" s="2" t="inlineStr"/>
    </row>
    <row r="653" ht="15" customHeight="1">
      <c r="A653" t="inlineStr">
        <is>
          <t>A 61530-2024</t>
        </is>
      </c>
      <c r="B653" s="1" t="n">
        <v>45645</v>
      </c>
      <c r="C653" s="1" t="n">
        <v>46128</v>
      </c>
      <c r="D653" t="inlineStr">
        <is>
          <t>VÄSTERBOTTENS LÄN</t>
        </is>
      </c>
      <c r="E653" t="inlineStr">
        <is>
          <t>ÅSELE</t>
        </is>
      </c>
      <c r="G653" t="n">
        <v>1.2</v>
      </c>
      <c r="H653" t="n">
        <v>0</v>
      </c>
      <c r="I653" t="n">
        <v>0</v>
      </c>
      <c r="J653" t="n">
        <v>0</v>
      </c>
      <c r="K653" t="n">
        <v>0</v>
      </c>
      <c r="L653" t="n">
        <v>0</v>
      </c>
      <c r="M653" t="n">
        <v>0</v>
      </c>
      <c r="N653" t="n">
        <v>0</v>
      </c>
      <c r="O653" t="n">
        <v>0</v>
      </c>
      <c r="P653" t="n">
        <v>0</v>
      </c>
      <c r="Q653" t="n">
        <v>0</v>
      </c>
      <c r="R653" s="2" t="inlineStr"/>
    </row>
    <row r="654" ht="15" customHeight="1">
      <c r="A654" t="inlineStr">
        <is>
          <t>A 36400-2025</t>
        </is>
      </c>
      <c r="B654" s="1" t="n">
        <v>45868</v>
      </c>
      <c r="C654" s="1" t="n">
        <v>46128</v>
      </c>
      <c r="D654" t="inlineStr">
        <is>
          <t>VÄSTERBOTTENS LÄN</t>
        </is>
      </c>
      <c r="E654" t="inlineStr">
        <is>
          <t>ÅSELE</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36296-2025</t>
        </is>
      </c>
      <c r="B655" s="1" t="n">
        <v>45867.68413194444</v>
      </c>
      <c r="C655" s="1" t="n">
        <v>46128</v>
      </c>
      <c r="D655" t="inlineStr">
        <is>
          <t>VÄSTERBOTTENS LÄN</t>
        </is>
      </c>
      <c r="E655" t="inlineStr">
        <is>
          <t>ÅSELE</t>
        </is>
      </c>
      <c r="F655" t="inlineStr">
        <is>
          <t>Holmen skog AB</t>
        </is>
      </c>
      <c r="G655" t="n">
        <v>3.4</v>
      </c>
      <c r="H655" t="n">
        <v>0</v>
      </c>
      <c r="I655" t="n">
        <v>0</v>
      </c>
      <c r="J655" t="n">
        <v>0</v>
      </c>
      <c r="K655" t="n">
        <v>0</v>
      </c>
      <c r="L655" t="n">
        <v>0</v>
      </c>
      <c r="M655" t="n">
        <v>0</v>
      </c>
      <c r="N655" t="n">
        <v>0</v>
      </c>
      <c r="O655" t="n">
        <v>0</v>
      </c>
      <c r="P655" t="n">
        <v>0</v>
      </c>
      <c r="Q655" t="n">
        <v>0</v>
      </c>
      <c r="R655" s="2" t="inlineStr"/>
    </row>
    <row r="656" ht="15" customHeight="1">
      <c r="A656" t="inlineStr">
        <is>
          <t>A 36275-2025</t>
        </is>
      </c>
      <c r="B656" s="1" t="n">
        <v>45867.63604166666</v>
      </c>
      <c r="C656" s="1" t="n">
        <v>46128</v>
      </c>
      <c r="D656" t="inlineStr">
        <is>
          <t>VÄSTERBOTTENS LÄN</t>
        </is>
      </c>
      <c r="E656" t="inlineStr">
        <is>
          <t>ÅSELE</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56743-2025</t>
        </is>
      </c>
      <c r="B657" s="1" t="n">
        <v>45978.36053240741</v>
      </c>
      <c r="C657" s="1" t="n">
        <v>46128</v>
      </c>
      <c r="D657" t="inlineStr">
        <is>
          <t>VÄSTERBOTTENS LÄN</t>
        </is>
      </c>
      <c r="E657" t="inlineStr">
        <is>
          <t>ÅSELE</t>
        </is>
      </c>
      <c r="G657" t="n">
        <v>2.3</v>
      </c>
      <c r="H657" t="n">
        <v>0</v>
      </c>
      <c r="I657" t="n">
        <v>0</v>
      </c>
      <c r="J657" t="n">
        <v>0</v>
      </c>
      <c r="K657" t="n">
        <v>0</v>
      </c>
      <c r="L657" t="n">
        <v>0</v>
      </c>
      <c r="M657" t="n">
        <v>0</v>
      </c>
      <c r="N657" t="n">
        <v>0</v>
      </c>
      <c r="O657" t="n">
        <v>0</v>
      </c>
      <c r="P657" t="n">
        <v>0</v>
      </c>
      <c r="Q657" t="n">
        <v>0</v>
      </c>
      <c r="R657" s="2" t="inlineStr"/>
    </row>
    <row r="658" ht="15" customHeight="1">
      <c r="A658" t="inlineStr">
        <is>
          <t>A 60493-2024</t>
        </is>
      </c>
      <c r="B658" s="1" t="n">
        <v>45643.65672453704</v>
      </c>
      <c r="C658" s="1" t="n">
        <v>46128</v>
      </c>
      <c r="D658" t="inlineStr">
        <is>
          <t>VÄSTERBOTTENS LÄN</t>
        </is>
      </c>
      <c r="E658" t="inlineStr">
        <is>
          <t>ÅSELE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61534-2024</t>
        </is>
      </c>
      <c r="B659" s="1" t="n">
        <v>45645</v>
      </c>
      <c r="C659" s="1" t="n">
        <v>46128</v>
      </c>
      <c r="D659" t="inlineStr">
        <is>
          <t>VÄSTERBOTTENS LÄN</t>
        </is>
      </c>
      <c r="E659" t="inlineStr">
        <is>
          <t>ÅSELE</t>
        </is>
      </c>
      <c r="G659" t="n">
        <v>0.9</v>
      </c>
      <c r="H659" t="n">
        <v>0</v>
      </c>
      <c r="I659" t="n">
        <v>0</v>
      </c>
      <c r="J659" t="n">
        <v>0</v>
      </c>
      <c r="K659" t="n">
        <v>0</v>
      </c>
      <c r="L659" t="n">
        <v>0</v>
      </c>
      <c r="M659" t="n">
        <v>0</v>
      </c>
      <c r="N659" t="n">
        <v>0</v>
      </c>
      <c r="O659" t="n">
        <v>0</v>
      </c>
      <c r="P659" t="n">
        <v>0</v>
      </c>
      <c r="Q659" t="n">
        <v>0</v>
      </c>
      <c r="R659" s="2" t="inlineStr"/>
    </row>
    <row r="660" ht="15" customHeight="1">
      <c r="A660" t="inlineStr">
        <is>
          <t>A 36609-2025</t>
        </is>
      </c>
      <c r="B660" s="1" t="n">
        <v>45870.57207175926</v>
      </c>
      <c r="C660" s="1" t="n">
        <v>46128</v>
      </c>
      <c r="D660" t="inlineStr">
        <is>
          <t>VÄSTERBOTTENS LÄN</t>
        </is>
      </c>
      <c r="E660" t="inlineStr">
        <is>
          <t>ÅSELE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36467-2025</t>
        </is>
      </c>
      <c r="B661" s="1" t="n">
        <v>45869.47054398148</v>
      </c>
      <c r="C661" s="1" t="n">
        <v>46128</v>
      </c>
      <c r="D661" t="inlineStr">
        <is>
          <t>VÄSTERBOTTENS LÄN</t>
        </is>
      </c>
      <c r="E661" t="inlineStr">
        <is>
          <t>ÅSELE</t>
        </is>
      </c>
      <c r="F661" t="inlineStr">
        <is>
          <t>Holmen skog AB</t>
        </is>
      </c>
      <c r="G661" t="n">
        <v>4.9</v>
      </c>
      <c r="H661" t="n">
        <v>0</v>
      </c>
      <c r="I661" t="n">
        <v>0</v>
      </c>
      <c r="J661" t="n">
        <v>0</v>
      </c>
      <c r="K661" t="n">
        <v>0</v>
      </c>
      <c r="L661" t="n">
        <v>0</v>
      </c>
      <c r="M661" t="n">
        <v>0</v>
      </c>
      <c r="N661" t="n">
        <v>0</v>
      </c>
      <c r="O661" t="n">
        <v>0</v>
      </c>
      <c r="P661" t="n">
        <v>0</v>
      </c>
      <c r="Q661" t="n">
        <v>0</v>
      </c>
      <c r="R661" s="2" t="inlineStr"/>
    </row>
    <row r="662" ht="15" customHeight="1">
      <c r="A662" t="inlineStr">
        <is>
          <t>A 36559-2025</t>
        </is>
      </c>
      <c r="B662" s="1" t="n">
        <v>45870.36071759259</v>
      </c>
      <c r="C662" s="1" t="n">
        <v>46128</v>
      </c>
      <c r="D662" t="inlineStr">
        <is>
          <t>VÄSTERBOTTENS LÄN</t>
        </is>
      </c>
      <c r="E662" t="inlineStr">
        <is>
          <t>ÅSELE</t>
        </is>
      </c>
      <c r="F662" t="inlineStr">
        <is>
          <t>Holmen skog AB</t>
        </is>
      </c>
      <c r="G662" t="n">
        <v>6.6</v>
      </c>
      <c r="H662" t="n">
        <v>0</v>
      </c>
      <c r="I662" t="n">
        <v>0</v>
      </c>
      <c r="J662" t="n">
        <v>0</v>
      </c>
      <c r="K662" t="n">
        <v>0</v>
      </c>
      <c r="L662" t="n">
        <v>0</v>
      </c>
      <c r="M662" t="n">
        <v>0</v>
      </c>
      <c r="N662" t="n">
        <v>0</v>
      </c>
      <c r="O662" t="n">
        <v>0</v>
      </c>
      <c r="P662" t="n">
        <v>0</v>
      </c>
      <c r="Q662" t="n">
        <v>0</v>
      </c>
      <c r="R662" s="2" t="inlineStr"/>
    </row>
    <row r="663" ht="15" customHeight="1">
      <c r="A663" t="inlineStr">
        <is>
          <t>A 57339-2025</t>
        </is>
      </c>
      <c r="B663" s="1" t="n">
        <v>45980.345625</v>
      </c>
      <c r="C663" s="1" t="n">
        <v>46128</v>
      </c>
      <c r="D663" t="inlineStr">
        <is>
          <t>VÄSTERBOTTENS LÄN</t>
        </is>
      </c>
      <c r="E663" t="inlineStr">
        <is>
          <t>ÅSELE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36634-2025</t>
        </is>
      </c>
      <c r="B664" s="1" t="n">
        <v>45870.69335648148</v>
      </c>
      <c r="C664" s="1" t="n">
        <v>46128</v>
      </c>
      <c r="D664" t="inlineStr">
        <is>
          <t>VÄSTERBOTTENS LÄN</t>
        </is>
      </c>
      <c r="E664" t="inlineStr">
        <is>
          <t>ÅSELE</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36576-2025</t>
        </is>
      </c>
      <c r="B665" s="1" t="n">
        <v>45870.41331018518</v>
      </c>
      <c r="C665" s="1" t="n">
        <v>46128</v>
      </c>
      <c r="D665" t="inlineStr">
        <is>
          <t>VÄSTERBOTTENS LÄN</t>
        </is>
      </c>
      <c r="E665" t="inlineStr">
        <is>
          <t>ÅSELE</t>
        </is>
      </c>
      <c r="F665" t="inlineStr">
        <is>
          <t>Holmen skog AB</t>
        </is>
      </c>
      <c r="G665" t="n">
        <v>7.7</v>
      </c>
      <c r="H665" t="n">
        <v>0</v>
      </c>
      <c r="I665" t="n">
        <v>0</v>
      </c>
      <c r="J665" t="n">
        <v>0</v>
      </c>
      <c r="K665" t="n">
        <v>0</v>
      </c>
      <c r="L665" t="n">
        <v>0</v>
      </c>
      <c r="M665" t="n">
        <v>0</v>
      </c>
      <c r="N665" t="n">
        <v>0</v>
      </c>
      <c r="O665" t="n">
        <v>0</v>
      </c>
      <c r="P665" t="n">
        <v>0</v>
      </c>
      <c r="Q665" t="n">
        <v>0</v>
      </c>
      <c r="R665" s="2" t="inlineStr"/>
    </row>
    <row r="666" ht="15" customHeight="1">
      <c r="A666" t="inlineStr">
        <is>
          <t>A 36952-2025</t>
        </is>
      </c>
      <c r="B666" s="1" t="n">
        <v>45874.6078587963</v>
      </c>
      <c r="C666" s="1" t="n">
        <v>46128</v>
      </c>
      <c r="D666" t="inlineStr">
        <is>
          <t>VÄSTERBOTTENS LÄN</t>
        </is>
      </c>
      <c r="E666" t="inlineStr">
        <is>
          <t>ÅSELE</t>
        </is>
      </c>
      <c r="G666" t="n">
        <v>10.6</v>
      </c>
      <c r="H666" t="n">
        <v>0</v>
      </c>
      <c r="I666" t="n">
        <v>0</v>
      </c>
      <c r="J666" t="n">
        <v>0</v>
      </c>
      <c r="K666" t="n">
        <v>0</v>
      </c>
      <c r="L666" t="n">
        <v>0</v>
      </c>
      <c r="M666" t="n">
        <v>0</v>
      </c>
      <c r="N666" t="n">
        <v>0</v>
      </c>
      <c r="O666" t="n">
        <v>0</v>
      </c>
      <c r="P666" t="n">
        <v>0</v>
      </c>
      <c r="Q666" t="n">
        <v>0</v>
      </c>
      <c r="R666" s="2" t="inlineStr"/>
    </row>
    <row r="667" ht="15" customHeight="1">
      <c r="A667" t="inlineStr">
        <is>
          <t>A 57118-2025</t>
        </is>
      </c>
      <c r="B667" s="1" t="n">
        <v>45979.4640625</v>
      </c>
      <c r="C667" s="1" t="n">
        <v>46128</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42037-2023</t>
        </is>
      </c>
      <c r="B668" s="1" t="n">
        <v>45177.50853009259</v>
      </c>
      <c r="C668" s="1" t="n">
        <v>46128</v>
      </c>
      <c r="D668" t="inlineStr">
        <is>
          <t>VÄSTERBOTTENS LÄN</t>
        </is>
      </c>
      <c r="E668" t="inlineStr">
        <is>
          <t>ÅSELE</t>
        </is>
      </c>
      <c r="F668" t="inlineStr">
        <is>
          <t>Holmen skog AB</t>
        </is>
      </c>
      <c r="G668" t="n">
        <v>4.7</v>
      </c>
      <c r="H668" t="n">
        <v>0</v>
      </c>
      <c r="I668" t="n">
        <v>0</v>
      </c>
      <c r="J668" t="n">
        <v>0</v>
      </c>
      <c r="K668" t="n">
        <v>0</v>
      </c>
      <c r="L668" t="n">
        <v>0</v>
      </c>
      <c r="M668" t="n">
        <v>0</v>
      </c>
      <c r="N668" t="n">
        <v>0</v>
      </c>
      <c r="O668" t="n">
        <v>0</v>
      </c>
      <c r="P668" t="n">
        <v>0</v>
      </c>
      <c r="Q668" t="n">
        <v>0</v>
      </c>
      <c r="R668" s="2" t="inlineStr"/>
    </row>
    <row r="669" ht="15" customHeight="1">
      <c r="A669" t="inlineStr">
        <is>
          <t>A 29617-2023</t>
        </is>
      </c>
      <c r="B669" s="1" t="n">
        <v>45106.94461805555</v>
      </c>
      <c r="C669" s="1" t="n">
        <v>46128</v>
      </c>
      <c r="D669" t="inlineStr">
        <is>
          <t>VÄSTERBOTTENS LÄN</t>
        </is>
      </c>
      <c r="E669" t="inlineStr">
        <is>
          <t>ÅSELE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32059-2024</t>
        </is>
      </c>
      <c r="B670" s="1" t="n">
        <v>45510.97013888889</v>
      </c>
      <c r="C670" s="1" t="n">
        <v>46128</v>
      </c>
      <c r="D670" t="inlineStr">
        <is>
          <t>VÄSTERBOTTENS LÄN</t>
        </is>
      </c>
      <c r="E670" t="inlineStr">
        <is>
          <t>ÅSELE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57379-2025</t>
        </is>
      </c>
      <c r="B671" s="1" t="n">
        <v>45980.40270833333</v>
      </c>
      <c r="C671" s="1" t="n">
        <v>46128</v>
      </c>
      <c r="D671" t="inlineStr">
        <is>
          <t>VÄSTERBOTTENS LÄN</t>
        </is>
      </c>
      <c r="E671" t="inlineStr">
        <is>
          <t>ÅSELE</t>
        </is>
      </c>
      <c r="G671" t="n">
        <v>1.4</v>
      </c>
      <c r="H671" t="n">
        <v>0</v>
      </c>
      <c r="I671" t="n">
        <v>0</v>
      </c>
      <c r="J671" t="n">
        <v>0</v>
      </c>
      <c r="K671" t="n">
        <v>0</v>
      </c>
      <c r="L671" t="n">
        <v>0</v>
      </c>
      <c r="M671" t="n">
        <v>0</v>
      </c>
      <c r="N671" t="n">
        <v>0</v>
      </c>
      <c r="O671" t="n">
        <v>0</v>
      </c>
      <c r="P671" t="n">
        <v>0</v>
      </c>
      <c r="Q671" t="n">
        <v>0</v>
      </c>
      <c r="R671" s="2" t="inlineStr"/>
    </row>
    <row r="672" ht="15" customHeight="1">
      <c r="A672" t="inlineStr">
        <is>
          <t>A 34578-2024</t>
        </is>
      </c>
      <c r="B672" s="1" t="n">
        <v>45526.36461805556</v>
      </c>
      <c r="C672" s="1" t="n">
        <v>46128</v>
      </c>
      <c r="D672" t="inlineStr">
        <is>
          <t>VÄSTERBOTTENS LÄN</t>
        </is>
      </c>
      <c r="E672" t="inlineStr">
        <is>
          <t>ÅSELE</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33571-2021</t>
        </is>
      </c>
      <c r="B673" s="1" t="n">
        <v>44377</v>
      </c>
      <c r="C673" s="1" t="n">
        <v>46128</v>
      </c>
      <c r="D673" t="inlineStr">
        <is>
          <t>VÄSTERBOTTENS LÄN</t>
        </is>
      </c>
      <c r="E673" t="inlineStr">
        <is>
          <t>ÅSELE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17858-2023</t>
        </is>
      </c>
      <c r="B674" s="1" t="n">
        <v>45037.94150462963</v>
      </c>
      <c r="C674" s="1" t="n">
        <v>46128</v>
      </c>
      <c r="D674" t="inlineStr">
        <is>
          <t>VÄSTERBOTTENS LÄN</t>
        </is>
      </c>
      <c r="E674" t="inlineStr">
        <is>
          <t>ÅSELE</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23996-2022</t>
        </is>
      </c>
      <c r="B675" s="1" t="n">
        <v>44722</v>
      </c>
      <c r="C675" s="1" t="n">
        <v>46128</v>
      </c>
      <c r="D675" t="inlineStr">
        <is>
          <t>VÄSTERBOTTENS LÄN</t>
        </is>
      </c>
      <c r="E675" t="inlineStr">
        <is>
          <t>ÅSELE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36955-2025</t>
        </is>
      </c>
      <c r="B676" s="1" t="n">
        <v>45874.61203703703</v>
      </c>
      <c r="C676" s="1" t="n">
        <v>46128</v>
      </c>
      <c r="D676" t="inlineStr">
        <is>
          <t>VÄSTERBOTTENS LÄN</t>
        </is>
      </c>
      <c r="E676" t="inlineStr">
        <is>
          <t>ÅSELE</t>
        </is>
      </c>
      <c r="G676" t="n">
        <v>0.9</v>
      </c>
      <c r="H676" t="n">
        <v>0</v>
      </c>
      <c r="I676" t="n">
        <v>0</v>
      </c>
      <c r="J676" t="n">
        <v>0</v>
      </c>
      <c r="K676" t="n">
        <v>0</v>
      </c>
      <c r="L676" t="n">
        <v>0</v>
      </c>
      <c r="M676" t="n">
        <v>0</v>
      </c>
      <c r="N676" t="n">
        <v>0</v>
      </c>
      <c r="O676" t="n">
        <v>0</v>
      </c>
      <c r="P676" t="n">
        <v>0</v>
      </c>
      <c r="Q676" t="n">
        <v>0</v>
      </c>
      <c r="R676" s="2" t="inlineStr"/>
    </row>
    <row r="677" ht="15" customHeight="1">
      <c r="A677" t="inlineStr">
        <is>
          <t>A 19614-2025</t>
        </is>
      </c>
      <c r="B677" s="1" t="n">
        <v>45770.61505787037</v>
      </c>
      <c r="C677" s="1" t="n">
        <v>46128</v>
      </c>
      <c r="D677" t="inlineStr">
        <is>
          <t>VÄSTERBOTTENS LÄN</t>
        </is>
      </c>
      <c r="E677" t="inlineStr">
        <is>
          <t>ÅSELE</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57895-2025</t>
        </is>
      </c>
      <c r="B678" s="1" t="n">
        <v>45981.70042824074</v>
      </c>
      <c r="C678" s="1" t="n">
        <v>46128</v>
      </c>
      <c r="D678" t="inlineStr">
        <is>
          <t>VÄSTERBOTTENS LÄN</t>
        </is>
      </c>
      <c r="E678" t="inlineStr">
        <is>
          <t>ÅSELE</t>
        </is>
      </c>
      <c r="F678" t="inlineStr">
        <is>
          <t>Holmen skog AB</t>
        </is>
      </c>
      <c r="G678" t="n">
        <v>10.3</v>
      </c>
      <c r="H678" t="n">
        <v>0</v>
      </c>
      <c r="I678" t="n">
        <v>0</v>
      </c>
      <c r="J678" t="n">
        <v>0</v>
      </c>
      <c r="K678" t="n">
        <v>0</v>
      </c>
      <c r="L678" t="n">
        <v>0</v>
      </c>
      <c r="M678" t="n">
        <v>0</v>
      </c>
      <c r="N678" t="n">
        <v>0</v>
      </c>
      <c r="O678" t="n">
        <v>0</v>
      </c>
      <c r="P678" t="n">
        <v>0</v>
      </c>
      <c r="Q678" t="n">
        <v>0</v>
      </c>
      <c r="R678" s="2" t="inlineStr"/>
    </row>
    <row r="679" ht="15" customHeight="1">
      <c r="A679" t="inlineStr">
        <is>
          <t>A 49926-2023</t>
        </is>
      </c>
      <c r="B679" s="1" t="n">
        <v>45214.87300925926</v>
      </c>
      <c r="C679" s="1" t="n">
        <v>46128</v>
      </c>
      <c r="D679" t="inlineStr">
        <is>
          <t>VÄSTERBOTTENS LÄN</t>
        </is>
      </c>
      <c r="E679" t="inlineStr">
        <is>
          <t>ÅSELE</t>
        </is>
      </c>
      <c r="F679" t="inlineStr">
        <is>
          <t>Holmen skog AB</t>
        </is>
      </c>
      <c r="G679" t="n">
        <v>3.5</v>
      </c>
      <c r="H679" t="n">
        <v>0</v>
      </c>
      <c r="I679" t="n">
        <v>0</v>
      </c>
      <c r="J679" t="n">
        <v>0</v>
      </c>
      <c r="K679" t="n">
        <v>0</v>
      </c>
      <c r="L679" t="n">
        <v>0</v>
      </c>
      <c r="M679" t="n">
        <v>0</v>
      </c>
      <c r="N679" t="n">
        <v>0</v>
      </c>
      <c r="O679" t="n">
        <v>0</v>
      </c>
      <c r="P679" t="n">
        <v>0</v>
      </c>
      <c r="Q679" t="n">
        <v>0</v>
      </c>
      <c r="R679" s="2" t="inlineStr"/>
    </row>
    <row r="680" ht="15" customHeight="1">
      <c r="A680" t="inlineStr">
        <is>
          <t>A 49928-2023</t>
        </is>
      </c>
      <c r="B680" s="1" t="n">
        <v>45214.93665509259</v>
      </c>
      <c r="C680" s="1" t="n">
        <v>46128</v>
      </c>
      <c r="D680" t="inlineStr">
        <is>
          <t>VÄSTERBOTTENS LÄN</t>
        </is>
      </c>
      <c r="E680" t="inlineStr">
        <is>
          <t>ÅSELE</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36837-2025</t>
        </is>
      </c>
      <c r="B681" s="1" t="n">
        <v>45874.36677083333</v>
      </c>
      <c r="C681" s="1" t="n">
        <v>46128</v>
      </c>
      <c r="D681" t="inlineStr">
        <is>
          <t>VÄSTERBOTTENS LÄN</t>
        </is>
      </c>
      <c r="E681" t="inlineStr">
        <is>
          <t>ÅSELE</t>
        </is>
      </c>
      <c r="G681" t="n">
        <v>8.4</v>
      </c>
      <c r="H681" t="n">
        <v>0</v>
      </c>
      <c r="I681" t="n">
        <v>0</v>
      </c>
      <c r="J681" t="n">
        <v>0</v>
      </c>
      <c r="K681" t="n">
        <v>0</v>
      </c>
      <c r="L681" t="n">
        <v>0</v>
      </c>
      <c r="M681" t="n">
        <v>0</v>
      </c>
      <c r="N681" t="n">
        <v>0</v>
      </c>
      <c r="O681" t="n">
        <v>0</v>
      </c>
      <c r="P681" t="n">
        <v>0</v>
      </c>
      <c r="Q681" t="n">
        <v>0</v>
      </c>
      <c r="R681" s="2" t="inlineStr"/>
    </row>
    <row r="682" ht="15" customHeight="1">
      <c r="A682" t="inlineStr">
        <is>
          <t>A 27868-2023</t>
        </is>
      </c>
      <c r="B682" s="1" t="n">
        <v>45098</v>
      </c>
      <c r="C682" s="1" t="n">
        <v>46128</v>
      </c>
      <c r="D682" t="inlineStr">
        <is>
          <t>VÄSTERBOTTENS LÄN</t>
        </is>
      </c>
      <c r="E682" t="inlineStr">
        <is>
          <t>ÅSELE</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2893-2025</t>
        </is>
      </c>
      <c r="B683" s="1" t="n">
        <v>45677</v>
      </c>
      <c r="C683" s="1" t="n">
        <v>46128</v>
      </c>
      <c r="D683" t="inlineStr">
        <is>
          <t>VÄSTERBOTTENS LÄN</t>
        </is>
      </c>
      <c r="E683" t="inlineStr">
        <is>
          <t>ÅSELE</t>
        </is>
      </c>
      <c r="G683" t="n">
        <v>2.9</v>
      </c>
      <c r="H683" t="n">
        <v>0</v>
      </c>
      <c r="I683" t="n">
        <v>0</v>
      </c>
      <c r="J683" t="n">
        <v>0</v>
      </c>
      <c r="K683" t="n">
        <v>0</v>
      </c>
      <c r="L683" t="n">
        <v>0</v>
      </c>
      <c r="M683" t="n">
        <v>0</v>
      </c>
      <c r="N683" t="n">
        <v>0</v>
      </c>
      <c r="O683" t="n">
        <v>0</v>
      </c>
      <c r="P683" t="n">
        <v>0</v>
      </c>
      <c r="Q683" t="n">
        <v>0</v>
      </c>
      <c r="R683" s="2" t="inlineStr"/>
    </row>
    <row r="684" ht="15" customHeight="1">
      <c r="A684" t="inlineStr">
        <is>
          <t>A 54957-2024</t>
        </is>
      </c>
      <c r="B684" s="1" t="n">
        <v>45619</v>
      </c>
      <c r="C684" s="1" t="n">
        <v>46128</v>
      </c>
      <c r="D684" t="inlineStr">
        <is>
          <t>VÄSTERBOTTENS LÄN</t>
        </is>
      </c>
      <c r="E684" t="inlineStr">
        <is>
          <t>ÅSELE</t>
        </is>
      </c>
      <c r="F684" t="inlineStr">
        <is>
          <t>SCA</t>
        </is>
      </c>
      <c r="G684" t="n">
        <v>17.4</v>
      </c>
      <c r="H684" t="n">
        <v>0</v>
      </c>
      <c r="I684" t="n">
        <v>0</v>
      </c>
      <c r="J684" t="n">
        <v>0</v>
      </c>
      <c r="K684" t="n">
        <v>0</v>
      </c>
      <c r="L684" t="n">
        <v>0</v>
      </c>
      <c r="M684" t="n">
        <v>0</v>
      </c>
      <c r="N684" t="n">
        <v>0</v>
      </c>
      <c r="O684" t="n">
        <v>0</v>
      </c>
      <c r="P684" t="n">
        <v>0</v>
      </c>
      <c r="Q684" t="n">
        <v>0</v>
      </c>
      <c r="R684" s="2" t="inlineStr"/>
    </row>
    <row r="685" ht="15" customHeight="1">
      <c r="A685" t="inlineStr">
        <is>
          <t>A 57697-2025</t>
        </is>
      </c>
      <c r="B685" s="1" t="n">
        <v>45981.45693287037</v>
      </c>
      <c r="C685" s="1" t="n">
        <v>46128</v>
      </c>
      <c r="D685" t="inlineStr">
        <is>
          <t>VÄSTERBOTTENS LÄN</t>
        </is>
      </c>
      <c r="E685" t="inlineStr">
        <is>
          <t>ÅSELE</t>
        </is>
      </c>
      <c r="G685" t="n">
        <v>5.5</v>
      </c>
      <c r="H685" t="n">
        <v>0</v>
      </c>
      <c r="I685" t="n">
        <v>0</v>
      </c>
      <c r="J685" t="n">
        <v>0</v>
      </c>
      <c r="K685" t="n">
        <v>0</v>
      </c>
      <c r="L685" t="n">
        <v>0</v>
      </c>
      <c r="M685" t="n">
        <v>0</v>
      </c>
      <c r="N685" t="n">
        <v>0</v>
      </c>
      <c r="O685" t="n">
        <v>0</v>
      </c>
      <c r="P685" t="n">
        <v>0</v>
      </c>
      <c r="Q685" t="n">
        <v>0</v>
      </c>
      <c r="R685" s="2" t="inlineStr"/>
    </row>
    <row r="686" ht="15" customHeight="1">
      <c r="A686" t="inlineStr">
        <is>
          <t>A 58423-2025</t>
        </is>
      </c>
      <c r="B686" s="1" t="n">
        <v>45985.59456018519</v>
      </c>
      <c r="C686" s="1" t="n">
        <v>46128</v>
      </c>
      <c r="D686" t="inlineStr">
        <is>
          <t>VÄSTERBOTTENS LÄN</t>
        </is>
      </c>
      <c r="E686" t="inlineStr">
        <is>
          <t>ÅSELE</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58441-2025</t>
        </is>
      </c>
      <c r="B687" s="1" t="n">
        <v>45985.61600694444</v>
      </c>
      <c r="C687" s="1" t="n">
        <v>46128</v>
      </c>
      <c r="D687" t="inlineStr">
        <is>
          <t>VÄSTERBOTTENS LÄN</t>
        </is>
      </c>
      <c r="E687" t="inlineStr">
        <is>
          <t>ÅSELE</t>
        </is>
      </c>
      <c r="F687" t="inlineStr">
        <is>
          <t>Sveaskog</t>
        </is>
      </c>
      <c r="G687" t="n">
        <v>7.4</v>
      </c>
      <c r="H687" t="n">
        <v>0</v>
      </c>
      <c r="I687" t="n">
        <v>0</v>
      </c>
      <c r="J687" t="n">
        <v>0</v>
      </c>
      <c r="K687" t="n">
        <v>0</v>
      </c>
      <c r="L687" t="n">
        <v>0</v>
      </c>
      <c r="M687" t="n">
        <v>0</v>
      </c>
      <c r="N687" t="n">
        <v>0</v>
      </c>
      <c r="O687" t="n">
        <v>0</v>
      </c>
      <c r="P687" t="n">
        <v>0</v>
      </c>
      <c r="Q687" t="n">
        <v>0</v>
      </c>
      <c r="R687" s="2" t="inlineStr"/>
    </row>
    <row r="688" ht="15" customHeight="1">
      <c r="A688" t="inlineStr">
        <is>
          <t>A 56258-2023</t>
        </is>
      </c>
      <c r="B688" s="1" t="n">
        <v>45240.94754629629</v>
      </c>
      <c r="C688" s="1" t="n">
        <v>46128</v>
      </c>
      <c r="D688" t="inlineStr">
        <is>
          <t>VÄSTERBOTTENS LÄN</t>
        </is>
      </c>
      <c r="E688" t="inlineStr">
        <is>
          <t>ÅSELE</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58465-2025</t>
        </is>
      </c>
      <c r="B689" s="1" t="n">
        <v>45985.63663194444</v>
      </c>
      <c r="C689" s="1" t="n">
        <v>46128</v>
      </c>
      <c r="D689" t="inlineStr">
        <is>
          <t>VÄSTERBOTTENS LÄN</t>
        </is>
      </c>
      <c r="E689" t="inlineStr">
        <is>
          <t>ÅSELE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58460-2025</t>
        </is>
      </c>
      <c r="B690" s="1" t="n">
        <v>45985.63626157407</v>
      </c>
      <c r="C690" s="1" t="n">
        <v>46128</v>
      </c>
      <c r="D690" t="inlineStr">
        <is>
          <t>VÄSTERBOTTENS LÄN</t>
        </is>
      </c>
      <c r="E690" t="inlineStr">
        <is>
          <t>ÅSELE</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37363-2025</t>
        </is>
      </c>
      <c r="B691" s="1" t="n">
        <v>45877.31953703704</v>
      </c>
      <c r="C691" s="1" t="n">
        <v>46128</v>
      </c>
      <c r="D691" t="inlineStr">
        <is>
          <t>VÄSTERBOTTENS LÄN</t>
        </is>
      </c>
      <c r="E691" t="inlineStr">
        <is>
          <t>ÅSELE</t>
        </is>
      </c>
      <c r="F691" t="inlineStr">
        <is>
          <t>Naturvårdsverket</t>
        </is>
      </c>
      <c r="G691" t="n">
        <v>19.4</v>
      </c>
      <c r="H691" t="n">
        <v>0</v>
      </c>
      <c r="I691" t="n">
        <v>0</v>
      </c>
      <c r="J691" t="n">
        <v>0</v>
      </c>
      <c r="K691" t="n">
        <v>0</v>
      </c>
      <c r="L691" t="n">
        <v>0</v>
      </c>
      <c r="M691" t="n">
        <v>0</v>
      </c>
      <c r="N691" t="n">
        <v>0</v>
      </c>
      <c r="O691" t="n">
        <v>0</v>
      </c>
      <c r="P691" t="n">
        <v>0</v>
      </c>
      <c r="Q691" t="n">
        <v>0</v>
      </c>
      <c r="R691" s="2" t="inlineStr"/>
    </row>
    <row r="692" ht="15" customHeight="1">
      <c r="A692" t="inlineStr">
        <is>
          <t>A 36042-2023</t>
        </is>
      </c>
      <c r="B692" s="1" t="n">
        <v>45149</v>
      </c>
      <c r="C692" s="1" t="n">
        <v>46128</v>
      </c>
      <c r="D692" t="inlineStr">
        <is>
          <t>VÄSTERBOTTENS LÄN</t>
        </is>
      </c>
      <c r="E692" t="inlineStr">
        <is>
          <t>ÅSELE</t>
        </is>
      </c>
      <c r="F692" t="inlineStr">
        <is>
          <t>Holmen skog AB</t>
        </is>
      </c>
      <c r="G692" t="n">
        <v>0.8</v>
      </c>
      <c r="H692" t="n">
        <v>0</v>
      </c>
      <c r="I692" t="n">
        <v>0</v>
      </c>
      <c r="J692" t="n">
        <v>0</v>
      </c>
      <c r="K692" t="n">
        <v>0</v>
      </c>
      <c r="L692" t="n">
        <v>0</v>
      </c>
      <c r="M692" t="n">
        <v>0</v>
      </c>
      <c r="N692" t="n">
        <v>0</v>
      </c>
      <c r="O692" t="n">
        <v>0</v>
      </c>
      <c r="P692" t="n">
        <v>0</v>
      </c>
      <c r="Q692" t="n">
        <v>0</v>
      </c>
      <c r="R692" s="2" t="inlineStr"/>
    </row>
    <row r="693" ht="15" customHeight="1">
      <c r="A693" t="inlineStr">
        <is>
          <t>A 58704-2025</t>
        </is>
      </c>
      <c r="B693" s="1" t="n">
        <v>45986.598125</v>
      </c>
      <c r="C693" s="1" t="n">
        <v>46128</v>
      </c>
      <c r="D693" t="inlineStr">
        <is>
          <t>VÄSTERBOTTENS LÄN</t>
        </is>
      </c>
      <c r="E693" t="inlineStr">
        <is>
          <t>ÅSELE</t>
        </is>
      </c>
      <c r="F693" t="inlineStr">
        <is>
          <t>Holmen skog AB</t>
        </is>
      </c>
      <c r="G693" t="n">
        <v>2.4</v>
      </c>
      <c r="H693" t="n">
        <v>0</v>
      </c>
      <c r="I693" t="n">
        <v>0</v>
      </c>
      <c r="J693" t="n">
        <v>0</v>
      </c>
      <c r="K693" t="n">
        <v>0</v>
      </c>
      <c r="L693" t="n">
        <v>0</v>
      </c>
      <c r="M693" t="n">
        <v>0</v>
      </c>
      <c r="N693" t="n">
        <v>0</v>
      </c>
      <c r="O693" t="n">
        <v>0</v>
      </c>
      <c r="P693" t="n">
        <v>0</v>
      </c>
      <c r="Q693" t="n">
        <v>0</v>
      </c>
      <c r="R693" s="2" t="inlineStr"/>
    </row>
    <row r="694" ht="15" customHeight="1">
      <c r="A694" t="inlineStr">
        <is>
          <t>A 58622-2025</t>
        </is>
      </c>
      <c r="B694" s="1" t="n">
        <v>45986.46958333333</v>
      </c>
      <c r="C694" s="1" t="n">
        <v>46128</v>
      </c>
      <c r="D694" t="inlineStr">
        <is>
          <t>VÄSTERBOTTENS LÄN</t>
        </is>
      </c>
      <c r="E694" t="inlineStr">
        <is>
          <t>ÅSELE</t>
        </is>
      </c>
      <c r="G694" t="n">
        <v>1.2</v>
      </c>
      <c r="H694" t="n">
        <v>0</v>
      </c>
      <c r="I694" t="n">
        <v>0</v>
      </c>
      <c r="J694" t="n">
        <v>0</v>
      </c>
      <c r="K694" t="n">
        <v>0</v>
      </c>
      <c r="L694" t="n">
        <v>0</v>
      </c>
      <c r="M694" t="n">
        <v>0</v>
      </c>
      <c r="N694" t="n">
        <v>0</v>
      </c>
      <c r="O694" t="n">
        <v>0</v>
      </c>
      <c r="P694" t="n">
        <v>0</v>
      </c>
      <c r="Q694" t="n">
        <v>0</v>
      </c>
      <c r="R694" s="2" t="inlineStr"/>
    </row>
    <row r="695" ht="15" customHeight="1">
      <c r="A695" t="inlineStr">
        <is>
          <t>A 58434-2025</t>
        </is>
      </c>
      <c r="B695" s="1" t="n">
        <v>45985.61247685185</v>
      </c>
      <c r="C695" s="1" t="n">
        <v>46128</v>
      </c>
      <c r="D695" t="inlineStr">
        <is>
          <t>VÄSTERBOTTENS LÄN</t>
        </is>
      </c>
      <c r="E695" t="inlineStr">
        <is>
          <t>ÅSELE</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35861-2023</t>
        </is>
      </c>
      <c r="B696" s="1" t="n">
        <v>45147</v>
      </c>
      <c r="C696" s="1" t="n">
        <v>46128</v>
      </c>
      <c r="D696" t="inlineStr">
        <is>
          <t>VÄSTERBOTTENS LÄN</t>
        </is>
      </c>
      <c r="E696" t="inlineStr">
        <is>
          <t>ÅSELE</t>
        </is>
      </c>
      <c r="G696" t="n">
        <v>0.6</v>
      </c>
      <c r="H696" t="n">
        <v>0</v>
      </c>
      <c r="I696" t="n">
        <v>0</v>
      </c>
      <c r="J696" t="n">
        <v>0</v>
      </c>
      <c r="K696" t="n">
        <v>0</v>
      </c>
      <c r="L696" t="n">
        <v>0</v>
      </c>
      <c r="M696" t="n">
        <v>0</v>
      </c>
      <c r="N696" t="n">
        <v>0</v>
      </c>
      <c r="O696" t="n">
        <v>0</v>
      </c>
      <c r="P696" t="n">
        <v>0</v>
      </c>
      <c r="Q696" t="n">
        <v>0</v>
      </c>
      <c r="R696" s="2" t="inlineStr"/>
    </row>
    <row r="697" ht="15" customHeight="1">
      <c r="A697" t="inlineStr">
        <is>
          <t>A 37769-2025</t>
        </is>
      </c>
      <c r="B697" s="1" t="n">
        <v>45880.74818287037</v>
      </c>
      <c r="C697" s="1" t="n">
        <v>46128</v>
      </c>
      <c r="D697" t="inlineStr">
        <is>
          <t>VÄSTERBOTTENS LÄN</t>
        </is>
      </c>
      <c r="E697" t="inlineStr">
        <is>
          <t>ÅSELE</t>
        </is>
      </c>
      <c r="G697" t="n">
        <v>1.2</v>
      </c>
      <c r="H697" t="n">
        <v>0</v>
      </c>
      <c r="I697" t="n">
        <v>0</v>
      </c>
      <c r="J697" t="n">
        <v>0</v>
      </c>
      <c r="K697" t="n">
        <v>0</v>
      </c>
      <c r="L697" t="n">
        <v>0</v>
      </c>
      <c r="M697" t="n">
        <v>0</v>
      </c>
      <c r="N697" t="n">
        <v>0</v>
      </c>
      <c r="O697" t="n">
        <v>0</v>
      </c>
      <c r="P697" t="n">
        <v>0</v>
      </c>
      <c r="Q697" t="n">
        <v>0</v>
      </c>
      <c r="R697" s="2" t="inlineStr"/>
    </row>
    <row r="698" ht="15" customHeight="1">
      <c r="A698" t="inlineStr">
        <is>
          <t>A 20140-2022</t>
        </is>
      </c>
      <c r="B698" s="1" t="n">
        <v>44698</v>
      </c>
      <c r="C698" s="1" t="n">
        <v>46128</v>
      </c>
      <c r="D698" t="inlineStr">
        <is>
          <t>VÄSTERBOTTENS LÄN</t>
        </is>
      </c>
      <c r="E698" t="inlineStr">
        <is>
          <t>ÅSELE</t>
        </is>
      </c>
      <c r="F698" t="inlineStr">
        <is>
          <t>Holmen skog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38195-2025</t>
        </is>
      </c>
      <c r="B699" s="1" t="n">
        <v>45882.65986111111</v>
      </c>
      <c r="C699" s="1" t="n">
        <v>46128</v>
      </c>
      <c r="D699" t="inlineStr">
        <is>
          <t>VÄSTERBOTTENS LÄN</t>
        </is>
      </c>
      <c r="E699" t="inlineStr">
        <is>
          <t>ÅSELE</t>
        </is>
      </c>
      <c r="G699" t="n">
        <v>4.7</v>
      </c>
      <c r="H699" t="n">
        <v>0</v>
      </c>
      <c r="I699" t="n">
        <v>0</v>
      </c>
      <c r="J699" t="n">
        <v>0</v>
      </c>
      <c r="K699" t="n">
        <v>0</v>
      </c>
      <c r="L699" t="n">
        <v>0</v>
      </c>
      <c r="M699" t="n">
        <v>0</v>
      </c>
      <c r="N699" t="n">
        <v>0</v>
      </c>
      <c r="O699" t="n">
        <v>0</v>
      </c>
      <c r="P699" t="n">
        <v>0</v>
      </c>
      <c r="Q699" t="n">
        <v>0</v>
      </c>
      <c r="R699" s="2" t="inlineStr"/>
    </row>
    <row r="700" ht="15" customHeight="1">
      <c r="A700" t="inlineStr">
        <is>
          <t>A 20455-2025</t>
        </is>
      </c>
      <c r="B700" s="1" t="n">
        <v>45775</v>
      </c>
      <c r="C700" s="1" t="n">
        <v>46128</v>
      </c>
      <c r="D700" t="inlineStr">
        <is>
          <t>VÄSTERBOTTENS LÄN</t>
        </is>
      </c>
      <c r="E700" t="inlineStr">
        <is>
          <t>ÅSELE</t>
        </is>
      </c>
      <c r="F700" t="inlineStr">
        <is>
          <t>SCA</t>
        </is>
      </c>
      <c r="G700" t="n">
        <v>18.4</v>
      </c>
      <c r="H700" t="n">
        <v>0</v>
      </c>
      <c r="I700" t="n">
        <v>0</v>
      </c>
      <c r="J700" t="n">
        <v>0</v>
      </c>
      <c r="K700" t="n">
        <v>0</v>
      </c>
      <c r="L700" t="n">
        <v>0</v>
      </c>
      <c r="M700" t="n">
        <v>0</v>
      </c>
      <c r="N700" t="n">
        <v>0</v>
      </c>
      <c r="O700" t="n">
        <v>0</v>
      </c>
      <c r="P700" t="n">
        <v>0</v>
      </c>
      <c r="Q700" t="n">
        <v>0</v>
      </c>
      <c r="R700" s="2" t="inlineStr"/>
    </row>
    <row r="701" ht="15" customHeight="1">
      <c r="A701" t="inlineStr">
        <is>
          <t>A 38181-2025</t>
        </is>
      </c>
      <c r="B701" s="1" t="n">
        <v>45882.64618055556</v>
      </c>
      <c r="C701" s="1" t="n">
        <v>46128</v>
      </c>
      <c r="D701" t="inlineStr">
        <is>
          <t>VÄSTERBOTTENS LÄN</t>
        </is>
      </c>
      <c r="E701" t="inlineStr">
        <is>
          <t>ÅSELE</t>
        </is>
      </c>
      <c r="G701" t="n">
        <v>3.9</v>
      </c>
      <c r="H701" t="n">
        <v>0</v>
      </c>
      <c r="I701" t="n">
        <v>0</v>
      </c>
      <c r="J701" t="n">
        <v>0</v>
      </c>
      <c r="K701" t="n">
        <v>0</v>
      </c>
      <c r="L701" t="n">
        <v>0</v>
      </c>
      <c r="M701" t="n">
        <v>0</v>
      </c>
      <c r="N701" t="n">
        <v>0</v>
      </c>
      <c r="O701" t="n">
        <v>0</v>
      </c>
      <c r="P701" t="n">
        <v>0</v>
      </c>
      <c r="Q701" t="n">
        <v>0</v>
      </c>
      <c r="R701" s="2" t="inlineStr"/>
    </row>
    <row r="702" ht="15" customHeight="1">
      <c r="A702" t="inlineStr">
        <is>
          <t>A 38184-2025</t>
        </is>
      </c>
      <c r="B702" s="1" t="n">
        <v>45882.64888888889</v>
      </c>
      <c r="C702" s="1" t="n">
        <v>46128</v>
      </c>
      <c r="D702" t="inlineStr">
        <is>
          <t>VÄSTERBOTTENS LÄN</t>
        </is>
      </c>
      <c r="E702" t="inlineStr">
        <is>
          <t>ÅSELE</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37868-2025</t>
        </is>
      </c>
      <c r="B703" s="1" t="n">
        <v>45881.4718287037</v>
      </c>
      <c r="C703" s="1" t="n">
        <v>46128</v>
      </c>
      <c r="D703" t="inlineStr">
        <is>
          <t>VÄSTERBOTTENS LÄN</t>
        </is>
      </c>
      <c r="E703" t="inlineStr">
        <is>
          <t>ÅSELE</t>
        </is>
      </c>
      <c r="F703" t="inlineStr">
        <is>
          <t>Kyrkan</t>
        </is>
      </c>
      <c r="G703" t="n">
        <v>1.8</v>
      </c>
      <c r="H703" t="n">
        <v>0</v>
      </c>
      <c r="I703" t="n">
        <v>0</v>
      </c>
      <c r="J703" t="n">
        <v>0</v>
      </c>
      <c r="K703" t="n">
        <v>0</v>
      </c>
      <c r="L703" t="n">
        <v>0</v>
      </c>
      <c r="M703" t="n">
        <v>0</v>
      </c>
      <c r="N703" t="n">
        <v>0</v>
      </c>
      <c r="O703" t="n">
        <v>0</v>
      </c>
      <c r="P703" t="n">
        <v>0</v>
      </c>
      <c r="Q703" t="n">
        <v>0</v>
      </c>
      <c r="R703" s="2" t="inlineStr"/>
    </row>
    <row r="704" ht="15" customHeight="1">
      <c r="A704" t="inlineStr">
        <is>
          <t>A 38189-2025</t>
        </is>
      </c>
      <c r="B704" s="1" t="n">
        <v>45882.65576388889</v>
      </c>
      <c r="C704" s="1" t="n">
        <v>46128</v>
      </c>
      <c r="D704" t="inlineStr">
        <is>
          <t>VÄSTERBOTTENS LÄN</t>
        </is>
      </c>
      <c r="E704" t="inlineStr">
        <is>
          <t>ÅSELE</t>
        </is>
      </c>
      <c r="G704" t="n">
        <v>3</v>
      </c>
      <c r="H704" t="n">
        <v>0</v>
      </c>
      <c r="I704" t="n">
        <v>0</v>
      </c>
      <c r="J704" t="n">
        <v>0</v>
      </c>
      <c r="K704" t="n">
        <v>0</v>
      </c>
      <c r="L704" t="n">
        <v>0</v>
      </c>
      <c r="M704" t="n">
        <v>0</v>
      </c>
      <c r="N704" t="n">
        <v>0</v>
      </c>
      <c r="O704" t="n">
        <v>0</v>
      </c>
      <c r="P704" t="n">
        <v>0</v>
      </c>
      <c r="Q704" t="n">
        <v>0</v>
      </c>
      <c r="R704" s="2" t="inlineStr"/>
    </row>
    <row r="705" ht="15" customHeight="1">
      <c r="A705" t="inlineStr">
        <is>
          <t>A 37863-2025</t>
        </is>
      </c>
      <c r="B705" s="1" t="n">
        <v>45881.46734953704</v>
      </c>
      <c r="C705" s="1" t="n">
        <v>46128</v>
      </c>
      <c r="D705" t="inlineStr">
        <is>
          <t>VÄSTERBOTTENS LÄN</t>
        </is>
      </c>
      <c r="E705" t="inlineStr">
        <is>
          <t>ÅSELE</t>
        </is>
      </c>
      <c r="F705" t="inlineStr">
        <is>
          <t>Kommuner</t>
        </is>
      </c>
      <c r="G705" t="n">
        <v>1.1</v>
      </c>
      <c r="H705" t="n">
        <v>0</v>
      </c>
      <c r="I705" t="n">
        <v>0</v>
      </c>
      <c r="J705" t="n">
        <v>0</v>
      </c>
      <c r="K705" t="n">
        <v>0</v>
      </c>
      <c r="L705" t="n">
        <v>0</v>
      </c>
      <c r="M705" t="n">
        <v>0</v>
      </c>
      <c r="N705" t="n">
        <v>0</v>
      </c>
      <c r="O705" t="n">
        <v>0</v>
      </c>
      <c r="P705" t="n">
        <v>0</v>
      </c>
      <c r="Q705" t="n">
        <v>0</v>
      </c>
      <c r="R705" s="2" t="inlineStr"/>
    </row>
    <row r="706" ht="15" customHeight="1">
      <c r="A706" t="inlineStr">
        <is>
          <t>A 37772-2025</t>
        </is>
      </c>
      <c r="B706" s="1" t="n">
        <v>45880.75725694445</v>
      </c>
      <c r="C706" s="1" t="n">
        <v>46128</v>
      </c>
      <c r="D706" t="inlineStr">
        <is>
          <t>VÄSTERBOTTENS LÄN</t>
        </is>
      </c>
      <c r="E706" t="inlineStr">
        <is>
          <t>ÅSELE</t>
        </is>
      </c>
      <c r="G706" t="n">
        <v>11.3</v>
      </c>
      <c r="H706" t="n">
        <v>0</v>
      </c>
      <c r="I706" t="n">
        <v>0</v>
      </c>
      <c r="J706" t="n">
        <v>0</v>
      </c>
      <c r="K706" t="n">
        <v>0</v>
      </c>
      <c r="L706" t="n">
        <v>0</v>
      </c>
      <c r="M706" t="n">
        <v>0</v>
      </c>
      <c r="N706" t="n">
        <v>0</v>
      </c>
      <c r="O706" t="n">
        <v>0</v>
      </c>
      <c r="P706" t="n">
        <v>0</v>
      </c>
      <c r="Q706" t="n">
        <v>0</v>
      </c>
      <c r="R706" s="2" t="inlineStr"/>
    </row>
    <row r="707" ht="15" customHeight="1">
      <c r="A707" t="inlineStr">
        <is>
          <t>A 37773-2025</t>
        </is>
      </c>
      <c r="B707" s="1" t="n">
        <v>45880.7615162037</v>
      </c>
      <c r="C707" s="1" t="n">
        <v>46128</v>
      </c>
      <c r="D707" t="inlineStr">
        <is>
          <t>VÄSTERBOTTENS LÄN</t>
        </is>
      </c>
      <c r="E707" t="inlineStr">
        <is>
          <t>ÅSELE</t>
        </is>
      </c>
      <c r="G707" t="n">
        <v>1.9</v>
      </c>
      <c r="H707" t="n">
        <v>0</v>
      </c>
      <c r="I707" t="n">
        <v>0</v>
      </c>
      <c r="J707" t="n">
        <v>0</v>
      </c>
      <c r="K707" t="n">
        <v>0</v>
      </c>
      <c r="L707" t="n">
        <v>0</v>
      </c>
      <c r="M707" t="n">
        <v>0</v>
      </c>
      <c r="N707" t="n">
        <v>0</v>
      </c>
      <c r="O707" t="n">
        <v>0</v>
      </c>
      <c r="P707" t="n">
        <v>0</v>
      </c>
      <c r="Q707" t="n">
        <v>0</v>
      </c>
      <c r="R707" s="2" t="inlineStr"/>
    </row>
    <row r="708" ht="15" customHeight="1">
      <c r="A708" t="inlineStr">
        <is>
          <t>A 38612-2025</t>
        </is>
      </c>
      <c r="B708" s="1" t="n">
        <v>45884.5409375</v>
      </c>
      <c r="C708" s="1" t="n">
        <v>46128</v>
      </c>
      <c r="D708" t="inlineStr">
        <is>
          <t>VÄSTERBOTTENS LÄN</t>
        </is>
      </c>
      <c r="E708" t="inlineStr">
        <is>
          <t>ÅSELE</t>
        </is>
      </c>
      <c r="G708" t="n">
        <v>4.1</v>
      </c>
      <c r="H708" t="n">
        <v>0</v>
      </c>
      <c r="I708" t="n">
        <v>0</v>
      </c>
      <c r="J708" t="n">
        <v>0</v>
      </c>
      <c r="K708" t="n">
        <v>0</v>
      </c>
      <c r="L708" t="n">
        <v>0</v>
      </c>
      <c r="M708" t="n">
        <v>0</v>
      </c>
      <c r="N708" t="n">
        <v>0</v>
      </c>
      <c r="O708" t="n">
        <v>0</v>
      </c>
      <c r="P708" t="n">
        <v>0</v>
      </c>
      <c r="Q708" t="n">
        <v>0</v>
      </c>
      <c r="R708" s="2" t="inlineStr"/>
    </row>
    <row r="709" ht="15" customHeight="1">
      <c r="A709" t="inlineStr">
        <is>
          <t>A 20302-2025</t>
        </is>
      </c>
      <c r="B709" s="1" t="n">
        <v>45774.7928587963</v>
      </c>
      <c r="C709" s="1" t="n">
        <v>46128</v>
      </c>
      <c r="D709" t="inlineStr">
        <is>
          <t>VÄSTERBOTTENS LÄN</t>
        </is>
      </c>
      <c r="E709" t="inlineStr">
        <is>
          <t>ÅSELE</t>
        </is>
      </c>
      <c r="G709" t="n">
        <v>12.7</v>
      </c>
      <c r="H709" t="n">
        <v>0</v>
      </c>
      <c r="I709" t="n">
        <v>0</v>
      </c>
      <c r="J709" t="n">
        <v>0</v>
      </c>
      <c r="K709" t="n">
        <v>0</v>
      </c>
      <c r="L709" t="n">
        <v>0</v>
      </c>
      <c r="M709" t="n">
        <v>0</v>
      </c>
      <c r="N709" t="n">
        <v>0</v>
      </c>
      <c r="O709" t="n">
        <v>0</v>
      </c>
      <c r="P709" t="n">
        <v>0</v>
      </c>
      <c r="Q709" t="n">
        <v>0</v>
      </c>
      <c r="R709" s="2" t="inlineStr"/>
    </row>
    <row r="710" ht="15" customHeight="1">
      <c r="A710" t="inlineStr">
        <is>
          <t>A 20303-2025</t>
        </is>
      </c>
      <c r="B710" s="1" t="n">
        <v>45774.80667824074</v>
      </c>
      <c r="C710" s="1" t="n">
        <v>46128</v>
      </c>
      <c r="D710" t="inlineStr">
        <is>
          <t>VÄSTERBOTTENS LÄN</t>
        </is>
      </c>
      <c r="E710" t="inlineStr">
        <is>
          <t>ÅSELE</t>
        </is>
      </c>
      <c r="G710" t="n">
        <v>4.1</v>
      </c>
      <c r="H710" t="n">
        <v>0</v>
      </c>
      <c r="I710" t="n">
        <v>0</v>
      </c>
      <c r="J710" t="n">
        <v>0</v>
      </c>
      <c r="K710" t="n">
        <v>0</v>
      </c>
      <c r="L710" t="n">
        <v>0</v>
      </c>
      <c r="M710" t="n">
        <v>0</v>
      </c>
      <c r="N710" t="n">
        <v>0</v>
      </c>
      <c r="O710" t="n">
        <v>0</v>
      </c>
      <c r="P710" t="n">
        <v>0</v>
      </c>
      <c r="Q710" t="n">
        <v>0</v>
      </c>
      <c r="R710" s="2" t="inlineStr"/>
    </row>
    <row r="711" ht="15" customHeight="1">
      <c r="A711" t="inlineStr">
        <is>
          <t>A 36852-2023</t>
        </is>
      </c>
      <c r="B711" s="1" t="n">
        <v>45154.54208333333</v>
      </c>
      <c r="C711" s="1" t="n">
        <v>46128</v>
      </c>
      <c r="D711" t="inlineStr">
        <is>
          <t>VÄSTERBOTTENS LÄN</t>
        </is>
      </c>
      <c r="E711" t="inlineStr">
        <is>
          <t>ÅSELE</t>
        </is>
      </c>
      <c r="F711" t="inlineStr">
        <is>
          <t>Holmen skog AB</t>
        </is>
      </c>
      <c r="G711" t="n">
        <v>11.8</v>
      </c>
      <c r="H711" t="n">
        <v>0</v>
      </c>
      <c r="I711" t="n">
        <v>0</v>
      </c>
      <c r="J711" t="n">
        <v>0</v>
      </c>
      <c r="K711" t="n">
        <v>0</v>
      </c>
      <c r="L711" t="n">
        <v>0</v>
      </c>
      <c r="M711" t="n">
        <v>0</v>
      </c>
      <c r="N711" t="n">
        <v>0</v>
      </c>
      <c r="O711" t="n">
        <v>0</v>
      </c>
      <c r="P711" t="n">
        <v>0</v>
      </c>
      <c r="Q711" t="n">
        <v>0</v>
      </c>
      <c r="R711" s="2" t="inlineStr"/>
    </row>
    <row r="712" ht="15" customHeight="1">
      <c r="A712" t="inlineStr">
        <is>
          <t>A 34054-2023</t>
        </is>
      </c>
      <c r="B712" s="1" t="n">
        <v>45135.45417824074</v>
      </c>
      <c r="C712" s="1" t="n">
        <v>46128</v>
      </c>
      <c r="D712" t="inlineStr">
        <is>
          <t>VÄSTERBOTTENS LÄN</t>
        </is>
      </c>
      <c r="E712" t="inlineStr">
        <is>
          <t>ÅSELE</t>
        </is>
      </c>
      <c r="F712" t="inlineStr">
        <is>
          <t>Holmen skog AB</t>
        </is>
      </c>
      <c r="G712" t="n">
        <v>3</v>
      </c>
      <c r="H712" t="n">
        <v>0</v>
      </c>
      <c r="I712" t="n">
        <v>0</v>
      </c>
      <c r="J712" t="n">
        <v>0</v>
      </c>
      <c r="K712" t="n">
        <v>0</v>
      </c>
      <c r="L712" t="n">
        <v>0</v>
      </c>
      <c r="M712" t="n">
        <v>0</v>
      </c>
      <c r="N712" t="n">
        <v>0</v>
      </c>
      <c r="O712" t="n">
        <v>0</v>
      </c>
      <c r="P712" t="n">
        <v>0</v>
      </c>
      <c r="Q712" t="n">
        <v>0</v>
      </c>
      <c r="R712" s="2" t="inlineStr"/>
    </row>
    <row r="713" ht="15" customHeight="1">
      <c r="A713" t="inlineStr">
        <is>
          <t>A 59299-2025</t>
        </is>
      </c>
      <c r="B713" s="1" t="n">
        <v>45988.84578703704</v>
      </c>
      <c r="C713" s="1" t="n">
        <v>46128</v>
      </c>
      <c r="D713" t="inlineStr">
        <is>
          <t>VÄSTERBOTTENS LÄN</t>
        </is>
      </c>
      <c r="E713" t="inlineStr">
        <is>
          <t>ÅSELE</t>
        </is>
      </c>
      <c r="G713" t="n">
        <v>3.1</v>
      </c>
      <c r="H713" t="n">
        <v>0</v>
      </c>
      <c r="I713" t="n">
        <v>0</v>
      </c>
      <c r="J713" t="n">
        <v>0</v>
      </c>
      <c r="K713" t="n">
        <v>0</v>
      </c>
      <c r="L713" t="n">
        <v>0</v>
      </c>
      <c r="M713" t="n">
        <v>0</v>
      </c>
      <c r="N713" t="n">
        <v>0</v>
      </c>
      <c r="O713" t="n">
        <v>0</v>
      </c>
      <c r="P713" t="n">
        <v>0</v>
      </c>
      <c r="Q713" t="n">
        <v>0</v>
      </c>
      <c r="R713" s="2" t="inlineStr"/>
    </row>
    <row r="714" ht="15" customHeight="1">
      <c r="A714" t="inlineStr">
        <is>
          <t>A 41861-2024</t>
        </is>
      </c>
      <c r="B714" s="1" t="n">
        <v>45561</v>
      </c>
      <c r="C714" s="1" t="n">
        <v>46128</v>
      </c>
      <c r="D714" t="inlineStr">
        <is>
          <t>VÄSTERBOTTENS LÄN</t>
        </is>
      </c>
      <c r="E714" t="inlineStr">
        <is>
          <t>ÅSELE</t>
        </is>
      </c>
      <c r="G714" t="n">
        <v>0.3</v>
      </c>
      <c r="H714" t="n">
        <v>0</v>
      </c>
      <c r="I714" t="n">
        <v>0</v>
      </c>
      <c r="J714" t="n">
        <v>0</v>
      </c>
      <c r="K714" t="n">
        <v>0</v>
      </c>
      <c r="L714" t="n">
        <v>0</v>
      </c>
      <c r="M714" t="n">
        <v>0</v>
      </c>
      <c r="N714" t="n">
        <v>0</v>
      </c>
      <c r="O714" t="n">
        <v>0</v>
      </c>
      <c r="P714" t="n">
        <v>0</v>
      </c>
      <c r="Q714" t="n">
        <v>0</v>
      </c>
      <c r="R714" s="2" t="inlineStr"/>
    </row>
    <row r="715" ht="15" customHeight="1">
      <c r="A715" t="inlineStr">
        <is>
          <t>A 63062-2023</t>
        </is>
      </c>
      <c r="B715" s="1" t="n">
        <v>45272</v>
      </c>
      <c r="C715" s="1" t="n">
        <v>46128</v>
      </c>
      <c r="D715" t="inlineStr">
        <is>
          <t>VÄSTERBOTTENS LÄN</t>
        </is>
      </c>
      <c r="E715" t="inlineStr">
        <is>
          <t>ÅSELE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28728-2023</t>
        </is>
      </c>
      <c r="B716" s="1" t="n">
        <v>45103</v>
      </c>
      <c r="C716" s="1" t="n">
        <v>46128</v>
      </c>
      <c r="D716" t="inlineStr">
        <is>
          <t>VÄSTERBOTTENS LÄN</t>
        </is>
      </c>
      <c r="E716" t="inlineStr">
        <is>
          <t>ÅSELE</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28731-2023</t>
        </is>
      </c>
      <c r="B717" s="1" t="n">
        <v>45103</v>
      </c>
      <c r="C717" s="1" t="n">
        <v>46128</v>
      </c>
      <c r="D717" t="inlineStr">
        <is>
          <t>VÄSTERBOTTENS LÄN</t>
        </is>
      </c>
      <c r="E717" t="inlineStr">
        <is>
          <t>ÅSELE</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45800-2023</t>
        </is>
      </c>
      <c r="B718" s="1" t="n">
        <v>45189</v>
      </c>
      <c r="C718" s="1" t="n">
        <v>46128</v>
      </c>
      <c r="D718" t="inlineStr">
        <is>
          <t>VÄSTERBOTTENS LÄN</t>
        </is>
      </c>
      <c r="E718" t="inlineStr">
        <is>
          <t>ÅSELE</t>
        </is>
      </c>
      <c r="G718" t="n">
        <v>42.1</v>
      </c>
      <c r="H718" t="n">
        <v>0</v>
      </c>
      <c r="I718" t="n">
        <v>0</v>
      </c>
      <c r="J718" t="n">
        <v>0</v>
      </c>
      <c r="K718" t="n">
        <v>0</v>
      </c>
      <c r="L718" t="n">
        <v>0</v>
      </c>
      <c r="M718" t="n">
        <v>0</v>
      </c>
      <c r="N718" t="n">
        <v>0</v>
      </c>
      <c r="O718" t="n">
        <v>0</v>
      </c>
      <c r="P718" t="n">
        <v>0</v>
      </c>
      <c r="Q718" t="n">
        <v>0</v>
      </c>
      <c r="R718" s="2" t="inlineStr"/>
    </row>
    <row r="719" ht="15" customHeight="1">
      <c r="A719" t="inlineStr">
        <is>
          <t>A 55920-2023</t>
        </is>
      </c>
      <c r="B719" s="1" t="n">
        <v>45239.96893518518</v>
      </c>
      <c r="C719" s="1" t="n">
        <v>46128</v>
      </c>
      <c r="D719" t="inlineStr">
        <is>
          <t>VÄSTERBOTTENS LÄN</t>
        </is>
      </c>
      <c r="E719" t="inlineStr">
        <is>
          <t>ÅSELE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38076-2023</t>
        </is>
      </c>
      <c r="B720" s="1" t="n">
        <v>45160</v>
      </c>
      <c r="C720" s="1" t="n">
        <v>46128</v>
      </c>
      <c r="D720" t="inlineStr">
        <is>
          <t>VÄSTERBOTTENS LÄN</t>
        </is>
      </c>
      <c r="E720" t="inlineStr">
        <is>
          <t>ÅSELE</t>
        </is>
      </c>
      <c r="G720" t="n">
        <v>3.1</v>
      </c>
      <c r="H720" t="n">
        <v>0</v>
      </c>
      <c r="I720" t="n">
        <v>0</v>
      </c>
      <c r="J720" t="n">
        <v>0</v>
      </c>
      <c r="K720" t="n">
        <v>0</v>
      </c>
      <c r="L720" t="n">
        <v>0</v>
      </c>
      <c r="M720" t="n">
        <v>0</v>
      </c>
      <c r="N720" t="n">
        <v>0</v>
      </c>
      <c r="O720" t="n">
        <v>0</v>
      </c>
      <c r="P720" t="n">
        <v>0</v>
      </c>
      <c r="Q720" t="n">
        <v>0</v>
      </c>
      <c r="R720" s="2" t="inlineStr"/>
    </row>
    <row r="721" ht="15" customHeight="1">
      <c r="A721" t="inlineStr">
        <is>
          <t>A 59862-2025</t>
        </is>
      </c>
      <c r="B721" s="1" t="n">
        <v>45992.81230324074</v>
      </c>
      <c r="C721" s="1" t="n">
        <v>46128</v>
      </c>
      <c r="D721" t="inlineStr">
        <is>
          <t>VÄSTERBOTTENS LÄN</t>
        </is>
      </c>
      <c r="E721" t="inlineStr">
        <is>
          <t>ÅSELE</t>
        </is>
      </c>
      <c r="G721" t="n">
        <v>2.2</v>
      </c>
      <c r="H721" t="n">
        <v>0</v>
      </c>
      <c r="I721" t="n">
        <v>0</v>
      </c>
      <c r="J721" t="n">
        <v>0</v>
      </c>
      <c r="K721" t="n">
        <v>0</v>
      </c>
      <c r="L721" t="n">
        <v>0</v>
      </c>
      <c r="M721" t="n">
        <v>0</v>
      </c>
      <c r="N721" t="n">
        <v>0</v>
      </c>
      <c r="O721" t="n">
        <v>0</v>
      </c>
      <c r="P721" t="n">
        <v>0</v>
      </c>
      <c r="Q721" t="n">
        <v>0</v>
      </c>
      <c r="R721" s="2" t="inlineStr"/>
    </row>
    <row r="722" ht="15" customHeight="1">
      <c r="A722" t="inlineStr">
        <is>
          <t>A 34189-2021</t>
        </is>
      </c>
      <c r="B722" s="1" t="n">
        <v>44379.50560185185</v>
      </c>
      <c r="C722" s="1" t="n">
        <v>46128</v>
      </c>
      <c r="D722" t="inlineStr">
        <is>
          <t>VÄSTERBOTTENS LÄN</t>
        </is>
      </c>
      <c r="E722" t="inlineStr">
        <is>
          <t>ÅSELE</t>
        </is>
      </c>
      <c r="F722" t="inlineStr">
        <is>
          <t>Holmen skog AB</t>
        </is>
      </c>
      <c r="G722" t="n">
        <v>2.1</v>
      </c>
      <c r="H722" t="n">
        <v>0</v>
      </c>
      <c r="I722" t="n">
        <v>0</v>
      </c>
      <c r="J722" t="n">
        <v>0</v>
      </c>
      <c r="K722" t="n">
        <v>0</v>
      </c>
      <c r="L722" t="n">
        <v>0</v>
      </c>
      <c r="M722" t="n">
        <v>0</v>
      </c>
      <c r="N722" t="n">
        <v>0</v>
      </c>
      <c r="O722" t="n">
        <v>0</v>
      </c>
      <c r="P722" t="n">
        <v>0</v>
      </c>
      <c r="Q722" t="n">
        <v>0</v>
      </c>
      <c r="R722" s="2" t="inlineStr"/>
    </row>
    <row r="723" ht="15" customHeight="1">
      <c r="A723" t="inlineStr">
        <is>
          <t>A 60275-2025</t>
        </is>
      </c>
      <c r="B723" s="1" t="n">
        <v>45993</v>
      </c>
      <c r="C723" s="1" t="n">
        <v>46128</v>
      </c>
      <c r="D723" t="inlineStr">
        <is>
          <t>VÄSTERBOTTENS LÄN</t>
        </is>
      </c>
      <c r="E723" t="inlineStr">
        <is>
          <t>ÅSELE</t>
        </is>
      </c>
      <c r="G723" t="n">
        <v>5.3</v>
      </c>
      <c r="H723" t="n">
        <v>0</v>
      </c>
      <c r="I723" t="n">
        <v>0</v>
      </c>
      <c r="J723" t="n">
        <v>0</v>
      </c>
      <c r="K723" t="n">
        <v>0</v>
      </c>
      <c r="L723" t="n">
        <v>0</v>
      </c>
      <c r="M723" t="n">
        <v>0</v>
      </c>
      <c r="N723" t="n">
        <v>0</v>
      </c>
      <c r="O723" t="n">
        <v>0</v>
      </c>
      <c r="P723" t="n">
        <v>0</v>
      </c>
      <c r="Q723" t="n">
        <v>0</v>
      </c>
      <c r="R723" s="2" t="inlineStr"/>
    </row>
    <row r="724" ht="15" customHeight="1">
      <c r="A724" t="inlineStr">
        <is>
          <t>A 54746-2023</t>
        </is>
      </c>
      <c r="B724" s="1" t="n">
        <v>45236.4175</v>
      </c>
      <c r="C724" s="1" t="n">
        <v>46128</v>
      </c>
      <c r="D724" t="inlineStr">
        <is>
          <t>VÄSTERBOTTENS LÄN</t>
        </is>
      </c>
      <c r="E724" t="inlineStr">
        <is>
          <t>ÅSELE</t>
        </is>
      </c>
      <c r="F724" t="inlineStr">
        <is>
          <t>Sveaskog</t>
        </is>
      </c>
      <c r="G724" t="n">
        <v>4.1</v>
      </c>
      <c r="H724" t="n">
        <v>0</v>
      </c>
      <c r="I724" t="n">
        <v>0</v>
      </c>
      <c r="J724" t="n">
        <v>0</v>
      </c>
      <c r="K724" t="n">
        <v>0</v>
      </c>
      <c r="L724" t="n">
        <v>0</v>
      </c>
      <c r="M724" t="n">
        <v>0</v>
      </c>
      <c r="N724" t="n">
        <v>0</v>
      </c>
      <c r="O724" t="n">
        <v>0</v>
      </c>
      <c r="P724" t="n">
        <v>0</v>
      </c>
      <c r="Q724" t="n">
        <v>0</v>
      </c>
      <c r="R724" s="2" t="inlineStr"/>
    </row>
    <row r="725" ht="15" customHeight="1">
      <c r="A725" t="inlineStr">
        <is>
          <t>A 54765-2023</t>
        </is>
      </c>
      <c r="B725" s="1" t="n">
        <v>45236.45083333334</v>
      </c>
      <c r="C725" s="1" t="n">
        <v>46128</v>
      </c>
      <c r="D725" t="inlineStr">
        <is>
          <t>VÄSTERBOTTENS LÄN</t>
        </is>
      </c>
      <c r="E725" t="inlineStr">
        <is>
          <t>ÅSELE</t>
        </is>
      </c>
      <c r="F725" t="inlineStr">
        <is>
          <t>Sveaskog</t>
        </is>
      </c>
      <c r="G725" t="n">
        <v>18.9</v>
      </c>
      <c r="H725" t="n">
        <v>0</v>
      </c>
      <c r="I725" t="n">
        <v>0</v>
      </c>
      <c r="J725" t="n">
        <v>0</v>
      </c>
      <c r="K725" t="n">
        <v>0</v>
      </c>
      <c r="L725" t="n">
        <v>0</v>
      </c>
      <c r="M725" t="n">
        <v>0</v>
      </c>
      <c r="N725" t="n">
        <v>0</v>
      </c>
      <c r="O725" t="n">
        <v>0</v>
      </c>
      <c r="P725" t="n">
        <v>0</v>
      </c>
      <c r="Q725" t="n">
        <v>0</v>
      </c>
      <c r="R725" s="2" t="inlineStr"/>
    </row>
    <row r="726" ht="15" customHeight="1">
      <c r="A726" t="inlineStr">
        <is>
          <t>A 59912-2025</t>
        </is>
      </c>
      <c r="B726" s="1" t="n">
        <v>45993.36509259259</v>
      </c>
      <c r="C726" s="1" t="n">
        <v>46128</v>
      </c>
      <c r="D726" t="inlineStr">
        <is>
          <t>VÄSTERBOTTENS LÄN</t>
        </is>
      </c>
      <c r="E726" t="inlineStr">
        <is>
          <t>ÅSELE</t>
        </is>
      </c>
      <c r="G726" t="n">
        <v>5.1</v>
      </c>
      <c r="H726" t="n">
        <v>0</v>
      </c>
      <c r="I726" t="n">
        <v>0</v>
      </c>
      <c r="J726" t="n">
        <v>0</v>
      </c>
      <c r="K726" t="n">
        <v>0</v>
      </c>
      <c r="L726" t="n">
        <v>0</v>
      </c>
      <c r="M726" t="n">
        <v>0</v>
      </c>
      <c r="N726" t="n">
        <v>0</v>
      </c>
      <c r="O726" t="n">
        <v>0</v>
      </c>
      <c r="P726" t="n">
        <v>0</v>
      </c>
      <c r="Q726" t="n">
        <v>0</v>
      </c>
      <c r="R726" s="2" t="inlineStr"/>
    </row>
    <row r="727" ht="15" customHeight="1">
      <c r="A727" t="inlineStr">
        <is>
          <t>A 60469-2025</t>
        </is>
      </c>
      <c r="B727" s="1" t="n">
        <v>45995.56527777778</v>
      </c>
      <c r="C727" s="1" t="n">
        <v>46128</v>
      </c>
      <c r="D727" t="inlineStr">
        <is>
          <t>VÄSTERBOTTENS LÄN</t>
        </is>
      </c>
      <c r="E727" t="inlineStr">
        <is>
          <t>ÅSELE</t>
        </is>
      </c>
      <c r="G727" t="n">
        <v>0.1</v>
      </c>
      <c r="H727" t="n">
        <v>0</v>
      </c>
      <c r="I727" t="n">
        <v>0</v>
      </c>
      <c r="J727" t="n">
        <v>0</v>
      </c>
      <c r="K727" t="n">
        <v>0</v>
      </c>
      <c r="L727" t="n">
        <v>0</v>
      </c>
      <c r="M727" t="n">
        <v>0</v>
      </c>
      <c r="N727" t="n">
        <v>0</v>
      </c>
      <c r="O727" t="n">
        <v>0</v>
      </c>
      <c r="P727" t="n">
        <v>0</v>
      </c>
      <c r="Q727" t="n">
        <v>0</v>
      </c>
      <c r="R727" s="2" t="inlineStr"/>
    </row>
    <row r="728" ht="15" customHeight="1">
      <c r="A728" t="inlineStr">
        <is>
          <t>A 43768-2023</t>
        </is>
      </c>
      <c r="B728" s="1" t="n">
        <v>45187.50721064815</v>
      </c>
      <c r="C728" s="1" t="n">
        <v>46128</v>
      </c>
      <c r="D728" t="inlineStr">
        <is>
          <t>VÄSTERBOTTENS LÄN</t>
        </is>
      </c>
      <c r="E728" t="inlineStr">
        <is>
          <t>ÅSELE</t>
        </is>
      </c>
      <c r="G728" t="n">
        <v>1.7</v>
      </c>
      <c r="H728" t="n">
        <v>0</v>
      </c>
      <c r="I728" t="n">
        <v>0</v>
      </c>
      <c r="J728" t="n">
        <v>0</v>
      </c>
      <c r="K728" t="n">
        <v>0</v>
      </c>
      <c r="L728" t="n">
        <v>0</v>
      </c>
      <c r="M728" t="n">
        <v>0</v>
      </c>
      <c r="N728" t="n">
        <v>0</v>
      </c>
      <c r="O728" t="n">
        <v>0</v>
      </c>
      <c r="P728" t="n">
        <v>0</v>
      </c>
      <c r="Q728" t="n">
        <v>0</v>
      </c>
      <c r="R728" s="2" t="inlineStr"/>
    </row>
    <row r="729" ht="15" customHeight="1">
      <c r="A729" t="inlineStr">
        <is>
          <t>A 41411-2023</t>
        </is>
      </c>
      <c r="B729" s="1" t="n">
        <v>45174.93942129629</v>
      </c>
      <c r="C729" s="1" t="n">
        <v>46128</v>
      </c>
      <c r="D729" t="inlineStr">
        <is>
          <t>VÄSTERBOTTENS LÄN</t>
        </is>
      </c>
      <c r="E729" t="inlineStr">
        <is>
          <t>ÅSELE</t>
        </is>
      </c>
      <c r="F729" t="inlineStr">
        <is>
          <t>SCA</t>
        </is>
      </c>
      <c r="G729" t="n">
        <v>12.7</v>
      </c>
      <c r="H729" t="n">
        <v>0</v>
      </c>
      <c r="I729" t="n">
        <v>0</v>
      </c>
      <c r="J729" t="n">
        <v>0</v>
      </c>
      <c r="K729" t="n">
        <v>0</v>
      </c>
      <c r="L729" t="n">
        <v>0</v>
      </c>
      <c r="M729" t="n">
        <v>0</v>
      </c>
      <c r="N729" t="n">
        <v>0</v>
      </c>
      <c r="O729" t="n">
        <v>0</v>
      </c>
      <c r="P729" t="n">
        <v>0</v>
      </c>
      <c r="Q729" t="n">
        <v>0</v>
      </c>
      <c r="R729" s="2" t="inlineStr"/>
    </row>
    <row r="730" ht="15" customHeight="1">
      <c r="A730" t="inlineStr">
        <is>
          <t>A 31402-2022</t>
        </is>
      </c>
      <c r="B730" s="1" t="n">
        <v>44774</v>
      </c>
      <c r="C730" s="1" t="n">
        <v>46128</v>
      </c>
      <c r="D730" t="inlineStr">
        <is>
          <t>VÄSTERBOTTENS LÄN</t>
        </is>
      </c>
      <c r="E730" t="inlineStr">
        <is>
          <t>ÅSELE</t>
        </is>
      </c>
      <c r="G730" t="n">
        <v>7.7</v>
      </c>
      <c r="H730" t="n">
        <v>0</v>
      </c>
      <c r="I730" t="n">
        <v>0</v>
      </c>
      <c r="J730" t="n">
        <v>0</v>
      </c>
      <c r="K730" t="n">
        <v>0</v>
      </c>
      <c r="L730" t="n">
        <v>0</v>
      </c>
      <c r="M730" t="n">
        <v>0</v>
      </c>
      <c r="N730" t="n">
        <v>0</v>
      </c>
      <c r="O730" t="n">
        <v>0</v>
      </c>
      <c r="P730" t="n">
        <v>0</v>
      </c>
      <c r="Q730" t="n">
        <v>0</v>
      </c>
      <c r="R730" s="2" t="inlineStr"/>
    </row>
    <row r="731" ht="15" customHeight="1">
      <c r="A731" t="inlineStr">
        <is>
          <t>A 60723-2025</t>
        </is>
      </c>
      <c r="B731" s="1" t="n">
        <v>45996.65587962963</v>
      </c>
      <c r="C731" s="1" t="n">
        <v>46128</v>
      </c>
      <c r="D731" t="inlineStr">
        <is>
          <t>VÄSTERBOTTENS LÄN</t>
        </is>
      </c>
      <c r="E731" t="inlineStr">
        <is>
          <t>ÅSELE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29597-2024</t>
        </is>
      </c>
      <c r="B732" s="1" t="n">
        <v>45484.58983796297</v>
      </c>
      <c r="C732" s="1" t="n">
        <v>46128</v>
      </c>
      <c r="D732" t="inlineStr">
        <is>
          <t>VÄSTERBOTTENS LÄN</t>
        </is>
      </c>
      <c r="E732" t="inlineStr">
        <is>
          <t>ÅSELE</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22113-2024</t>
        </is>
      </c>
      <c r="B733" s="1" t="n">
        <v>45443</v>
      </c>
      <c r="C733" s="1" t="n">
        <v>46128</v>
      </c>
      <c r="D733" t="inlineStr">
        <is>
          <t>VÄSTERBOTTENS LÄN</t>
        </is>
      </c>
      <c r="E733" t="inlineStr">
        <is>
          <t>ÅSELE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30491-2022</t>
        </is>
      </c>
      <c r="B734" s="1" t="n">
        <v>44761</v>
      </c>
      <c r="C734" s="1" t="n">
        <v>46128</v>
      </c>
      <c r="D734" t="inlineStr">
        <is>
          <t>VÄSTERBOTTENS LÄN</t>
        </is>
      </c>
      <c r="E734" t="inlineStr">
        <is>
          <t>ÅSELE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18578-2022</t>
        </is>
      </c>
      <c r="B735" s="1" t="n">
        <v>44687.30193287037</v>
      </c>
      <c r="C735" s="1" t="n">
        <v>46128</v>
      </c>
      <c r="D735" t="inlineStr">
        <is>
          <t>VÄSTERBOTTENS LÄN</t>
        </is>
      </c>
      <c r="E735" t="inlineStr">
        <is>
          <t>ÅSELE</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54992-2024</t>
        </is>
      </c>
      <c r="B736" s="1" t="n">
        <v>45620.91673611111</v>
      </c>
      <c r="C736" s="1" t="n">
        <v>46128</v>
      </c>
      <c r="D736" t="inlineStr">
        <is>
          <t>VÄSTERBOTTENS LÄN</t>
        </is>
      </c>
      <c r="E736" t="inlineStr">
        <is>
          <t>ÅSELE</t>
        </is>
      </c>
      <c r="G736" t="n">
        <v>5.7</v>
      </c>
      <c r="H736" t="n">
        <v>0</v>
      </c>
      <c r="I736" t="n">
        <v>0</v>
      </c>
      <c r="J736" t="n">
        <v>0</v>
      </c>
      <c r="K736" t="n">
        <v>0</v>
      </c>
      <c r="L736" t="n">
        <v>0</v>
      </c>
      <c r="M736" t="n">
        <v>0</v>
      </c>
      <c r="N736" t="n">
        <v>0</v>
      </c>
      <c r="O736" t="n">
        <v>0</v>
      </c>
      <c r="P736" t="n">
        <v>0</v>
      </c>
      <c r="Q736" t="n">
        <v>0</v>
      </c>
      <c r="R736" s="2" t="inlineStr"/>
    </row>
    <row r="737" ht="15" customHeight="1">
      <c r="A737" t="inlineStr">
        <is>
          <t>A 11321-2023</t>
        </is>
      </c>
      <c r="B737" s="1" t="n">
        <v>44993.01305555556</v>
      </c>
      <c r="C737" s="1" t="n">
        <v>46128</v>
      </c>
      <c r="D737" t="inlineStr">
        <is>
          <t>VÄSTERBOTTENS LÄN</t>
        </is>
      </c>
      <c r="E737" t="inlineStr">
        <is>
          <t>ÅSELE</t>
        </is>
      </c>
      <c r="F737" t="inlineStr">
        <is>
          <t>SCA</t>
        </is>
      </c>
      <c r="G737" t="n">
        <v>7.1</v>
      </c>
      <c r="H737" t="n">
        <v>0</v>
      </c>
      <c r="I737" t="n">
        <v>0</v>
      </c>
      <c r="J737" t="n">
        <v>0</v>
      </c>
      <c r="K737" t="n">
        <v>0</v>
      </c>
      <c r="L737" t="n">
        <v>0</v>
      </c>
      <c r="M737" t="n">
        <v>0</v>
      </c>
      <c r="N737" t="n">
        <v>0</v>
      </c>
      <c r="O737" t="n">
        <v>0</v>
      </c>
      <c r="P737" t="n">
        <v>0</v>
      </c>
      <c r="Q737" t="n">
        <v>0</v>
      </c>
      <c r="R737" s="2" t="inlineStr"/>
    </row>
    <row r="738" ht="15" customHeight="1">
      <c r="A738" t="inlineStr">
        <is>
          <t>A 59282-2024</t>
        </is>
      </c>
      <c r="B738" s="1" t="n">
        <v>45637</v>
      </c>
      <c r="C738" s="1" t="n">
        <v>46128</v>
      </c>
      <c r="D738" t="inlineStr">
        <is>
          <t>VÄSTERBOTTENS LÄN</t>
        </is>
      </c>
      <c r="E738" t="inlineStr">
        <is>
          <t>ÅSELE</t>
        </is>
      </c>
      <c r="G738" t="n">
        <v>6.9</v>
      </c>
      <c r="H738" t="n">
        <v>0</v>
      </c>
      <c r="I738" t="n">
        <v>0</v>
      </c>
      <c r="J738" t="n">
        <v>0</v>
      </c>
      <c r="K738" t="n">
        <v>0</v>
      </c>
      <c r="L738" t="n">
        <v>0</v>
      </c>
      <c r="M738" t="n">
        <v>0</v>
      </c>
      <c r="N738" t="n">
        <v>0</v>
      </c>
      <c r="O738" t="n">
        <v>0</v>
      </c>
      <c r="P738" t="n">
        <v>0</v>
      </c>
      <c r="Q738" t="n">
        <v>0</v>
      </c>
      <c r="R738" s="2" t="inlineStr"/>
    </row>
    <row r="739" ht="15" customHeight="1">
      <c r="A739" t="inlineStr">
        <is>
          <t>A 46693-2023</t>
        </is>
      </c>
      <c r="B739" s="1" t="n">
        <v>45198</v>
      </c>
      <c r="C739" s="1" t="n">
        <v>46128</v>
      </c>
      <c r="D739" t="inlineStr">
        <is>
          <t>VÄSTERBOTTENS LÄN</t>
        </is>
      </c>
      <c r="E739" t="inlineStr">
        <is>
          <t>ÅSELE</t>
        </is>
      </c>
      <c r="F739" t="inlineStr">
        <is>
          <t>Sveaskog</t>
        </is>
      </c>
      <c r="G739" t="n">
        <v>14.8</v>
      </c>
      <c r="H739" t="n">
        <v>0</v>
      </c>
      <c r="I739" t="n">
        <v>0</v>
      </c>
      <c r="J739" t="n">
        <v>0</v>
      </c>
      <c r="K739" t="n">
        <v>0</v>
      </c>
      <c r="L739" t="n">
        <v>0</v>
      </c>
      <c r="M739" t="n">
        <v>0</v>
      </c>
      <c r="N739" t="n">
        <v>0</v>
      </c>
      <c r="O739" t="n">
        <v>0</v>
      </c>
      <c r="P739" t="n">
        <v>0</v>
      </c>
      <c r="Q739" t="n">
        <v>0</v>
      </c>
      <c r="R739" s="2" t="inlineStr"/>
    </row>
    <row r="740" ht="15" customHeight="1">
      <c r="A740" t="inlineStr">
        <is>
          <t>A 1407-2023</t>
        </is>
      </c>
      <c r="B740" s="1" t="n">
        <v>44936</v>
      </c>
      <c r="C740" s="1" t="n">
        <v>46128</v>
      </c>
      <c r="D740" t="inlineStr">
        <is>
          <t>VÄSTERBOTTENS LÄN</t>
        </is>
      </c>
      <c r="E740" t="inlineStr">
        <is>
          <t>ÅSELE</t>
        </is>
      </c>
      <c r="G740" t="n">
        <v>11.5</v>
      </c>
      <c r="H740" t="n">
        <v>0</v>
      </c>
      <c r="I740" t="n">
        <v>0</v>
      </c>
      <c r="J740" t="n">
        <v>0</v>
      </c>
      <c r="K740" t="n">
        <v>0</v>
      </c>
      <c r="L740" t="n">
        <v>0</v>
      </c>
      <c r="M740" t="n">
        <v>0</v>
      </c>
      <c r="N740" t="n">
        <v>0</v>
      </c>
      <c r="O740" t="n">
        <v>0</v>
      </c>
      <c r="P740" t="n">
        <v>0</v>
      </c>
      <c r="Q740" t="n">
        <v>0</v>
      </c>
      <c r="R740" s="2" t="inlineStr"/>
    </row>
    <row r="741" ht="15" customHeight="1">
      <c r="A741" t="inlineStr">
        <is>
          <t>A 41399-2023</t>
        </is>
      </c>
      <c r="B741" s="1" t="n">
        <v>45174.93857638889</v>
      </c>
      <c r="C741" s="1" t="n">
        <v>46128</v>
      </c>
      <c r="D741" t="inlineStr">
        <is>
          <t>VÄSTERBOTTENS LÄN</t>
        </is>
      </c>
      <c r="E741" t="inlineStr">
        <is>
          <t>ÅSELE</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16527-2022</t>
        </is>
      </c>
      <c r="B742" s="1" t="n">
        <v>44671.94822916666</v>
      </c>
      <c r="C742" s="1" t="n">
        <v>46128</v>
      </c>
      <c r="D742" t="inlineStr">
        <is>
          <t>VÄSTERBOTTENS LÄN</t>
        </is>
      </c>
      <c r="E742" t="inlineStr">
        <is>
          <t>ÅSELE</t>
        </is>
      </c>
      <c r="G742" t="n">
        <v>6.6</v>
      </c>
      <c r="H742" t="n">
        <v>0</v>
      </c>
      <c r="I742" t="n">
        <v>0</v>
      </c>
      <c r="J742" t="n">
        <v>0</v>
      </c>
      <c r="K742" t="n">
        <v>0</v>
      </c>
      <c r="L742" t="n">
        <v>0</v>
      </c>
      <c r="M742" t="n">
        <v>0</v>
      </c>
      <c r="N742" t="n">
        <v>0</v>
      </c>
      <c r="O742" t="n">
        <v>0</v>
      </c>
      <c r="P742" t="n">
        <v>0</v>
      </c>
      <c r="Q742" t="n">
        <v>0</v>
      </c>
      <c r="R742" s="2" t="inlineStr"/>
    </row>
    <row r="743" ht="15" customHeight="1">
      <c r="A743" t="inlineStr">
        <is>
          <t>A 33524-2021</t>
        </is>
      </c>
      <c r="B743" s="1" t="n">
        <v>44377</v>
      </c>
      <c r="C743" s="1" t="n">
        <v>46128</v>
      </c>
      <c r="D743" t="inlineStr">
        <is>
          <t>VÄSTERBOTTENS LÄN</t>
        </is>
      </c>
      <c r="E743" t="inlineStr">
        <is>
          <t>ÅSELE</t>
        </is>
      </c>
      <c r="G743" t="n">
        <v>6.8</v>
      </c>
      <c r="H743" t="n">
        <v>0</v>
      </c>
      <c r="I743" t="n">
        <v>0</v>
      </c>
      <c r="J743" t="n">
        <v>0</v>
      </c>
      <c r="K743" t="n">
        <v>0</v>
      </c>
      <c r="L743" t="n">
        <v>0</v>
      </c>
      <c r="M743" t="n">
        <v>0</v>
      </c>
      <c r="N743" t="n">
        <v>0</v>
      </c>
      <c r="O743" t="n">
        <v>0</v>
      </c>
      <c r="P743" t="n">
        <v>0</v>
      </c>
      <c r="Q743" t="n">
        <v>0</v>
      </c>
      <c r="R743" s="2" t="inlineStr"/>
    </row>
    <row r="744" ht="15" customHeight="1">
      <c r="A744" t="inlineStr">
        <is>
          <t>A 30385-2024</t>
        </is>
      </c>
      <c r="B744" s="1" t="n">
        <v>45491.4734375</v>
      </c>
      <c r="C744" s="1" t="n">
        <v>46128</v>
      </c>
      <c r="D744" t="inlineStr">
        <is>
          <t>VÄSTERBOTTENS LÄN</t>
        </is>
      </c>
      <c r="E744" t="inlineStr">
        <is>
          <t>ÅSELE</t>
        </is>
      </c>
      <c r="F744" t="inlineStr">
        <is>
          <t>Holmen skog AB</t>
        </is>
      </c>
      <c r="G744" t="n">
        <v>2.1</v>
      </c>
      <c r="H744" t="n">
        <v>0</v>
      </c>
      <c r="I744" t="n">
        <v>0</v>
      </c>
      <c r="J744" t="n">
        <v>0</v>
      </c>
      <c r="K744" t="n">
        <v>0</v>
      </c>
      <c r="L744" t="n">
        <v>0</v>
      </c>
      <c r="M744" t="n">
        <v>0</v>
      </c>
      <c r="N744" t="n">
        <v>0</v>
      </c>
      <c r="O744" t="n">
        <v>0</v>
      </c>
      <c r="P744" t="n">
        <v>0</v>
      </c>
      <c r="Q744" t="n">
        <v>0</v>
      </c>
      <c r="R744" s="2" t="inlineStr"/>
    </row>
    <row r="745" ht="15" customHeight="1">
      <c r="A745" t="inlineStr">
        <is>
          <t>A 28977-2024</t>
        </is>
      </c>
      <c r="B745" s="1" t="n">
        <v>45481.46547453704</v>
      </c>
      <c r="C745" s="1" t="n">
        <v>46128</v>
      </c>
      <c r="D745" t="inlineStr">
        <is>
          <t>VÄSTERBOTTENS LÄN</t>
        </is>
      </c>
      <c r="E745" t="inlineStr">
        <is>
          <t>ÅSELE</t>
        </is>
      </c>
      <c r="F745" t="inlineStr">
        <is>
          <t>Sveaskog</t>
        </is>
      </c>
      <c r="G745" t="n">
        <v>5.4</v>
      </c>
      <c r="H745" t="n">
        <v>0</v>
      </c>
      <c r="I745" t="n">
        <v>0</v>
      </c>
      <c r="J745" t="n">
        <v>0</v>
      </c>
      <c r="K745" t="n">
        <v>0</v>
      </c>
      <c r="L745" t="n">
        <v>0</v>
      </c>
      <c r="M745" t="n">
        <v>0</v>
      </c>
      <c r="N745" t="n">
        <v>0</v>
      </c>
      <c r="O745" t="n">
        <v>0</v>
      </c>
      <c r="P745" t="n">
        <v>0</v>
      </c>
      <c r="Q745" t="n">
        <v>0</v>
      </c>
      <c r="R745" s="2" t="inlineStr"/>
    </row>
    <row r="746" ht="15" customHeight="1">
      <c r="A746" t="inlineStr">
        <is>
          <t>A 43286-2025</t>
        </is>
      </c>
      <c r="B746" s="1" t="n">
        <v>45910</v>
      </c>
      <c r="C746" s="1" t="n">
        <v>46128</v>
      </c>
      <c r="D746" t="inlineStr">
        <is>
          <t>VÄSTERBOTTENS LÄN</t>
        </is>
      </c>
      <c r="E746" t="inlineStr">
        <is>
          <t>ÅSELE</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22111-2024</t>
        </is>
      </c>
      <c r="B747" s="1" t="n">
        <v>45443</v>
      </c>
      <c r="C747" s="1" t="n">
        <v>46128</v>
      </c>
      <c r="D747" t="inlineStr">
        <is>
          <t>VÄSTERBOTTENS LÄN</t>
        </is>
      </c>
      <c r="E747" t="inlineStr">
        <is>
          <t>ÅSELE</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61457-2025</t>
        </is>
      </c>
      <c r="B748" s="1" t="n">
        <v>46001.59224537037</v>
      </c>
      <c r="C748" s="1" t="n">
        <v>46128</v>
      </c>
      <c r="D748" t="inlineStr">
        <is>
          <t>VÄSTERBOTTENS LÄN</t>
        </is>
      </c>
      <c r="E748" t="inlineStr">
        <is>
          <t>ÅSELE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61506-2025</t>
        </is>
      </c>
      <c r="B749" s="1" t="n">
        <v>46001.68094907407</v>
      </c>
      <c r="C749" s="1" t="n">
        <v>46128</v>
      </c>
      <c r="D749" t="inlineStr">
        <is>
          <t>VÄSTERBOTTENS LÄN</t>
        </is>
      </c>
      <c r="E749" t="inlineStr">
        <is>
          <t>ÅSELE</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61450-2025</t>
        </is>
      </c>
      <c r="B750" s="1" t="n">
        <v>46001.57803240741</v>
      </c>
      <c r="C750" s="1" t="n">
        <v>46128</v>
      </c>
      <c r="D750" t="inlineStr">
        <is>
          <t>VÄSTERBOTTENS LÄN</t>
        </is>
      </c>
      <c r="E750" t="inlineStr">
        <is>
          <t>ÅSELE</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41468-2022</t>
        </is>
      </c>
      <c r="B751" s="1" t="n">
        <v>44826</v>
      </c>
      <c r="C751" s="1" t="n">
        <v>46128</v>
      </c>
      <c r="D751" t="inlineStr">
        <is>
          <t>VÄSTERBOTTENS LÄN</t>
        </is>
      </c>
      <c r="E751" t="inlineStr">
        <is>
          <t>ÅSELE</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61462-2025</t>
        </is>
      </c>
      <c r="B752" s="1" t="n">
        <v>46001.59894675926</v>
      </c>
      <c r="C752" s="1" t="n">
        <v>46128</v>
      </c>
      <c r="D752" t="inlineStr">
        <is>
          <t>VÄSTERBOTTENS LÄN</t>
        </is>
      </c>
      <c r="E752" t="inlineStr">
        <is>
          <t>ÅSELE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18034-2025</t>
        </is>
      </c>
      <c r="B753" s="1" t="n">
        <v>45761</v>
      </c>
      <c r="C753" s="1" t="n">
        <v>46128</v>
      </c>
      <c r="D753" t="inlineStr">
        <is>
          <t>VÄSTERBOTTENS LÄN</t>
        </is>
      </c>
      <c r="E753" t="inlineStr">
        <is>
          <t>ÅSELE</t>
        </is>
      </c>
      <c r="G753" t="n">
        <v>6.7</v>
      </c>
      <c r="H753" t="n">
        <v>0</v>
      </c>
      <c r="I753" t="n">
        <v>0</v>
      </c>
      <c r="J753" t="n">
        <v>0</v>
      </c>
      <c r="K753" t="n">
        <v>0</v>
      </c>
      <c r="L753" t="n">
        <v>0</v>
      </c>
      <c r="M753" t="n">
        <v>0</v>
      </c>
      <c r="N753" t="n">
        <v>0</v>
      </c>
      <c r="O753" t="n">
        <v>0</v>
      </c>
      <c r="P753" t="n">
        <v>0</v>
      </c>
      <c r="Q753" t="n">
        <v>0</v>
      </c>
      <c r="R753" s="2" t="inlineStr"/>
    </row>
    <row r="754" ht="15" customHeight="1">
      <c r="A754" t="inlineStr">
        <is>
          <t>A 61519-2025</t>
        </is>
      </c>
      <c r="B754" s="1" t="n">
        <v>46001.68630787037</v>
      </c>
      <c r="C754" s="1" t="n">
        <v>46128</v>
      </c>
      <c r="D754" t="inlineStr">
        <is>
          <t>VÄSTERBOTTENS LÄN</t>
        </is>
      </c>
      <c r="E754" t="inlineStr">
        <is>
          <t>ÅSELE</t>
        </is>
      </c>
      <c r="F754" t="inlineStr">
        <is>
          <t>SCA</t>
        </is>
      </c>
      <c r="G754" t="n">
        <v>17.4</v>
      </c>
      <c r="H754" t="n">
        <v>0</v>
      </c>
      <c r="I754" t="n">
        <v>0</v>
      </c>
      <c r="J754" t="n">
        <v>0</v>
      </c>
      <c r="K754" t="n">
        <v>0</v>
      </c>
      <c r="L754" t="n">
        <v>0</v>
      </c>
      <c r="M754" t="n">
        <v>0</v>
      </c>
      <c r="N754" t="n">
        <v>0</v>
      </c>
      <c r="O754" t="n">
        <v>0</v>
      </c>
      <c r="P754" t="n">
        <v>0</v>
      </c>
      <c r="Q754" t="n">
        <v>0</v>
      </c>
      <c r="R754" s="2" t="inlineStr"/>
    </row>
    <row r="755" ht="15" customHeight="1">
      <c r="A755" t="inlineStr">
        <is>
          <t>A 28881-2024</t>
        </is>
      </c>
      <c r="B755" s="1" t="n">
        <v>45479</v>
      </c>
      <c r="C755" s="1" t="n">
        <v>46128</v>
      </c>
      <c r="D755" t="inlineStr">
        <is>
          <t>VÄSTERBOTTENS LÄN</t>
        </is>
      </c>
      <c r="E755" t="inlineStr">
        <is>
          <t>ÅSELE</t>
        </is>
      </c>
      <c r="G755" t="n">
        <v>3.6</v>
      </c>
      <c r="H755" t="n">
        <v>0</v>
      </c>
      <c r="I755" t="n">
        <v>0</v>
      </c>
      <c r="J755" t="n">
        <v>0</v>
      </c>
      <c r="K755" t="n">
        <v>0</v>
      </c>
      <c r="L755" t="n">
        <v>0</v>
      </c>
      <c r="M755" t="n">
        <v>0</v>
      </c>
      <c r="N755" t="n">
        <v>0</v>
      </c>
      <c r="O755" t="n">
        <v>0</v>
      </c>
      <c r="P755" t="n">
        <v>0</v>
      </c>
      <c r="Q755" t="n">
        <v>0</v>
      </c>
      <c r="R755" s="2" t="inlineStr"/>
    </row>
    <row r="756" ht="15" customHeight="1">
      <c r="A756" t="inlineStr">
        <is>
          <t>A 61801-2023</t>
        </is>
      </c>
      <c r="B756" s="1" t="n">
        <v>45265.95881944444</v>
      </c>
      <c r="C756" s="1" t="n">
        <v>46128</v>
      </c>
      <c r="D756" t="inlineStr">
        <is>
          <t>VÄSTERBOTTENS LÄN</t>
        </is>
      </c>
      <c r="E756" t="inlineStr">
        <is>
          <t>ÅSELE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62179-2025</t>
        </is>
      </c>
      <c r="B757" s="1" t="n">
        <v>46006.52695601852</v>
      </c>
      <c r="C757" s="1" t="n">
        <v>46128</v>
      </c>
      <c r="D757" t="inlineStr">
        <is>
          <t>VÄSTERBOTTENS LÄN</t>
        </is>
      </c>
      <c r="E757" t="inlineStr">
        <is>
          <t>ÅSELE</t>
        </is>
      </c>
      <c r="F757" t="inlineStr">
        <is>
          <t>Holmen skog AB</t>
        </is>
      </c>
      <c r="G757" t="n">
        <v>4.8</v>
      </c>
      <c r="H757" t="n">
        <v>0</v>
      </c>
      <c r="I757" t="n">
        <v>0</v>
      </c>
      <c r="J757" t="n">
        <v>0</v>
      </c>
      <c r="K757" t="n">
        <v>0</v>
      </c>
      <c r="L757" t="n">
        <v>0</v>
      </c>
      <c r="M757" t="n">
        <v>0</v>
      </c>
      <c r="N757" t="n">
        <v>0</v>
      </c>
      <c r="O757" t="n">
        <v>0</v>
      </c>
      <c r="P757" t="n">
        <v>0</v>
      </c>
      <c r="Q757" t="n">
        <v>0</v>
      </c>
      <c r="R757" s="2" t="inlineStr"/>
    </row>
    <row r="758" ht="15" customHeight="1">
      <c r="A758" t="inlineStr">
        <is>
          <t>A 27951-2024</t>
        </is>
      </c>
      <c r="B758" s="1" t="n">
        <v>45476.32990740741</v>
      </c>
      <c r="C758" s="1" t="n">
        <v>46128</v>
      </c>
      <c r="D758" t="inlineStr">
        <is>
          <t>VÄSTERBOTTENS LÄN</t>
        </is>
      </c>
      <c r="E758" t="inlineStr">
        <is>
          <t>ÅSELE</t>
        </is>
      </c>
      <c r="F758" t="inlineStr">
        <is>
          <t>Sveaskog</t>
        </is>
      </c>
      <c r="G758" t="n">
        <v>4</v>
      </c>
      <c r="H758" t="n">
        <v>0</v>
      </c>
      <c r="I758" t="n">
        <v>0</v>
      </c>
      <c r="J758" t="n">
        <v>0</v>
      </c>
      <c r="K758" t="n">
        <v>0</v>
      </c>
      <c r="L758" t="n">
        <v>0</v>
      </c>
      <c r="M758" t="n">
        <v>0</v>
      </c>
      <c r="N758" t="n">
        <v>0</v>
      </c>
      <c r="O758" t="n">
        <v>0</v>
      </c>
      <c r="P758" t="n">
        <v>0</v>
      </c>
      <c r="Q758" t="n">
        <v>0</v>
      </c>
      <c r="R758" s="2" t="inlineStr"/>
    </row>
    <row r="759" ht="15" customHeight="1">
      <c r="A759" t="inlineStr">
        <is>
          <t>A 62309-2025</t>
        </is>
      </c>
      <c r="B759" s="1" t="n">
        <v>46006.67302083333</v>
      </c>
      <c r="C759" s="1" t="n">
        <v>46128</v>
      </c>
      <c r="D759" t="inlineStr">
        <is>
          <t>VÄSTERBOTTENS LÄN</t>
        </is>
      </c>
      <c r="E759" t="inlineStr">
        <is>
          <t>ÅSELE</t>
        </is>
      </c>
      <c r="F759" t="inlineStr">
        <is>
          <t>Naturvårdsverket</t>
        </is>
      </c>
      <c r="G759" t="n">
        <v>4.5</v>
      </c>
      <c r="H759" t="n">
        <v>0</v>
      </c>
      <c r="I759" t="n">
        <v>0</v>
      </c>
      <c r="J759" t="n">
        <v>0</v>
      </c>
      <c r="K759" t="n">
        <v>0</v>
      </c>
      <c r="L759" t="n">
        <v>0</v>
      </c>
      <c r="M759" t="n">
        <v>0</v>
      </c>
      <c r="N759" t="n">
        <v>0</v>
      </c>
      <c r="O759" t="n">
        <v>0</v>
      </c>
      <c r="P759" t="n">
        <v>0</v>
      </c>
      <c r="Q759" t="n">
        <v>0</v>
      </c>
      <c r="R759" s="2" t="inlineStr"/>
    </row>
    <row r="760" ht="15" customHeight="1">
      <c r="A760" t="inlineStr">
        <is>
          <t>A 15059-2025</t>
        </is>
      </c>
      <c r="B760" s="1" t="n">
        <v>45743</v>
      </c>
      <c r="C760" s="1" t="n">
        <v>46128</v>
      </c>
      <c r="D760" t="inlineStr">
        <is>
          <t>VÄSTERBOTTENS LÄN</t>
        </is>
      </c>
      <c r="E760" t="inlineStr">
        <is>
          <t>ÅSELE</t>
        </is>
      </c>
      <c r="F760" t="inlineStr">
        <is>
          <t>Holmen skog AB</t>
        </is>
      </c>
      <c r="G760" t="n">
        <v>13.7</v>
      </c>
      <c r="H760" t="n">
        <v>0</v>
      </c>
      <c r="I760" t="n">
        <v>0</v>
      </c>
      <c r="J760" t="n">
        <v>0</v>
      </c>
      <c r="K760" t="n">
        <v>0</v>
      </c>
      <c r="L760" t="n">
        <v>0</v>
      </c>
      <c r="M760" t="n">
        <v>0</v>
      </c>
      <c r="N760" t="n">
        <v>0</v>
      </c>
      <c r="O760" t="n">
        <v>0</v>
      </c>
      <c r="P760" t="n">
        <v>0</v>
      </c>
      <c r="Q760" t="n">
        <v>0</v>
      </c>
      <c r="R760" s="2" t="inlineStr"/>
    </row>
    <row r="761" ht="15" customHeight="1">
      <c r="A761" t="inlineStr">
        <is>
          <t>A 10109-2025</t>
        </is>
      </c>
      <c r="B761" s="1" t="n">
        <v>45719</v>
      </c>
      <c r="C761" s="1" t="n">
        <v>46128</v>
      </c>
      <c r="D761" t="inlineStr">
        <is>
          <t>VÄSTERBOTTENS LÄN</t>
        </is>
      </c>
      <c r="E761" t="inlineStr">
        <is>
          <t>ÅSELE</t>
        </is>
      </c>
      <c r="G761" t="n">
        <v>3.6</v>
      </c>
      <c r="H761" t="n">
        <v>0</v>
      </c>
      <c r="I761" t="n">
        <v>0</v>
      </c>
      <c r="J761" t="n">
        <v>0</v>
      </c>
      <c r="K761" t="n">
        <v>0</v>
      </c>
      <c r="L761" t="n">
        <v>0</v>
      </c>
      <c r="M761" t="n">
        <v>0</v>
      </c>
      <c r="N761" t="n">
        <v>0</v>
      </c>
      <c r="O761" t="n">
        <v>0</v>
      </c>
      <c r="P761" t="n">
        <v>0</v>
      </c>
      <c r="Q761" t="n">
        <v>0</v>
      </c>
      <c r="R761" s="2" t="inlineStr"/>
    </row>
    <row r="762" ht="15" customHeight="1">
      <c r="A762" t="inlineStr">
        <is>
          <t>A 2608-2024</t>
        </is>
      </c>
      <c r="B762" s="1" t="n">
        <v>45313.76722222222</v>
      </c>
      <c r="C762" s="1" t="n">
        <v>46128</v>
      </c>
      <c r="D762" t="inlineStr">
        <is>
          <t>VÄSTERBOTTENS LÄN</t>
        </is>
      </c>
      <c r="E762" t="inlineStr">
        <is>
          <t>ÅSELE</t>
        </is>
      </c>
      <c r="F762" t="inlineStr">
        <is>
          <t>Övriga Aktiebolag</t>
        </is>
      </c>
      <c r="G762" t="n">
        <v>20.6</v>
      </c>
      <c r="H762" t="n">
        <v>0</v>
      </c>
      <c r="I762" t="n">
        <v>0</v>
      </c>
      <c r="J762" t="n">
        <v>0</v>
      </c>
      <c r="K762" t="n">
        <v>0</v>
      </c>
      <c r="L762" t="n">
        <v>0</v>
      </c>
      <c r="M762" t="n">
        <v>0</v>
      </c>
      <c r="N762" t="n">
        <v>0</v>
      </c>
      <c r="O762" t="n">
        <v>0</v>
      </c>
      <c r="P762" t="n">
        <v>0</v>
      </c>
      <c r="Q762" t="n">
        <v>0</v>
      </c>
      <c r="R762" s="2" t="inlineStr"/>
    </row>
    <row r="763" ht="15" customHeight="1">
      <c r="A763" t="inlineStr">
        <is>
          <t>A 62364-2025</t>
        </is>
      </c>
      <c r="B763" s="1" t="n">
        <v>46007.32546296297</v>
      </c>
      <c r="C763" s="1" t="n">
        <v>46128</v>
      </c>
      <c r="D763" t="inlineStr">
        <is>
          <t>VÄSTERBOTTENS LÄN</t>
        </is>
      </c>
      <c r="E763" t="inlineStr">
        <is>
          <t>ÅSELE</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61874-2023</t>
        </is>
      </c>
      <c r="B764" s="1" t="n">
        <v>45266</v>
      </c>
      <c r="C764" s="1" t="n">
        <v>46128</v>
      </c>
      <c r="D764" t="inlineStr">
        <is>
          <t>VÄSTERBOTTENS LÄN</t>
        </is>
      </c>
      <c r="E764" t="inlineStr">
        <is>
          <t>ÅSELE</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61876-2023</t>
        </is>
      </c>
      <c r="B765" s="1" t="n">
        <v>45266</v>
      </c>
      <c r="C765" s="1" t="n">
        <v>46128</v>
      </c>
      <c r="D765" t="inlineStr">
        <is>
          <t>VÄSTERBOTTENS LÄN</t>
        </is>
      </c>
      <c r="E765" t="inlineStr">
        <is>
          <t>ÅSELE</t>
        </is>
      </c>
      <c r="F765" t="inlineStr">
        <is>
          <t>Sveaskog</t>
        </is>
      </c>
      <c r="G765" t="n">
        <v>6.3</v>
      </c>
      <c r="H765" t="n">
        <v>0</v>
      </c>
      <c r="I765" t="n">
        <v>0</v>
      </c>
      <c r="J765" t="n">
        <v>0</v>
      </c>
      <c r="K765" t="n">
        <v>0</v>
      </c>
      <c r="L765" t="n">
        <v>0</v>
      </c>
      <c r="M765" t="n">
        <v>0</v>
      </c>
      <c r="N765" t="n">
        <v>0</v>
      </c>
      <c r="O765" t="n">
        <v>0</v>
      </c>
      <c r="P765" t="n">
        <v>0</v>
      </c>
      <c r="Q765" t="n">
        <v>0</v>
      </c>
      <c r="R765" s="2" t="inlineStr"/>
    </row>
    <row r="766" ht="15" customHeight="1">
      <c r="A766" t="inlineStr">
        <is>
          <t>A 9355-2023</t>
        </is>
      </c>
      <c r="B766" s="1" t="n">
        <v>44980.93821759259</v>
      </c>
      <c r="C766" s="1" t="n">
        <v>46128</v>
      </c>
      <c r="D766" t="inlineStr">
        <is>
          <t>VÄSTERBOTTENS LÄN</t>
        </is>
      </c>
      <c r="E766" t="inlineStr">
        <is>
          <t>ÅSELE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1225-2023</t>
        </is>
      </c>
      <c r="B767" s="1" t="n">
        <v>44935.97194444444</v>
      </c>
      <c r="C767" s="1" t="n">
        <v>46128</v>
      </c>
      <c r="D767" t="inlineStr">
        <is>
          <t>VÄSTERBOTTENS LÄN</t>
        </is>
      </c>
      <c r="E767" t="inlineStr">
        <is>
          <t>ÅSELE</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8878-2024</t>
        </is>
      </c>
      <c r="B768" s="1" t="n">
        <v>45357</v>
      </c>
      <c r="C768" s="1" t="n">
        <v>46128</v>
      </c>
      <c r="D768" t="inlineStr">
        <is>
          <t>VÄSTERBOTTENS LÄN</t>
        </is>
      </c>
      <c r="E768" t="inlineStr">
        <is>
          <t>ÅSELE</t>
        </is>
      </c>
      <c r="F768" t="inlineStr">
        <is>
          <t>SCA</t>
        </is>
      </c>
      <c r="G768" t="n">
        <v>4.8</v>
      </c>
      <c r="H768" t="n">
        <v>0</v>
      </c>
      <c r="I768" t="n">
        <v>0</v>
      </c>
      <c r="J768" t="n">
        <v>0</v>
      </c>
      <c r="K768" t="n">
        <v>0</v>
      </c>
      <c r="L768" t="n">
        <v>0</v>
      </c>
      <c r="M768" t="n">
        <v>0</v>
      </c>
      <c r="N768" t="n">
        <v>0</v>
      </c>
      <c r="O768" t="n">
        <v>0</v>
      </c>
      <c r="P768" t="n">
        <v>0</v>
      </c>
      <c r="Q768" t="n">
        <v>0</v>
      </c>
      <c r="R768" s="2" t="inlineStr"/>
    </row>
    <row r="769" ht="15" customHeight="1">
      <c r="A769" t="inlineStr">
        <is>
          <t>A 29619-2024</t>
        </is>
      </c>
      <c r="B769" s="1" t="n">
        <v>45484.6541087963</v>
      </c>
      <c r="C769" s="1" t="n">
        <v>46128</v>
      </c>
      <c r="D769" t="inlineStr">
        <is>
          <t>VÄSTERBOTTENS LÄN</t>
        </is>
      </c>
      <c r="E769" t="inlineStr">
        <is>
          <t>ÅSELE</t>
        </is>
      </c>
      <c r="F769" t="inlineStr">
        <is>
          <t>Sveaskog</t>
        </is>
      </c>
      <c r="G769" t="n">
        <v>9.5</v>
      </c>
      <c r="H769" t="n">
        <v>0</v>
      </c>
      <c r="I769" t="n">
        <v>0</v>
      </c>
      <c r="J769" t="n">
        <v>0</v>
      </c>
      <c r="K769" t="n">
        <v>0</v>
      </c>
      <c r="L769" t="n">
        <v>0</v>
      </c>
      <c r="M769" t="n">
        <v>0</v>
      </c>
      <c r="N769" t="n">
        <v>0</v>
      </c>
      <c r="O769" t="n">
        <v>0</v>
      </c>
      <c r="P769" t="n">
        <v>0</v>
      </c>
      <c r="Q769" t="n">
        <v>0</v>
      </c>
      <c r="R769" s="2" t="inlineStr"/>
    </row>
    <row r="770" ht="15" customHeight="1">
      <c r="A770" t="inlineStr">
        <is>
          <t>A 10176-2024</t>
        </is>
      </c>
      <c r="B770" s="1" t="n">
        <v>45364</v>
      </c>
      <c r="C770" s="1" t="n">
        <v>46128</v>
      </c>
      <c r="D770" t="inlineStr">
        <is>
          <t>VÄSTERBOTTENS LÄN</t>
        </is>
      </c>
      <c r="E770" t="inlineStr">
        <is>
          <t>ÅSELE</t>
        </is>
      </c>
      <c r="G770" t="n">
        <v>4.2</v>
      </c>
      <c r="H770" t="n">
        <v>0</v>
      </c>
      <c r="I770" t="n">
        <v>0</v>
      </c>
      <c r="J770" t="n">
        <v>0</v>
      </c>
      <c r="K770" t="n">
        <v>0</v>
      </c>
      <c r="L770" t="n">
        <v>0</v>
      </c>
      <c r="M770" t="n">
        <v>0</v>
      </c>
      <c r="N770" t="n">
        <v>0</v>
      </c>
      <c r="O770" t="n">
        <v>0</v>
      </c>
      <c r="P770" t="n">
        <v>0</v>
      </c>
      <c r="Q770" t="n">
        <v>0</v>
      </c>
      <c r="R770" s="2" t="inlineStr"/>
    </row>
    <row r="771" ht="15" customHeight="1">
      <c r="A771" t="inlineStr">
        <is>
          <t>A 28939-2024</t>
        </is>
      </c>
      <c r="B771" s="1" t="n">
        <v>45481.37263888889</v>
      </c>
      <c r="C771" s="1" t="n">
        <v>46128</v>
      </c>
      <c r="D771" t="inlineStr">
        <is>
          <t>VÄSTERBOTTENS LÄN</t>
        </is>
      </c>
      <c r="E771" t="inlineStr">
        <is>
          <t>ÅSELE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65040-2023</t>
        </is>
      </c>
      <c r="B772" s="1" t="n">
        <v>45282</v>
      </c>
      <c r="C772" s="1" t="n">
        <v>46128</v>
      </c>
      <c r="D772" t="inlineStr">
        <is>
          <t>VÄSTERBOTTENS LÄN</t>
        </is>
      </c>
      <c r="E772" t="inlineStr">
        <is>
          <t>ÅSELE</t>
        </is>
      </c>
      <c r="G772" t="n">
        <v>6.6</v>
      </c>
      <c r="H772" t="n">
        <v>0</v>
      </c>
      <c r="I772" t="n">
        <v>0</v>
      </c>
      <c r="J772" t="n">
        <v>0</v>
      </c>
      <c r="K772" t="n">
        <v>0</v>
      </c>
      <c r="L772" t="n">
        <v>0</v>
      </c>
      <c r="M772" t="n">
        <v>0</v>
      </c>
      <c r="N772" t="n">
        <v>0</v>
      </c>
      <c r="O772" t="n">
        <v>0</v>
      </c>
      <c r="P772" t="n">
        <v>0</v>
      </c>
      <c r="Q772" t="n">
        <v>0</v>
      </c>
      <c r="R772" s="2" t="inlineStr"/>
    </row>
    <row r="773" ht="15" customHeight="1">
      <c r="A773" t="inlineStr">
        <is>
          <t>A 32058-2024</t>
        </is>
      </c>
      <c r="B773" s="1" t="n">
        <v>45510</v>
      </c>
      <c r="C773" s="1" t="n">
        <v>46128</v>
      </c>
      <c r="D773" t="inlineStr">
        <is>
          <t>VÄSTERBOTTENS LÄN</t>
        </is>
      </c>
      <c r="E773" t="inlineStr">
        <is>
          <t>ÅSELE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32214-2022</t>
        </is>
      </c>
      <c r="B774" s="1" t="n">
        <v>44781</v>
      </c>
      <c r="C774" s="1" t="n">
        <v>46128</v>
      </c>
      <c r="D774" t="inlineStr">
        <is>
          <t>VÄSTERBOTTENS LÄN</t>
        </is>
      </c>
      <c r="E774" t="inlineStr">
        <is>
          <t>ÅSELE</t>
        </is>
      </c>
      <c r="G774" t="n">
        <v>1.3</v>
      </c>
      <c r="H774" t="n">
        <v>0</v>
      </c>
      <c r="I774" t="n">
        <v>0</v>
      </c>
      <c r="J774" t="n">
        <v>0</v>
      </c>
      <c r="K774" t="n">
        <v>0</v>
      </c>
      <c r="L774" t="n">
        <v>0</v>
      </c>
      <c r="M774" t="n">
        <v>0</v>
      </c>
      <c r="N774" t="n">
        <v>0</v>
      </c>
      <c r="O774" t="n">
        <v>0</v>
      </c>
      <c r="P774" t="n">
        <v>0</v>
      </c>
      <c r="Q774" t="n">
        <v>0</v>
      </c>
      <c r="R774" s="2" t="inlineStr"/>
    </row>
    <row r="775" ht="15" customHeight="1">
      <c r="A775" t="inlineStr">
        <is>
          <t>A 62259-2022</t>
        </is>
      </c>
      <c r="B775" s="1" t="n">
        <v>44922.94351851852</v>
      </c>
      <c r="C775" s="1" t="n">
        <v>46128</v>
      </c>
      <c r="D775" t="inlineStr">
        <is>
          <t>VÄSTERBOTTENS LÄN</t>
        </is>
      </c>
      <c r="E775" t="inlineStr">
        <is>
          <t>ÅSELE</t>
        </is>
      </c>
      <c r="F775" t="inlineStr">
        <is>
          <t>SCA</t>
        </is>
      </c>
      <c r="G775" t="n">
        <v>5.4</v>
      </c>
      <c r="H775" t="n">
        <v>0</v>
      </c>
      <c r="I775" t="n">
        <v>0</v>
      </c>
      <c r="J775" t="n">
        <v>0</v>
      </c>
      <c r="K775" t="n">
        <v>0</v>
      </c>
      <c r="L775" t="n">
        <v>0</v>
      </c>
      <c r="M775" t="n">
        <v>0</v>
      </c>
      <c r="N775" t="n">
        <v>0</v>
      </c>
      <c r="O775" t="n">
        <v>0</v>
      </c>
      <c r="P775" t="n">
        <v>0</v>
      </c>
      <c r="Q775" t="n">
        <v>0</v>
      </c>
      <c r="R775" s="2" t="inlineStr"/>
    </row>
    <row r="776" ht="15" customHeight="1">
      <c r="A776" t="inlineStr">
        <is>
          <t>A 18693-2025</t>
        </is>
      </c>
      <c r="B776" s="1" t="n">
        <v>45763</v>
      </c>
      <c r="C776" s="1" t="n">
        <v>46128</v>
      </c>
      <c r="D776" t="inlineStr">
        <is>
          <t>VÄSTERBOTTENS LÄN</t>
        </is>
      </c>
      <c r="E776" t="inlineStr">
        <is>
          <t>ÅSELE</t>
        </is>
      </c>
      <c r="F776" t="inlineStr">
        <is>
          <t>SCA</t>
        </is>
      </c>
      <c r="G776" t="n">
        <v>10.3</v>
      </c>
      <c r="H776" t="n">
        <v>0</v>
      </c>
      <c r="I776" t="n">
        <v>0</v>
      </c>
      <c r="J776" t="n">
        <v>0</v>
      </c>
      <c r="K776" t="n">
        <v>0</v>
      </c>
      <c r="L776" t="n">
        <v>0</v>
      </c>
      <c r="M776" t="n">
        <v>0</v>
      </c>
      <c r="N776" t="n">
        <v>0</v>
      </c>
      <c r="O776" t="n">
        <v>0</v>
      </c>
      <c r="P776" t="n">
        <v>0</v>
      </c>
      <c r="Q776" t="n">
        <v>0</v>
      </c>
      <c r="R776" s="2" t="inlineStr"/>
    </row>
    <row r="777" ht="15" customHeight="1">
      <c r="A777" t="inlineStr">
        <is>
          <t>A 17885-2023</t>
        </is>
      </c>
      <c r="B777" s="1" t="n">
        <v>45037</v>
      </c>
      <c r="C777" s="1" t="n">
        <v>46128</v>
      </c>
      <c r="D777" t="inlineStr">
        <is>
          <t>VÄSTERBOTTENS LÄN</t>
        </is>
      </c>
      <c r="E777" t="inlineStr">
        <is>
          <t>ÅSELE</t>
        </is>
      </c>
      <c r="G777" t="n">
        <v>7.6</v>
      </c>
      <c r="H777" t="n">
        <v>0</v>
      </c>
      <c r="I777" t="n">
        <v>0</v>
      </c>
      <c r="J777" t="n">
        <v>0</v>
      </c>
      <c r="K777" t="n">
        <v>0</v>
      </c>
      <c r="L777" t="n">
        <v>0</v>
      </c>
      <c r="M777" t="n">
        <v>0</v>
      </c>
      <c r="N777" t="n">
        <v>0</v>
      </c>
      <c r="O777" t="n">
        <v>0</v>
      </c>
      <c r="P777" t="n">
        <v>0</v>
      </c>
      <c r="Q777" t="n">
        <v>0</v>
      </c>
      <c r="R777" s="2" t="inlineStr"/>
    </row>
    <row r="778" ht="15" customHeight="1">
      <c r="A778" t="inlineStr">
        <is>
          <t>A 25636-2024</t>
        </is>
      </c>
      <c r="B778" s="1" t="n">
        <v>45463</v>
      </c>
      <c r="C778" s="1" t="n">
        <v>46128</v>
      </c>
      <c r="D778" t="inlineStr">
        <is>
          <t>VÄSTERBOTTENS LÄN</t>
        </is>
      </c>
      <c r="E778" t="inlineStr">
        <is>
          <t>ÅSELE</t>
        </is>
      </c>
      <c r="F778" t="inlineStr">
        <is>
          <t>Sveaskog</t>
        </is>
      </c>
      <c r="G778" t="n">
        <v>5.3</v>
      </c>
      <c r="H778" t="n">
        <v>0</v>
      </c>
      <c r="I778" t="n">
        <v>0</v>
      </c>
      <c r="J778" t="n">
        <v>0</v>
      </c>
      <c r="K778" t="n">
        <v>0</v>
      </c>
      <c r="L778" t="n">
        <v>0</v>
      </c>
      <c r="M778" t="n">
        <v>0</v>
      </c>
      <c r="N778" t="n">
        <v>0</v>
      </c>
      <c r="O778" t="n">
        <v>0</v>
      </c>
      <c r="P778" t="n">
        <v>0</v>
      </c>
      <c r="Q778" t="n">
        <v>0</v>
      </c>
      <c r="R778" s="2" t="inlineStr"/>
    </row>
    <row r="779" ht="15" customHeight="1">
      <c r="A779" t="inlineStr">
        <is>
          <t>A 25557-2024</t>
        </is>
      </c>
      <c r="B779" s="1" t="n">
        <v>45463.58333333334</v>
      </c>
      <c r="C779" s="1" t="n">
        <v>46128</v>
      </c>
      <c r="D779" t="inlineStr">
        <is>
          <t>VÄSTERBOTTENS LÄN</t>
        </is>
      </c>
      <c r="E779" t="inlineStr">
        <is>
          <t>ÅSELE</t>
        </is>
      </c>
      <c r="F779" t="inlineStr">
        <is>
          <t>Sveaskog</t>
        </is>
      </c>
      <c r="G779" t="n">
        <v>11.2</v>
      </c>
      <c r="H779" t="n">
        <v>0</v>
      </c>
      <c r="I779" t="n">
        <v>0</v>
      </c>
      <c r="J779" t="n">
        <v>0</v>
      </c>
      <c r="K779" t="n">
        <v>0</v>
      </c>
      <c r="L779" t="n">
        <v>0</v>
      </c>
      <c r="M779" t="n">
        <v>0</v>
      </c>
      <c r="N779" t="n">
        <v>0</v>
      </c>
      <c r="O779" t="n">
        <v>0</v>
      </c>
      <c r="P779" t="n">
        <v>0</v>
      </c>
      <c r="Q779" t="n">
        <v>0</v>
      </c>
      <c r="R779" s="2" t="inlineStr"/>
    </row>
    <row r="780" ht="15" customHeight="1">
      <c r="A780" t="inlineStr">
        <is>
          <t>A 45311-2024</t>
        </is>
      </c>
      <c r="B780" s="1" t="n">
        <v>45576.43226851852</v>
      </c>
      <c r="C780" s="1" t="n">
        <v>46128</v>
      </c>
      <c r="D780" t="inlineStr">
        <is>
          <t>VÄSTERBOTTENS LÄN</t>
        </is>
      </c>
      <c r="E780" t="inlineStr">
        <is>
          <t>ÅSELE</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38197-2024</t>
        </is>
      </c>
      <c r="B781" s="1" t="n">
        <v>45545</v>
      </c>
      <c r="C781" s="1" t="n">
        <v>46128</v>
      </c>
      <c r="D781" t="inlineStr">
        <is>
          <t>VÄSTERBOTTENS LÄN</t>
        </is>
      </c>
      <c r="E781" t="inlineStr">
        <is>
          <t>ÅSELE</t>
        </is>
      </c>
      <c r="F781" t="inlineStr">
        <is>
          <t>Sveaskog</t>
        </is>
      </c>
      <c r="G781" t="n">
        <v>10.6</v>
      </c>
      <c r="H781" t="n">
        <v>0</v>
      </c>
      <c r="I781" t="n">
        <v>0</v>
      </c>
      <c r="J781" t="n">
        <v>0</v>
      </c>
      <c r="K781" t="n">
        <v>0</v>
      </c>
      <c r="L781" t="n">
        <v>0</v>
      </c>
      <c r="M781" t="n">
        <v>0</v>
      </c>
      <c r="N781" t="n">
        <v>0</v>
      </c>
      <c r="O781" t="n">
        <v>0</v>
      </c>
      <c r="P781" t="n">
        <v>0</v>
      </c>
      <c r="Q781" t="n">
        <v>0</v>
      </c>
      <c r="R781" s="2" t="inlineStr"/>
    </row>
    <row r="782" ht="15" customHeight="1">
      <c r="A782" t="inlineStr">
        <is>
          <t>A 35453-2025</t>
        </is>
      </c>
      <c r="B782" s="1" t="n">
        <v>45855</v>
      </c>
      <c r="C782" s="1" t="n">
        <v>46128</v>
      </c>
      <c r="D782" t="inlineStr">
        <is>
          <t>VÄSTERBOTTENS LÄN</t>
        </is>
      </c>
      <c r="E782" t="inlineStr">
        <is>
          <t>ÅSELE</t>
        </is>
      </c>
      <c r="G782" t="n">
        <v>7</v>
      </c>
      <c r="H782" t="n">
        <v>0</v>
      </c>
      <c r="I782" t="n">
        <v>0</v>
      </c>
      <c r="J782" t="n">
        <v>0</v>
      </c>
      <c r="K782" t="n">
        <v>0</v>
      </c>
      <c r="L782" t="n">
        <v>0</v>
      </c>
      <c r="M782" t="n">
        <v>0</v>
      </c>
      <c r="N782" t="n">
        <v>0</v>
      </c>
      <c r="O782" t="n">
        <v>0</v>
      </c>
      <c r="P782" t="n">
        <v>0</v>
      </c>
      <c r="Q782" t="n">
        <v>0</v>
      </c>
      <c r="R782" s="2" t="inlineStr"/>
    </row>
    <row r="783" ht="15" customHeight="1">
      <c r="A783" t="inlineStr">
        <is>
          <t>A 3063-2024</t>
        </is>
      </c>
      <c r="B783" s="1" t="n">
        <v>45316</v>
      </c>
      <c r="C783" s="1" t="n">
        <v>46128</v>
      </c>
      <c r="D783" t="inlineStr">
        <is>
          <t>VÄSTERBOTTENS LÄN</t>
        </is>
      </c>
      <c r="E783" t="inlineStr">
        <is>
          <t>ÅSELE</t>
        </is>
      </c>
      <c r="G783" t="n">
        <v>0.5</v>
      </c>
      <c r="H783" t="n">
        <v>0</v>
      </c>
      <c r="I783" t="n">
        <v>0</v>
      </c>
      <c r="J783" t="n">
        <v>0</v>
      </c>
      <c r="K783" t="n">
        <v>0</v>
      </c>
      <c r="L783" t="n">
        <v>0</v>
      </c>
      <c r="M783" t="n">
        <v>0</v>
      </c>
      <c r="N783" t="n">
        <v>0</v>
      </c>
      <c r="O783" t="n">
        <v>0</v>
      </c>
      <c r="P783" t="n">
        <v>0</v>
      </c>
      <c r="Q783" t="n">
        <v>0</v>
      </c>
      <c r="R783" s="2" t="inlineStr"/>
    </row>
    <row r="784" ht="15" customHeight="1">
      <c r="A784" t="inlineStr">
        <is>
          <t>A 413-2026</t>
        </is>
      </c>
      <c r="B784" s="1" t="n">
        <v>46028.75300925926</v>
      </c>
      <c r="C784" s="1" t="n">
        <v>46128</v>
      </c>
      <c r="D784" t="inlineStr">
        <is>
          <t>VÄSTERBOTTENS LÄN</t>
        </is>
      </c>
      <c r="E784" t="inlineStr">
        <is>
          <t>ÅSELE</t>
        </is>
      </c>
      <c r="G784" t="n">
        <v>3.8</v>
      </c>
      <c r="H784" t="n">
        <v>0</v>
      </c>
      <c r="I784" t="n">
        <v>0</v>
      </c>
      <c r="J784" t="n">
        <v>0</v>
      </c>
      <c r="K784" t="n">
        <v>0</v>
      </c>
      <c r="L784" t="n">
        <v>0</v>
      </c>
      <c r="M784" t="n">
        <v>0</v>
      </c>
      <c r="N784" t="n">
        <v>0</v>
      </c>
      <c r="O784" t="n">
        <v>0</v>
      </c>
      <c r="P784" t="n">
        <v>0</v>
      </c>
      <c r="Q784" t="n">
        <v>0</v>
      </c>
      <c r="R784" s="2" t="inlineStr"/>
    </row>
    <row r="785" ht="15" customHeight="1">
      <c r="A785" t="inlineStr">
        <is>
          <t>A 30058-2024</t>
        </is>
      </c>
      <c r="B785" s="1" t="n">
        <v>45488.94793981482</v>
      </c>
      <c r="C785" s="1" t="n">
        <v>46128</v>
      </c>
      <c r="D785" t="inlineStr">
        <is>
          <t>VÄSTERBOTTENS LÄN</t>
        </is>
      </c>
      <c r="E785" t="inlineStr">
        <is>
          <t>ÅSELE</t>
        </is>
      </c>
      <c r="F785" t="inlineStr">
        <is>
          <t>SCA</t>
        </is>
      </c>
      <c r="G785" t="n">
        <v>7.6</v>
      </c>
      <c r="H785" t="n">
        <v>0</v>
      </c>
      <c r="I785" t="n">
        <v>0</v>
      </c>
      <c r="J785" t="n">
        <v>0</v>
      </c>
      <c r="K785" t="n">
        <v>0</v>
      </c>
      <c r="L785" t="n">
        <v>0</v>
      </c>
      <c r="M785" t="n">
        <v>0</v>
      </c>
      <c r="N785" t="n">
        <v>0</v>
      </c>
      <c r="O785" t="n">
        <v>0</v>
      </c>
      <c r="P785" t="n">
        <v>0</v>
      </c>
      <c r="Q785" t="n">
        <v>0</v>
      </c>
      <c r="R785" s="2" t="inlineStr"/>
    </row>
    <row r="786" ht="15" customHeight="1">
      <c r="A786" t="inlineStr">
        <is>
          <t>A 54729-2024</t>
        </is>
      </c>
      <c r="B786" s="1" t="n">
        <v>45618.43826388889</v>
      </c>
      <c r="C786" s="1" t="n">
        <v>46128</v>
      </c>
      <c r="D786" t="inlineStr">
        <is>
          <t>VÄSTERBOTTENS LÄN</t>
        </is>
      </c>
      <c r="E786" t="inlineStr">
        <is>
          <t>ÅSELE</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56572-2022</t>
        </is>
      </c>
      <c r="B787" s="1" t="n">
        <v>44888</v>
      </c>
      <c r="C787" s="1" t="n">
        <v>46128</v>
      </c>
      <c r="D787" t="inlineStr">
        <is>
          <t>VÄSTERBOTTENS LÄN</t>
        </is>
      </c>
      <c r="E787" t="inlineStr">
        <is>
          <t>ÅSELE</t>
        </is>
      </c>
      <c r="G787" t="n">
        <v>1.1</v>
      </c>
      <c r="H787" t="n">
        <v>0</v>
      </c>
      <c r="I787" t="n">
        <v>0</v>
      </c>
      <c r="J787" t="n">
        <v>0</v>
      </c>
      <c r="K787" t="n">
        <v>0</v>
      </c>
      <c r="L787" t="n">
        <v>0</v>
      </c>
      <c r="M787" t="n">
        <v>0</v>
      </c>
      <c r="N787" t="n">
        <v>0</v>
      </c>
      <c r="O787" t="n">
        <v>0</v>
      </c>
      <c r="P787" t="n">
        <v>0</v>
      </c>
      <c r="Q787" t="n">
        <v>0</v>
      </c>
      <c r="R787" s="2" t="inlineStr"/>
    </row>
    <row r="788" ht="15" customHeight="1">
      <c r="A788" t="inlineStr">
        <is>
          <t>A 33194-2024</t>
        </is>
      </c>
      <c r="B788" s="1" t="n">
        <v>45518</v>
      </c>
      <c r="C788" s="1" t="n">
        <v>46128</v>
      </c>
      <c r="D788" t="inlineStr">
        <is>
          <t>VÄSTERBOTTENS LÄN</t>
        </is>
      </c>
      <c r="E788" t="inlineStr">
        <is>
          <t>ÅSELE</t>
        </is>
      </c>
      <c r="G788" t="n">
        <v>2.7</v>
      </c>
      <c r="H788" t="n">
        <v>0</v>
      </c>
      <c r="I788" t="n">
        <v>0</v>
      </c>
      <c r="J788" t="n">
        <v>0</v>
      </c>
      <c r="K788" t="n">
        <v>0</v>
      </c>
      <c r="L788" t="n">
        <v>0</v>
      </c>
      <c r="M788" t="n">
        <v>0</v>
      </c>
      <c r="N788" t="n">
        <v>0</v>
      </c>
      <c r="O788" t="n">
        <v>0</v>
      </c>
      <c r="P788" t="n">
        <v>0</v>
      </c>
      <c r="Q788" t="n">
        <v>0</v>
      </c>
      <c r="R788" s="2" t="inlineStr"/>
    </row>
    <row r="789" ht="15" customHeight="1">
      <c r="A789" t="inlineStr">
        <is>
          <t>A 48328-2024</t>
        </is>
      </c>
      <c r="B789" s="1" t="n">
        <v>45590</v>
      </c>
      <c r="C789" s="1" t="n">
        <v>46128</v>
      </c>
      <c r="D789" t="inlineStr">
        <is>
          <t>VÄSTERBOTTENS LÄN</t>
        </is>
      </c>
      <c r="E789" t="inlineStr">
        <is>
          <t>ÅSELE</t>
        </is>
      </c>
      <c r="F789" t="inlineStr">
        <is>
          <t>Sveaskog</t>
        </is>
      </c>
      <c r="G789" t="n">
        <v>3.3</v>
      </c>
      <c r="H789" t="n">
        <v>0</v>
      </c>
      <c r="I789" t="n">
        <v>0</v>
      </c>
      <c r="J789" t="n">
        <v>0</v>
      </c>
      <c r="K789" t="n">
        <v>0</v>
      </c>
      <c r="L789" t="n">
        <v>0</v>
      </c>
      <c r="M789" t="n">
        <v>0</v>
      </c>
      <c r="N789" t="n">
        <v>0</v>
      </c>
      <c r="O789" t="n">
        <v>0</v>
      </c>
      <c r="P789" t="n">
        <v>0</v>
      </c>
      <c r="Q789" t="n">
        <v>0</v>
      </c>
      <c r="R789" s="2" t="inlineStr"/>
    </row>
    <row r="790" ht="15" customHeight="1">
      <c r="A790" t="inlineStr">
        <is>
          <t>A 50308-2025</t>
        </is>
      </c>
      <c r="B790" s="1" t="n">
        <v>45944</v>
      </c>
      <c r="C790" s="1" t="n">
        <v>46128</v>
      </c>
      <c r="D790" t="inlineStr">
        <is>
          <t>VÄSTERBOTTENS LÄN</t>
        </is>
      </c>
      <c r="E790" t="inlineStr">
        <is>
          <t>ÅSELE</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34236-2023</t>
        </is>
      </c>
      <c r="B791" s="1" t="n">
        <v>45127</v>
      </c>
      <c r="C791" s="1" t="n">
        <v>46128</v>
      </c>
      <c r="D791" t="inlineStr">
        <is>
          <t>VÄSTERBOTTENS LÄN</t>
        </is>
      </c>
      <c r="E791" t="inlineStr">
        <is>
          <t>ÅSELE</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42910-2024</t>
        </is>
      </c>
      <c r="B792" s="1" t="n">
        <v>45566.94626157408</v>
      </c>
      <c r="C792" s="1" t="n">
        <v>46128</v>
      </c>
      <c r="D792" t="inlineStr">
        <is>
          <t>VÄSTERBOTTENS LÄN</t>
        </is>
      </c>
      <c r="E792" t="inlineStr">
        <is>
          <t>ÅSELE</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57788-2023</t>
        </is>
      </c>
      <c r="B793" s="1" t="n">
        <v>45246</v>
      </c>
      <c r="C793" s="1" t="n">
        <v>46128</v>
      </c>
      <c r="D793" t="inlineStr">
        <is>
          <t>VÄSTERBOTTENS LÄN</t>
        </is>
      </c>
      <c r="E793" t="inlineStr">
        <is>
          <t>ÅSELE</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61397-2022</t>
        </is>
      </c>
      <c r="B794" s="1" t="n">
        <v>44915.94381944444</v>
      </c>
      <c r="C794" s="1" t="n">
        <v>46128</v>
      </c>
      <c r="D794" t="inlineStr">
        <is>
          <t>VÄSTERBOTTENS LÄN</t>
        </is>
      </c>
      <c r="E794" t="inlineStr">
        <is>
          <t>ÅSELE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10082-2023</t>
        </is>
      </c>
      <c r="B795" s="1" t="n">
        <v>44985</v>
      </c>
      <c r="C795" s="1" t="n">
        <v>46128</v>
      </c>
      <c r="D795" t="inlineStr">
        <is>
          <t>VÄSTERBOTTENS LÄN</t>
        </is>
      </c>
      <c r="E795" t="inlineStr">
        <is>
          <t>ÅSELE</t>
        </is>
      </c>
      <c r="F795" t="inlineStr">
        <is>
          <t>SCA</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11291-2023</t>
        </is>
      </c>
      <c r="B796" s="1" t="n">
        <v>44992</v>
      </c>
      <c r="C796" s="1" t="n">
        <v>46128</v>
      </c>
      <c r="D796" t="inlineStr">
        <is>
          <t>VÄSTERBOTTENS LÄN</t>
        </is>
      </c>
      <c r="E796" t="inlineStr">
        <is>
          <t>ÅSELE</t>
        </is>
      </c>
      <c r="G796" t="n">
        <v>0.5</v>
      </c>
      <c r="H796" t="n">
        <v>0</v>
      </c>
      <c r="I796" t="n">
        <v>0</v>
      </c>
      <c r="J796" t="n">
        <v>0</v>
      </c>
      <c r="K796" t="n">
        <v>0</v>
      </c>
      <c r="L796" t="n">
        <v>0</v>
      </c>
      <c r="M796" t="n">
        <v>0</v>
      </c>
      <c r="N796" t="n">
        <v>0</v>
      </c>
      <c r="O796" t="n">
        <v>0</v>
      </c>
      <c r="P796" t="n">
        <v>0</v>
      </c>
      <c r="Q796" t="n">
        <v>0</v>
      </c>
      <c r="R796" s="2" t="inlineStr"/>
    </row>
    <row r="797" ht="15" customHeight="1">
      <c r="A797" t="inlineStr">
        <is>
          <t>A 64949-2023</t>
        </is>
      </c>
      <c r="B797" s="1" t="n">
        <v>45282.94709490741</v>
      </c>
      <c r="C797" s="1" t="n">
        <v>46128</v>
      </c>
      <c r="D797" t="inlineStr">
        <is>
          <t>VÄSTERBOTTENS LÄN</t>
        </is>
      </c>
      <c r="E797" t="inlineStr">
        <is>
          <t>ÅSELE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50200-2023</t>
        </is>
      </c>
      <c r="B798" s="1" t="n">
        <v>45215.87696759259</v>
      </c>
      <c r="C798" s="1" t="n">
        <v>46128</v>
      </c>
      <c r="D798" t="inlineStr">
        <is>
          <t>VÄSTERBOTTENS LÄN</t>
        </is>
      </c>
      <c r="E798" t="inlineStr">
        <is>
          <t>ÅSELE</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10080-2023</t>
        </is>
      </c>
      <c r="B799" s="1" t="n">
        <v>44985.94431712963</v>
      </c>
      <c r="C799" s="1" t="n">
        <v>46128</v>
      </c>
      <c r="D799" t="inlineStr">
        <is>
          <t>VÄSTERBOTTENS LÄN</t>
        </is>
      </c>
      <c r="E799" t="inlineStr">
        <is>
          <t>ÅSELE</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2892-2025</t>
        </is>
      </c>
      <c r="B800" s="1" t="n">
        <v>45677</v>
      </c>
      <c r="C800" s="1" t="n">
        <v>46128</v>
      </c>
      <c r="D800" t="inlineStr">
        <is>
          <t>VÄSTERBOTTENS LÄN</t>
        </is>
      </c>
      <c r="E800" t="inlineStr">
        <is>
          <t>ÅSELE</t>
        </is>
      </c>
      <c r="G800" t="n">
        <v>3.1</v>
      </c>
      <c r="H800" t="n">
        <v>0</v>
      </c>
      <c r="I800" t="n">
        <v>0</v>
      </c>
      <c r="J800" t="n">
        <v>0</v>
      </c>
      <c r="K800" t="n">
        <v>0</v>
      </c>
      <c r="L800" t="n">
        <v>0</v>
      </c>
      <c r="M800" t="n">
        <v>0</v>
      </c>
      <c r="N800" t="n">
        <v>0</v>
      </c>
      <c r="O800" t="n">
        <v>0</v>
      </c>
      <c r="P800" t="n">
        <v>0</v>
      </c>
      <c r="Q800" t="n">
        <v>0</v>
      </c>
      <c r="R800" s="2" t="inlineStr"/>
    </row>
    <row r="801" ht="15" customHeight="1">
      <c r="A801" t="inlineStr">
        <is>
          <t>A 2101-2026</t>
        </is>
      </c>
      <c r="B801" s="1" t="n">
        <v>46036.37449074074</v>
      </c>
      <c r="C801" s="1" t="n">
        <v>46128</v>
      </c>
      <c r="D801" t="inlineStr">
        <is>
          <t>VÄSTERBOTTENS LÄN</t>
        </is>
      </c>
      <c r="E801" t="inlineStr">
        <is>
          <t>ÅSELE</t>
        </is>
      </c>
      <c r="F801" t="inlineStr">
        <is>
          <t>Sveaskog</t>
        </is>
      </c>
      <c r="G801" t="n">
        <v>6.6</v>
      </c>
      <c r="H801" t="n">
        <v>0</v>
      </c>
      <c r="I801" t="n">
        <v>0</v>
      </c>
      <c r="J801" t="n">
        <v>0</v>
      </c>
      <c r="K801" t="n">
        <v>0</v>
      </c>
      <c r="L801" t="n">
        <v>0</v>
      </c>
      <c r="M801" t="n">
        <v>0</v>
      </c>
      <c r="N801" t="n">
        <v>0</v>
      </c>
      <c r="O801" t="n">
        <v>0</v>
      </c>
      <c r="P801" t="n">
        <v>0</v>
      </c>
      <c r="Q801" t="n">
        <v>0</v>
      </c>
      <c r="R801" s="2" t="inlineStr"/>
    </row>
    <row r="802" ht="15" customHeight="1">
      <c r="A802" t="inlineStr">
        <is>
          <t>A 2294-2026</t>
        </is>
      </c>
      <c r="B802" s="1" t="n">
        <v>46036.58723379629</v>
      </c>
      <c r="C802" s="1" t="n">
        <v>46128</v>
      </c>
      <c r="D802" t="inlineStr">
        <is>
          <t>VÄSTERBOTTENS LÄN</t>
        </is>
      </c>
      <c r="E802" t="inlineStr">
        <is>
          <t>ÅSELE</t>
        </is>
      </c>
      <c r="F802" t="inlineStr">
        <is>
          <t>Sveaskog</t>
        </is>
      </c>
      <c r="G802" t="n">
        <v>7.4</v>
      </c>
      <c r="H802" t="n">
        <v>0</v>
      </c>
      <c r="I802" t="n">
        <v>0</v>
      </c>
      <c r="J802" t="n">
        <v>0</v>
      </c>
      <c r="K802" t="n">
        <v>0</v>
      </c>
      <c r="L802" t="n">
        <v>0</v>
      </c>
      <c r="M802" t="n">
        <v>0</v>
      </c>
      <c r="N802" t="n">
        <v>0</v>
      </c>
      <c r="O802" t="n">
        <v>0</v>
      </c>
      <c r="P802" t="n">
        <v>0</v>
      </c>
      <c r="Q802" t="n">
        <v>0</v>
      </c>
      <c r="R802" s="2" t="inlineStr"/>
    </row>
    <row r="803" ht="15" customHeight="1">
      <c r="A803" t="inlineStr">
        <is>
          <t>A 1863-2026</t>
        </is>
      </c>
      <c r="B803" s="1" t="n">
        <v>46035.44826388889</v>
      </c>
      <c r="C803" s="1" t="n">
        <v>46128</v>
      </c>
      <c r="D803" t="inlineStr">
        <is>
          <t>VÄSTERBOTTENS LÄN</t>
        </is>
      </c>
      <c r="E803" t="inlineStr">
        <is>
          <t>ÅSELE</t>
        </is>
      </c>
      <c r="G803" t="n">
        <v>7</v>
      </c>
      <c r="H803" t="n">
        <v>0</v>
      </c>
      <c r="I803" t="n">
        <v>0</v>
      </c>
      <c r="J803" t="n">
        <v>0</v>
      </c>
      <c r="K803" t="n">
        <v>0</v>
      </c>
      <c r="L803" t="n">
        <v>0</v>
      </c>
      <c r="M803" t="n">
        <v>0</v>
      </c>
      <c r="N803" t="n">
        <v>0</v>
      </c>
      <c r="O803" t="n">
        <v>0</v>
      </c>
      <c r="P803" t="n">
        <v>0</v>
      </c>
      <c r="Q803" t="n">
        <v>0</v>
      </c>
      <c r="R803" s="2" t="inlineStr"/>
    </row>
    <row r="804" ht="15" customHeight="1">
      <c r="A804" t="inlineStr">
        <is>
          <t>A 53638-2022</t>
        </is>
      </c>
      <c r="B804" s="1" t="n">
        <v>44879</v>
      </c>
      <c r="C804" s="1" t="n">
        <v>46128</v>
      </c>
      <c r="D804" t="inlineStr">
        <is>
          <t>VÄSTERBOTTENS LÄN</t>
        </is>
      </c>
      <c r="E804" t="inlineStr">
        <is>
          <t>ÅSELE</t>
        </is>
      </c>
      <c r="G804" t="n">
        <v>4.7</v>
      </c>
      <c r="H804" t="n">
        <v>0</v>
      </c>
      <c r="I804" t="n">
        <v>0</v>
      </c>
      <c r="J804" t="n">
        <v>0</v>
      </c>
      <c r="K804" t="n">
        <v>0</v>
      </c>
      <c r="L804" t="n">
        <v>0</v>
      </c>
      <c r="M804" t="n">
        <v>0</v>
      </c>
      <c r="N804" t="n">
        <v>0</v>
      </c>
      <c r="O804" t="n">
        <v>0</v>
      </c>
      <c r="P804" t="n">
        <v>0</v>
      </c>
      <c r="Q804" t="n">
        <v>0</v>
      </c>
      <c r="R804" s="2" t="inlineStr"/>
    </row>
    <row r="805" ht="15" customHeight="1">
      <c r="A805" t="inlineStr">
        <is>
          <t>A 2100-2026</t>
        </is>
      </c>
      <c r="B805" s="1" t="n">
        <v>46036.37225694444</v>
      </c>
      <c r="C805" s="1" t="n">
        <v>46128</v>
      </c>
      <c r="D805" t="inlineStr">
        <is>
          <t>VÄSTERBOTTENS LÄN</t>
        </is>
      </c>
      <c r="E805" t="inlineStr">
        <is>
          <t>ÅSELE</t>
        </is>
      </c>
      <c r="F805" t="inlineStr">
        <is>
          <t>Sveaskog</t>
        </is>
      </c>
      <c r="G805" t="n">
        <v>12.3</v>
      </c>
      <c r="H805" t="n">
        <v>0</v>
      </c>
      <c r="I805" t="n">
        <v>0</v>
      </c>
      <c r="J805" t="n">
        <v>0</v>
      </c>
      <c r="K805" t="n">
        <v>0</v>
      </c>
      <c r="L805" t="n">
        <v>0</v>
      </c>
      <c r="M805" t="n">
        <v>0</v>
      </c>
      <c r="N805" t="n">
        <v>0</v>
      </c>
      <c r="O805" t="n">
        <v>0</v>
      </c>
      <c r="P805" t="n">
        <v>0</v>
      </c>
      <c r="Q805" t="n">
        <v>0</v>
      </c>
      <c r="R805" s="2" t="inlineStr"/>
    </row>
    <row r="806" ht="15" customHeight="1">
      <c r="A806" t="inlineStr">
        <is>
          <t>A 29738-2024</t>
        </is>
      </c>
      <c r="B806" s="1" t="n">
        <v>45485.39127314815</v>
      </c>
      <c r="C806" s="1" t="n">
        <v>46128</v>
      </c>
      <c r="D806" t="inlineStr">
        <is>
          <t>VÄSTERBOTTENS LÄN</t>
        </is>
      </c>
      <c r="E806" t="inlineStr">
        <is>
          <t>ÅSELE</t>
        </is>
      </c>
      <c r="G806" t="n">
        <v>0.2</v>
      </c>
      <c r="H806" t="n">
        <v>0</v>
      </c>
      <c r="I806" t="n">
        <v>0</v>
      </c>
      <c r="J806" t="n">
        <v>0</v>
      </c>
      <c r="K806" t="n">
        <v>0</v>
      </c>
      <c r="L806" t="n">
        <v>0</v>
      </c>
      <c r="M806" t="n">
        <v>0</v>
      </c>
      <c r="N806" t="n">
        <v>0</v>
      </c>
      <c r="O806" t="n">
        <v>0</v>
      </c>
      <c r="P806" t="n">
        <v>0</v>
      </c>
      <c r="Q806" t="n">
        <v>0</v>
      </c>
      <c r="R806" s="2" t="inlineStr"/>
    </row>
    <row r="807" ht="15" customHeight="1">
      <c r="A807" t="inlineStr">
        <is>
          <t>A 61542-2024</t>
        </is>
      </c>
      <c r="B807" s="1" t="n">
        <v>45645</v>
      </c>
      <c r="C807" s="1" t="n">
        <v>46128</v>
      </c>
      <c r="D807" t="inlineStr">
        <is>
          <t>VÄSTERBOTTENS LÄN</t>
        </is>
      </c>
      <c r="E807" t="inlineStr">
        <is>
          <t>ÅSELE</t>
        </is>
      </c>
      <c r="G807" t="n">
        <v>1.2</v>
      </c>
      <c r="H807" t="n">
        <v>0</v>
      </c>
      <c r="I807" t="n">
        <v>0</v>
      </c>
      <c r="J807" t="n">
        <v>0</v>
      </c>
      <c r="K807" t="n">
        <v>0</v>
      </c>
      <c r="L807" t="n">
        <v>0</v>
      </c>
      <c r="M807" t="n">
        <v>0</v>
      </c>
      <c r="N807" t="n">
        <v>0</v>
      </c>
      <c r="O807" t="n">
        <v>0</v>
      </c>
      <c r="P807" t="n">
        <v>0</v>
      </c>
      <c r="Q807" t="n">
        <v>0</v>
      </c>
      <c r="R807" s="2" t="inlineStr"/>
    </row>
    <row r="808" ht="15" customHeight="1">
      <c r="A808" t="inlineStr">
        <is>
          <t>A 50419-2024</t>
        </is>
      </c>
      <c r="B808" s="1" t="n">
        <v>45601</v>
      </c>
      <c r="C808" s="1" t="n">
        <v>46128</v>
      </c>
      <c r="D808" t="inlineStr">
        <is>
          <t>VÄSTERBOTTENS LÄN</t>
        </is>
      </c>
      <c r="E808" t="inlineStr">
        <is>
          <t>ÅSELE</t>
        </is>
      </c>
      <c r="F808" t="inlineStr">
        <is>
          <t>SCA</t>
        </is>
      </c>
      <c r="G808" t="n">
        <v>5.1</v>
      </c>
      <c r="H808" t="n">
        <v>0</v>
      </c>
      <c r="I808" t="n">
        <v>0</v>
      </c>
      <c r="J808" t="n">
        <v>0</v>
      </c>
      <c r="K808" t="n">
        <v>0</v>
      </c>
      <c r="L808" t="n">
        <v>0</v>
      </c>
      <c r="M808" t="n">
        <v>0</v>
      </c>
      <c r="N808" t="n">
        <v>0</v>
      </c>
      <c r="O808" t="n">
        <v>0</v>
      </c>
      <c r="P808" t="n">
        <v>0</v>
      </c>
      <c r="Q808" t="n">
        <v>0</v>
      </c>
      <c r="R808" s="2" t="inlineStr"/>
    </row>
    <row r="809" ht="15" customHeight="1">
      <c r="A809" t="inlineStr">
        <is>
          <t>A 2321-2026</t>
        </is>
      </c>
      <c r="B809" s="1" t="n">
        <v>46036.603125</v>
      </c>
      <c r="C809" s="1" t="n">
        <v>46128</v>
      </c>
      <c r="D809" t="inlineStr">
        <is>
          <t>VÄSTERBOTTENS LÄN</t>
        </is>
      </c>
      <c r="E809" t="inlineStr">
        <is>
          <t>ÅSELE</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5726-2024</t>
        </is>
      </c>
      <c r="B810" s="1" t="n">
        <v>45334.9250925926</v>
      </c>
      <c r="C810" s="1" t="n">
        <v>46128</v>
      </c>
      <c r="D810" t="inlineStr">
        <is>
          <t>VÄSTERBOTTENS LÄN</t>
        </is>
      </c>
      <c r="E810" t="inlineStr">
        <is>
          <t>ÅSELE</t>
        </is>
      </c>
      <c r="G810" t="n">
        <v>2.9</v>
      </c>
      <c r="H810" t="n">
        <v>0</v>
      </c>
      <c r="I810" t="n">
        <v>0</v>
      </c>
      <c r="J810" t="n">
        <v>0</v>
      </c>
      <c r="K810" t="n">
        <v>0</v>
      </c>
      <c r="L810" t="n">
        <v>0</v>
      </c>
      <c r="M810" t="n">
        <v>0</v>
      </c>
      <c r="N810" t="n">
        <v>0</v>
      </c>
      <c r="O810" t="n">
        <v>0</v>
      </c>
      <c r="P810" t="n">
        <v>0</v>
      </c>
      <c r="Q810" t="n">
        <v>0</v>
      </c>
      <c r="R810" s="2" t="inlineStr"/>
    </row>
    <row r="811" ht="15" customHeight="1">
      <c r="A811" t="inlineStr">
        <is>
          <t>A 2378-2026</t>
        </is>
      </c>
      <c r="B811" s="1" t="n">
        <v>46036.65756944445</v>
      </c>
      <c r="C811" s="1" t="n">
        <v>46128</v>
      </c>
      <c r="D811" t="inlineStr">
        <is>
          <t>VÄSTERBOTTENS LÄN</t>
        </is>
      </c>
      <c r="E811" t="inlineStr">
        <is>
          <t>ÅSELE</t>
        </is>
      </c>
      <c r="F811" t="inlineStr">
        <is>
          <t>Sveaskog</t>
        </is>
      </c>
      <c r="G811" t="n">
        <v>17.1</v>
      </c>
      <c r="H811" t="n">
        <v>0</v>
      </c>
      <c r="I811" t="n">
        <v>0</v>
      </c>
      <c r="J811" t="n">
        <v>0</v>
      </c>
      <c r="K811" t="n">
        <v>0</v>
      </c>
      <c r="L811" t="n">
        <v>0</v>
      </c>
      <c r="M811" t="n">
        <v>0</v>
      </c>
      <c r="N811" t="n">
        <v>0</v>
      </c>
      <c r="O811" t="n">
        <v>0</v>
      </c>
      <c r="P811" t="n">
        <v>0</v>
      </c>
      <c r="Q811" t="n">
        <v>0</v>
      </c>
      <c r="R811" s="2" t="inlineStr"/>
    </row>
    <row r="812" ht="15" customHeight="1">
      <c r="A812" t="inlineStr">
        <is>
          <t>A 3088-2024</t>
        </is>
      </c>
      <c r="B812" s="1" t="n">
        <v>45316</v>
      </c>
      <c r="C812" s="1" t="n">
        <v>46128</v>
      </c>
      <c r="D812" t="inlineStr">
        <is>
          <t>VÄSTERBOTTENS LÄN</t>
        </is>
      </c>
      <c r="E812" t="inlineStr">
        <is>
          <t>ÅSELE</t>
        </is>
      </c>
      <c r="G812" t="n">
        <v>2.2</v>
      </c>
      <c r="H812" t="n">
        <v>0</v>
      </c>
      <c r="I812" t="n">
        <v>0</v>
      </c>
      <c r="J812" t="n">
        <v>0</v>
      </c>
      <c r="K812" t="n">
        <v>0</v>
      </c>
      <c r="L812" t="n">
        <v>0</v>
      </c>
      <c r="M812" t="n">
        <v>0</v>
      </c>
      <c r="N812" t="n">
        <v>0</v>
      </c>
      <c r="O812" t="n">
        <v>0</v>
      </c>
      <c r="P812" t="n">
        <v>0</v>
      </c>
      <c r="Q812" t="n">
        <v>0</v>
      </c>
      <c r="R812" s="2" t="inlineStr"/>
    </row>
    <row r="813" ht="15" customHeight="1">
      <c r="A813" t="inlineStr">
        <is>
          <t>A 3111-2024</t>
        </is>
      </c>
      <c r="B813" s="1" t="n">
        <v>45316</v>
      </c>
      <c r="C813" s="1" t="n">
        <v>46128</v>
      </c>
      <c r="D813" t="inlineStr">
        <is>
          <t>VÄSTERBOTTENS LÄN</t>
        </is>
      </c>
      <c r="E813" t="inlineStr">
        <is>
          <t>ÅSELE</t>
        </is>
      </c>
      <c r="G813" t="n">
        <v>1.6</v>
      </c>
      <c r="H813" t="n">
        <v>0</v>
      </c>
      <c r="I813" t="n">
        <v>0</v>
      </c>
      <c r="J813" t="n">
        <v>0</v>
      </c>
      <c r="K813" t="n">
        <v>0</v>
      </c>
      <c r="L813" t="n">
        <v>0</v>
      </c>
      <c r="M813" t="n">
        <v>0</v>
      </c>
      <c r="N813" t="n">
        <v>0</v>
      </c>
      <c r="O813" t="n">
        <v>0</v>
      </c>
      <c r="P813" t="n">
        <v>0</v>
      </c>
      <c r="Q813" t="n">
        <v>0</v>
      </c>
      <c r="R813" s="2" t="inlineStr"/>
    </row>
    <row r="814" ht="15" customHeight="1">
      <c r="A814" t="inlineStr">
        <is>
          <t>A 47616-2023</t>
        </is>
      </c>
      <c r="B814" s="1" t="n">
        <v>45198</v>
      </c>
      <c r="C814" s="1" t="n">
        <v>46128</v>
      </c>
      <c r="D814" t="inlineStr">
        <is>
          <t>VÄSTERBOTTENS LÄN</t>
        </is>
      </c>
      <c r="E814" t="inlineStr">
        <is>
          <t>ÅSELE</t>
        </is>
      </c>
      <c r="G814" t="n">
        <v>1.5</v>
      </c>
      <c r="H814" t="n">
        <v>0</v>
      </c>
      <c r="I814" t="n">
        <v>0</v>
      </c>
      <c r="J814" t="n">
        <v>0</v>
      </c>
      <c r="K814" t="n">
        <v>0</v>
      </c>
      <c r="L814" t="n">
        <v>0</v>
      </c>
      <c r="M814" t="n">
        <v>0</v>
      </c>
      <c r="N814" t="n">
        <v>0</v>
      </c>
      <c r="O814" t="n">
        <v>0</v>
      </c>
      <c r="P814" t="n">
        <v>0</v>
      </c>
      <c r="Q814" t="n">
        <v>0</v>
      </c>
      <c r="R814" s="2" t="inlineStr"/>
    </row>
    <row r="815" ht="15" customHeight="1">
      <c r="A815" t="inlineStr">
        <is>
          <t>A 48044-2024</t>
        </is>
      </c>
      <c r="B815" s="1" t="n">
        <v>45589</v>
      </c>
      <c r="C815" s="1" t="n">
        <v>46128</v>
      </c>
      <c r="D815" t="inlineStr">
        <is>
          <t>VÄSTERBOTTENS LÄN</t>
        </is>
      </c>
      <c r="E815" t="inlineStr">
        <is>
          <t>ÅSELE</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48051-2024</t>
        </is>
      </c>
      <c r="B816" s="1" t="n">
        <v>45589</v>
      </c>
      <c r="C816" s="1" t="n">
        <v>46128</v>
      </c>
      <c r="D816" t="inlineStr">
        <is>
          <t>VÄSTERBOTTENS LÄN</t>
        </is>
      </c>
      <c r="E816" t="inlineStr">
        <is>
          <t>ÅSELE</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44622-2024</t>
        </is>
      </c>
      <c r="B817" s="1" t="n">
        <v>45574.51344907407</v>
      </c>
      <c r="C817" s="1" t="n">
        <v>46128</v>
      </c>
      <c r="D817" t="inlineStr">
        <is>
          <t>VÄSTERBOTTENS LÄN</t>
        </is>
      </c>
      <c r="E817" t="inlineStr">
        <is>
          <t>ÅSELE</t>
        </is>
      </c>
      <c r="F817" t="inlineStr">
        <is>
          <t>SCA</t>
        </is>
      </c>
      <c r="G817" t="n">
        <v>14.9</v>
      </c>
      <c r="H817" t="n">
        <v>0</v>
      </c>
      <c r="I817" t="n">
        <v>0</v>
      </c>
      <c r="J817" t="n">
        <v>0</v>
      </c>
      <c r="K817" t="n">
        <v>0</v>
      </c>
      <c r="L817" t="n">
        <v>0</v>
      </c>
      <c r="M817" t="n">
        <v>0</v>
      </c>
      <c r="N817" t="n">
        <v>0</v>
      </c>
      <c r="O817" t="n">
        <v>0</v>
      </c>
      <c r="P817" t="n">
        <v>0</v>
      </c>
      <c r="Q817" t="n">
        <v>0</v>
      </c>
      <c r="R817" s="2" t="inlineStr"/>
    </row>
    <row r="818" ht="15" customHeight="1">
      <c r="A818" t="inlineStr">
        <is>
          <t>A 51405-2024</t>
        </is>
      </c>
      <c r="B818" s="1" t="n">
        <v>45604</v>
      </c>
      <c r="C818" s="1" t="n">
        <v>46128</v>
      </c>
      <c r="D818" t="inlineStr">
        <is>
          <t>VÄSTERBOTTENS LÄN</t>
        </is>
      </c>
      <c r="E818" t="inlineStr">
        <is>
          <t>ÅSELE</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10582-2023</t>
        </is>
      </c>
      <c r="B819" s="1" t="n">
        <v>44984</v>
      </c>
      <c r="C819" s="1" t="n">
        <v>46128</v>
      </c>
      <c r="D819" t="inlineStr">
        <is>
          <t>VÄSTERBOTTENS LÄN</t>
        </is>
      </c>
      <c r="E819" t="inlineStr">
        <is>
          <t>ÅSELE</t>
        </is>
      </c>
      <c r="G819" t="n">
        <v>1.9</v>
      </c>
      <c r="H819" t="n">
        <v>0</v>
      </c>
      <c r="I819" t="n">
        <v>0</v>
      </c>
      <c r="J819" t="n">
        <v>0</v>
      </c>
      <c r="K819" t="n">
        <v>0</v>
      </c>
      <c r="L819" t="n">
        <v>0</v>
      </c>
      <c r="M819" t="n">
        <v>0</v>
      </c>
      <c r="N819" t="n">
        <v>0</v>
      </c>
      <c r="O819" t="n">
        <v>0</v>
      </c>
      <c r="P819" t="n">
        <v>0</v>
      </c>
      <c r="Q819" t="n">
        <v>0</v>
      </c>
      <c r="R819" s="2" t="inlineStr"/>
    </row>
    <row r="820" ht="15" customHeight="1">
      <c r="A820" t="inlineStr">
        <is>
          <t>A 56646-2022</t>
        </is>
      </c>
      <c r="B820" s="1" t="n">
        <v>44888</v>
      </c>
      <c r="C820" s="1" t="n">
        <v>46128</v>
      </c>
      <c r="D820" t="inlineStr">
        <is>
          <t>VÄSTERBOTTENS LÄN</t>
        </is>
      </c>
      <c r="E820" t="inlineStr">
        <is>
          <t>ÅSELE</t>
        </is>
      </c>
      <c r="G820" t="n">
        <v>5.1</v>
      </c>
      <c r="H820" t="n">
        <v>0</v>
      </c>
      <c r="I820" t="n">
        <v>0</v>
      </c>
      <c r="J820" t="n">
        <v>0</v>
      </c>
      <c r="K820" t="n">
        <v>0</v>
      </c>
      <c r="L820" t="n">
        <v>0</v>
      </c>
      <c r="M820" t="n">
        <v>0</v>
      </c>
      <c r="N820" t="n">
        <v>0</v>
      </c>
      <c r="O820" t="n">
        <v>0</v>
      </c>
      <c r="P820" t="n">
        <v>0</v>
      </c>
      <c r="Q820" t="n">
        <v>0</v>
      </c>
      <c r="R820" s="2" t="inlineStr"/>
    </row>
    <row r="821" ht="15" customHeight="1">
      <c r="A821" t="inlineStr">
        <is>
          <t>A 60873-2022</t>
        </is>
      </c>
      <c r="B821" s="1" t="n">
        <v>44908</v>
      </c>
      <c r="C821" s="1" t="n">
        <v>46128</v>
      </c>
      <c r="D821" t="inlineStr">
        <is>
          <t>VÄSTERBOTTENS LÄN</t>
        </is>
      </c>
      <c r="E821" t="inlineStr">
        <is>
          <t>ÅSELE</t>
        </is>
      </c>
      <c r="G821" t="n">
        <v>1.6</v>
      </c>
      <c r="H821" t="n">
        <v>0</v>
      </c>
      <c r="I821" t="n">
        <v>0</v>
      </c>
      <c r="J821" t="n">
        <v>0</v>
      </c>
      <c r="K821" t="n">
        <v>0</v>
      </c>
      <c r="L821" t="n">
        <v>0</v>
      </c>
      <c r="M821" t="n">
        <v>0</v>
      </c>
      <c r="N821" t="n">
        <v>0</v>
      </c>
      <c r="O821" t="n">
        <v>0</v>
      </c>
      <c r="P821" t="n">
        <v>0</v>
      </c>
      <c r="Q821" t="n">
        <v>0</v>
      </c>
      <c r="R821" s="2" t="inlineStr"/>
    </row>
    <row r="822" ht="15" customHeight="1">
      <c r="A822" t="inlineStr">
        <is>
          <t>A 23022-2021</t>
        </is>
      </c>
      <c r="B822" s="1" t="n">
        <v>44328</v>
      </c>
      <c r="C822" s="1" t="n">
        <v>46128</v>
      </c>
      <c r="D822" t="inlineStr">
        <is>
          <t>VÄSTERBOTTENS LÄN</t>
        </is>
      </c>
      <c r="E822" t="inlineStr">
        <is>
          <t>ÅSELE</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34779-2024</t>
        </is>
      </c>
      <c r="B823" s="1" t="n">
        <v>45526.63690972222</v>
      </c>
      <c r="C823" s="1" t="n">
        <v>46128</v>
      </c>
      <c r="D823" t="inlineStr">
        <is>
          <t>VÄSTERBOTTENS LÄN</t>
        </is>
      </c>
      <c r="E823" t="inlineStr">
        <is>
          <t>ÅSELE</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2763-2026</t>
        </is>
      </c>
      <c r="B824" s="1" t="n">
        <v>46038.34892361111</v>
      </c>
      <c r="C824" s="1" t="n">
        <v>46128</v>
      </c>
      <c r="D824" t="inlineStr">
        <is>
          <t>VÄSTERBOTTENS LÄN</t>
        </is>
      </c>
      <c r="E824" t="inlineStr">
        <is>
          <t>ÅSELE</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28943-2024</t>
        </is>
      </c>
      <c r="B825" s="1" t="n">
        <v>45481</v>
      </c>
      <c r="C825" s="1" t="n">
        <v>46128</v>
      </c>
      <c r="D825" t="inlineStr">
        <is>
          <t>VÄSTERBOTTENS LÄN</t>
        </is>
      </c>
      <c r="E825" t="inlineStr">
        <is>
          <t>ÅSELE</t>
        </is>
      </c>
      <c r="F825" t="inlineStr">
        <is>
          <t>Sveaskog</t>
        </is>
      </c>
      <c r="G825" t="n">
        <v>24.2</v>
      </c>
      <c r="H825" t="n">
        <v>0</v>
      </c>
      <c r="I825" t="n">
        <v>0</v>
      </c>
      <c r="J825" t="n">
        <v>0</v>
      </c>
      <c r="K825" t="n">
        <v>0</v>
      </c>
      <c r="L825" t="n">
        <v>0</v>
      </c>
      <c r="M825" t="n">
        <v>0</v>
      </c>
      <c r="N825" t="n">
        <v>0</v>
      </c>
      <c r="O825" t="n">
        <v>0</v>
      </c>
      <c r="P825" t="n">
        <v>0</v>
      </c>
      <c r="Q825" t="n">
        <v>0</v>
      </c>
      <c r="R825" s="2" t="inlineStr"/>
    </row>
    <row r="826" ht="15" customHeight="1">
      <c r="A826" t="inlineStr">
        <is>
          <t>A 28936-2024</t>
        </is>
      </c>
      <c r="B826" s="1" t="n">
        <v>45481</v>
      </c>
      <c r="C826" s="1" t="n">
        <v>46128</v>
      </c>
      <c r="D826" t="inlineStr">
        <is>
          <t>VÄSTERBOTTENS LÄN</t>
        </is>
      </c>
      <c r="E826" t="inlineStr">
        <is>
          <t>ÅSELE</t>
        </is>
      </c>
      <c r="F826" t="inlineStr">
        <is>
          <t>Sveaskog</t>
        </is>
      </c>
      <c r="G826" t="n">
        <v>5</v>
      </c>
      <c r="H826" t="n">
        <v>0</v>
      </c>
      <c r="I826" t="n">
        <v>0</v>
      </c>
      <c r="J826" t="n">
        <v>0</v>
      </c>
      <c r="K826" t="n">
        <v>0</v>
      </c>
      <c r="L826" t="n">
        <v>0</v>
      </c>
      <c r="M826" t="n">
        <v>0</v>
      </c>
      <c r="N826" t="n">
        <v>0</v>
      </c>
      <c r="O826" t="n">
        <v>0</v>
      </c>
      <c r="P826" t="n">
        <v>0</v>
      </c>
      <c r="Q826" t="n">
        <v>0</v>
      </c>
      <c r="R826" s="2" t="inlineStr"/>
    </row>
    <row r="827" ht="15" customHeight="1">
      <c r="A827" t="inlineStr">
        <is>
          <t>A 23179-2024</t>
        </is>
      </c>
      <c r="B827" s="1" t="n">
        <v>45450</v>
      </c>
      <c r="C827" s="1" t="n">
        <v>46128</v>
      </c>
      <c r="D827" t="inlineStr">
        <is>
          <t>VÄSTERBOTTENS LÄN</t>
        </is>
      </c>
      <c r="E827" t="inlineStr">
        <is>
          <t>ÅSELE</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2891-2025</t>
        </is>
      </c>
      <c r="B828" s="1" t="n">
        <v>45677</v>
      </c>
      <c r="C828" s="1" t="n">
        <v>46128</v>
      </c>
      <c r="D828" t="inlineStr">
        <is>
          <t>VÄSTERBOTTENS LÄN</t>
        </is>
      </c>
      <c r="E828" t="inlineStr">
        <is>
          <t>ÅSELE</t>
        </is>
      </c>
      <c r="G828" t="n">
        <v>4.2</v>
      </c>
      <c r="H828" t="n">
        <v>0</v>
      </c>
      <c r="I828" t="n">
        <v>0</v>
      </c>
      <c r="J828" t="n">
        <v>0</v>
      </c>
      <c r="K828" t="n">
        <v>0</v>
      </c>
      <c r="L828" t="n">
        <v>0</v>
      </c>
      <c r="M828" t="n">
        <v>0</v>
      </c>
      <c r="N828" t="n">
        <v>0</v>
      </c>
      <c r="O828" t="n">
        <v>0</v>
      </c>
      <c r="P828" t="n">
        <v>0</v>
      </c>
      <c r="Q828" t="n">
        <v>0</v>
      </c>
      <c r="R828" s="2" t="inlineStr"/>
    </row>
    <row r="829" ht="15" customHeight="1">
      <c r="A829" t="inlineStr">
        <is>
          <t>A 4915-2024</t>
        </is>
      </c>
      <c r="B829" s="1" t="n">
        <v>45329</v>
      </c>
      <c r="C829" s="1" t="n">
        <v>46128</v>
      </c>
      <c r="D829" t="inlineStr">
        <is>
          <t>VÄSTERBOTTENS LÄN</t>
        </is>
      </c>
      <c r="E829" t="inlineStr">
        <is>
          <t>ÅSELE</t>
        </is>
      </c>
      <c r="F829" t="inlineStr">
        <is>
          <t>Övriga Aktiebolag</t>
        </is>
      </c>
      <c r="G829" t="n">
        <v>7.5</v>
      </c>
      <c r="H829" t="n">
        <v>0</v>
      </c>
      <c r="I829" t="n">
        <v>0</v>
      </c>
      <c r="J829" t="n">
        <v>0</v>
      </c>
      <c r="K829" t="n">
        <v>0</v>
      </c>
      <c r="L829" t="n">
        <v>0</v>
      </c>
      <c r="M829" t="n">
        <v>0</v>
      </c>
      <c r="N829" t="n">
        <v>0</v>
      </c>
      <c r="O829" t="n">
        <v>0</v>
      </c>
      <c r="P829" t="n">
        <v>0</v>
      </c>
      <c r="Q829" t="n">
        <v>0</v>
      </c>
      <c r="R829" s="2" t="inlineStr"/>
    </row>
    <row r="830" ht="15" customHeight="1">
      <c r="A830" t="inlineStr">
        <is>
          <t>A 3558-2026</t>
        </is>
      </c>
      <c r="B830" s="1" t="n">
        <v>46042.67096064815</v>
      </c>
      <c r="C830" s="1" t="n">
        <v>46128</v>
      </c>
      <c r="D830" t="inlineStr">
        <is>
          <t>VÄSTERBOTTENS LÄN</t>
        </is>
      </c>
      <c r="E830" t="inlineStr">
        <is>
          <t>ÅSELE</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33204-2021</t>
        </is>
      </c>
      <c r="B831" s="1" t="n">
        <v>44376.93355324074</v>
      </c>
      <c r="C831" s="1" t="n">
        <v>46128</v>
      </c>
      <c r="D831" t="inlineStr">
        <is>
          <t>VÄSTERBOTTENS LÄN</t>
        </is>
      </c>
      <c r="E831" t="inlineStr">
        <is>
          <t>ÅSELE</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38405-2024</t>
        </is>
      </c>
      <c r="B832" s="1" t="n">
        <v>45546.34490740741</v>
      </c>
      <c r="C832" s="1" t="n">
        <v>46128</v>
      </c>
      <c r="D832" t="inlineStr">
        <is>
          <t>VÄSTERBOTTENS LÄN</t>
        </is>
      </c>
      <c r="E832" t="inlineStr">
        <is>
          <t>ÅSELE</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37483-2021</t>
        </is>
      </c>
      <c r="B833" s="1" t="n">
        <v>44398.93342592593</v>
      </c>
      <c r="C833" s="1" t="n">
        <v>46128</v>
      </c>
      <c r="D833" t="inlineStr">
        <is>
          <t>VÄSTERBOTTENS LÄN</t>
        </is>
      </c>
      <c r="E833" t="inlineStr">
        <is>
          <t>ÅSELE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62748-2022</t>
        </is>
      </c>
      <c r="B834" s="1" t="n">
        <v>44925.93875</v>
      </c>
      <c r="C834" s="1" t="n">
        <v>46128</v>
      </c>
      <c r="D834" t="inlineStr">
        <is>
          <t>VÄSTERBOTTENS LÄN</t>
        </is>
      </c>
      <c r="E834" t="inlineStr">
        <is>
          <t>ÅSELE</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4086-2023</t>
        </is>
      </c>
      <c r="B835" s="1" t="n">
        <v>44952</v>
      </c>
      <c r="C835" s="1" t="n">
        <v>46128</v>
      </c>
      <c r="D835" t="inlineStr">
        <is>
          <t>VÄSTERBOTTENS LÄN</t>
        </is>
      </c>
      <c r="E835" t="inlineStr">
        <is>
          <t>ÅSELE</t>
        </is>
      </c>
      <c r="G835" t="n">
        <v>5.3</v>
      </c>
      <c r="H835" t="n">
        <v>0</v>
      </c>
      <c r="I835" t="n">
        <v>0</v>
      </c>
      <c r="J835" t="n">
        <v>0</v>
      </c>
      <c r="K835" t="n">
        <v>0</v>
      </c>
      <c r="L835" t="n">
        <v>0</v>
      </c>
      <c r="M835" t="n">
        <v>0</v>
      </c>
      <c r="N835" t="n">
        <v>0</v>
      </c>
      <c r="O835" t="n">
        <v>0</v>
      </c>
      <c r="P835" t="n">
        <v>0</v>
      </c>
      <c r="Q835" t="n">
        <v>0</v>
      </c>
      <c r="R835" s="2" t="inlineStr"/>
    </row>
    <row r="836" ht="15" customHeight="1">
      <c r="A836" t="inlineStr">
        <is>
          <t>A 51544-2024</t>
        </is>
      </c>
      <c r="B836" s="1" t="n">
        <v>45604</v>
      </c>
      <c r="C836" s="1" t="n">
        <v>46128</v>
      </c>
      <c r="D836" t="inlineStr">
        <is>
          <t>VÄSTERBOTTENS LÄN</t>
        </is>
      </c>
      <c r="E836" t="inlineStr">
        <is>
          <t>ÅSELE</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13552-2024</t>
        </is>
      </c>
      <c r="B837" s="1" t="n">
        <v>45387.95409722222</v>
      </c>
      <c r="C837" s="1" t="n">
        <v>46128</v>
      </c>
      <c r="D837" t="inlineStr">
        <is>
          <t>VÄSTERBOTTENS LÄN</t>
        </is>
      </c>
      <c r="E837" t="inlineStr">
        <is>
          <t>ÅSELE</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13553-2024</t>
        </is>
      </c>
      <c r="B838" s="1" t="n">
        <v>45387.95421296296</v>
      </c>
      <c r="C838" s="1" t="n">
        <v>46128</v>
      </c>
      <c r="D838" t="inlineStr">
        <is>
          <t>VÄSTERBOTTENS LÄN</t>
        </is>
      </c>
      <c r="E838" t="inlineStr">
        <is>
          <t>ÅSELE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13403-2025</t>
        </is>
      </c>
      <c r="B839" s="1" t="n">
        <v>45735</v>
      </c>
      <c r="C839" s="1" t="n">
        <v>46128</v>
      </c>
      <c r="D839" t="inlineStr">
        <is>
          <t>VÄSTERBOTTENS LÄN</t>
        </is>
      </c>
      <c r="E839" t="inlineStr">
        <is>
          <t>ÅSELE</t>
        </is>
      </c>
      <c r="G839" t="n">
        <v>1.6</v>
      </c>
      <c r="H839" t="n">
        <v>0</v>
      </c>
      <c r="I839" t="n">
        <v>0</v>
      </c>
      <c r="J839" t="n">
        <v>0</v>
      </c>
      <c r="K839" t="n">
        <v>0</v>
      </c>
      <c r="L839" t="n">
        <v>0</v>
      </c>
      <c r="M839" t="n">
        <v>0</v>
      </c>
      <c r="N839" t="n">
        <v>0</v>
      </c>
      <c r="O839" t="n">
        <v>0</v>
      </c>
      <c r="P839" t="n">
        <v>0</v>
      </c>
      <c r="Q839" t="n">
        <v>0</v>
      </c>
      <c r="R839" s="2" t="inlineStr"/>
    </row>
    <row r="840" ht="15" customHeight="1">
      <c r="A840" t="inlineStr">
        <is>
          <t>A 48209-2024</t>
        </is>
      </c>
      <c r="B840" s="1" t="n">
        <v>45590</v>
      </c>
      <c r="C840" s="1" t="n">
        <v>46128</v>
      </c>
      <c r="D840" t="inlineStr">
        <is>
          <t>VÄSTERBOTTENS LÄN</t>
        </is>
      </c>
      <c r="E840" t="inlineStr">
        <is>
          <t>ÅSELE</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48206-2024</t>
        </is>
      </c>
      <c r="B841" s="1" t="n">
        <v>45590</v>
      </c>
      <c r="C841" s="1" t="n">
        <v>46128</v>
      </c>
      <c r="D841" t="inlineStr">
        <is>
          <t>VÄSTERBOTTENS LÄN</t>
        </is>
      </c>
      <c r="E841" t="inlineStr">
        <is>
          <t>ÅSELE</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12088-2026</t>
        </is>
      </c>
      <c r="B842" s="1" t="n">
        <v>46086.46201388889</v>
      </c>
      <c r="C842" s="1" t="n">
        <v>46128</v>
      </c>
      <c r="D842" t="inlineStr">
        <is>
          <t>VÄSTERBOTTENS LÄN</t>
        </is>
      </c>
      <c r="E842" t="inlineStr">
        <is>
          <t>ÅSELE</t>
        </is>
      </c>
      <c r="G842" t="n">
        <v>2.7</v>
      </c>
      <c r="H842" t="n">
        <v>0</v>
      </c>
      <c r="I842" t="n">
        <v>0</v>
      </c>
      <c r="J842" t="n">
        <v>0</v>
      </c>
      <c r="K842" t="n">
        <v>0</v>
      </c>
      <c r="L842" t="n">
        <v>0</v>
      </c>
      <c r="M842" t="n">
        <v>0</v>
      </c>
      <c r="N842" t="n">
        <v>0</v>
      </c>
      <c r="O842" t="n">
        <v>0</v>
      </c>
      <c r="P842" t="n">
        <v>0</v>
      </c>
      <c r="Q842" t="n">
        <v>0</v>
      </c>
      <c r="R842" s="2" t="inlineStr"/>
    </row>
    <row r="843" ht="15" customHeight="1">
      <c r="A843" t="inlineStr">
        <is>
          <t>A 1228-2023</t>
        </is>
      </c>
      <c r="B843" s="1" t="n">
        <v>44935.97217592593</v>
      </c>
      <c r="C843" s="1" t="n">
        <v>46128</v>
      </c>
      <c r="D843" t="inlineStr">
        <is>
          <t>VÄSTERBOTTENS LÄN</t>
        </is>
      </c>
      <c r="E843" t="inlineStr">
        <is>
          <t>ÅSELE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50420-2024</t>
        </is>
      </c>
      <c r="B844" s="1" t="n">
        <v>45601</v>
      </c>
      <c r="C844" s="1" t="n">
        <v>46128</v>
      </c>
      <c r="D844" t="inlineStr">
        <is>
          <t>VÄSTERBOTTENS LÄN</t>
        </is>
      </c>
      <c r="E844" t="inlineStr">
        <is>
          <t>ÅSELE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4093-2023</t>
        </is>
      </c>
      <c r="B845" s="1" t="n">
        <v>44952</v>
      </c>
      <c r="C845" s="1" t="n">
        <v>46128</v>
      </c>
      <c r="D845" t="inlineStr">
        <is>
          <t>VÄSTERBOTTENS LÄN</t>
        </is>
      </c>
      <c r="E845" t="inlineStr">
        <is>
          <t>ÅSELE</t>
        </is>
      </c>
      <c r="G845" t="n">
        <v>1.6</v>
      </c>
      <c r="H845" t="n">
        <v>0</v>
      </c>
      <c r="I845" t="n">
        <v>0</v>
      </c>
      <c r="J845" t="n">
        <v>0</v>
      </c>
      <c r="K845" t="n">
        <v>0</v>
      </c>
      <c r="L845" t="n">
        <v>0</v>
      </c>
      <c r="M845" t="n">
        <v>0</v>
      </c>
      <c r="N845" t="n">
        <v>0</v>
      </c>
      <c r="O845" t="n">
        <v>0</v>
      </c>
      <c r="P845" t="n">
        <v>0</v>
      </c>
      <c r="Q845" t="n">
        <v>0</v>
      </c>
      <c r="R845" s="2" t="inlineStr"/>
    </row>
    <row r="846" ht="15" customHeight="1">
      <c r="A846" t="inlineStr">
        <is>
          <t>A 39266-2024</t>
        </is>
      </c>
      <c r="B846" s="1" t="n">
        <v>45551.34447916667</v>
      </c>
      <c r="C846" s="1" t="n">
        <v>46128</v>
      </c>
      <c r="D846" t="inlineStr">
        <is>
          <t>VÄSTERBOTTENS LÄN</t>
        </is>
      </c>
      <c r="E846" t="inlineStr">
        <is>
          <t>ÅSELE</t>
        </is>
      </c>
      <c r="F846" t="inlineStr">
        <is>
          <t>SCA</t>
        </is>
      </c>
      <c r="G846" t="n">
        <v>11.7</v>
      </c>
      <c r="H846" t="n">
        <v>0</v>
      </c>
      <c r="I846" t="n">
        <v>0</v>
      </c>
      <c r="J846" t="n">
        <v>0</v>
      </c>
      <c r="K846" t="n">
        <v>0</v>
      </c>
      <c r="L846" t="n">
        <v>0</v>
      </c>
      <c r="M846" t="n">
        <v>0</v>
      </c>
      <c r="N846" t="n">
        <v>0</v>
      </c>
      <c r="O846" t="n">
        <v>0</v>
      </c>
      <c r="P846" t="n">
        <v>0</v>
      </c>
      <c r="Q846" t="n">
        <v>0</v>
      </c>
      <c r="R846" s="2" t="inlineStr"/>
    </row>
    <row r="847" ht="15" customHeight="1">
      <c r="A847" t="inlineStr">
        <is>
          <t>A 42897-2024</t>
        </is>
      </c>
      <c r="B847" s="1" t="n">
        <v>45566.85192129629</v>
      </c>
      <c r="C847" s="1" t="n">
        <v>46128</v>
      </c>
      <c r="D847" t="inlineStr">
        <is>
          <t>VÄSTERBOTTENS LÄN</t>
        </is>
      </c>
      <c r="E847" t="inlineStr">
        <is>
          <t>ÅSELE</t>
        </is>
      </c>
      <c r="F847" t="inlineStr">
        <is>
          <t>Holmen skog AB</t>
        </is>
      </c>
      <c r="G847" t="n">
        <v>3.7</v>
      </c>
      <c r="H847" t="n">
        <v>0</v>
      </c>
      <c r="I847" t="n">
        <v>0</v>
      </c>
      <c r="J847" t="n">
        <v>0</v>
      </c>
      <c r="K847" t="n">
        <v>0</v>
      </c>
      <c r="L847" t="n">
        <v>0</v>
      </c>
      <c r="M847" t="n">
        <v>0</v>
      </c>
      <c r="N847" t="n">
        <v>0</v>
      </c>
      <c r="O847" t="n">
        <v>0</v>
      </c>
      <c r="P847" t="n">
        <v>0</v>
      </c>
      <c r="Q847" t="n">
        <v>0</v>
      </c>
      <c r="R847" s="2" t="inlineStr"/>
    </row>
    <row r="848" ht="15" customHeight="1">
      <c r="A848" t="inlineStr">
        <is>
          <t>A 45297-2024</t>
        </is>
      </c>
      <c r="B848" s="1" t="n">
        <v>45576.40248842593</v>
      </c>
      <c r="C848" s="1" t="n">
        <v>46128</v>
      </c>
      <c r="D848" t="inlineStr">
        <is>
          <t>VÄSTERBOTTENS LÄN</t>
        </is>
      </c>
      <c r="E848" t="inlineStr">
        <is>
          <t>ÅSELE</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41815-2024</t>
        </is>
      </c>
      <c r="B849" s="1" t="n">
        <v>45561</v>
      </c>
      <c r="C849" s="1" t="n">
        <v>46128</v>
      </c>
      <c r="D849" t="inlineStr">
        <is>
          <t>VÄSTERBOTTENS LÄN</t>
        </is>
      </c>
      <c r="E849" t="inlineStr">
        <is>
          <t>ÅSELE</t>
        </is>
      </c>
      <c r="G849" t="n">
        <v>3.4</v>
      </c>
      <c r="H849" t="n">
        <v>0</v>
      </c>
      <c r="I849" t="n">
        <v>0</v>
      </c>
      <c r="J849" t="n">
        <v>0</v>
      </c>
      <c r="K849" t="n">
        <v>0</v>
      </c>
      <c r="L849" t="n">
        <v>0</v>
      </c>
      <c r="M849" t="n">
        <v>0</v>
      </c>
      <c r="N849" t="n">
        <v>0</v>
      </c>
      <c r="O849" t="n">
        <v>0</v>
      </c>
      <c r="P849" t="n">
        <v>0</v>
      </c>
      <c r="Q849" t="n">
        <v>0</v>
      </c>
      <c r="R849" s="2" t="inlineStr"/>
    </row>
    <row r="850" ht="15" customHeight="1">
      <c r="A850" t="inlineStr">
        <is>
          <t>A 62109-2023</t>
        </is>
      </c>
      <c r="B850" s="1" t="n">
        <v>45266.95105324074</v>
      </c>
      <c r="C850" s="1" t="n">
        <v>46128</v>
      </c>
      <c r="D850" t="inlineStr">
        <is>
          <t>VÄSTERBOTTENS LÄN</t>
        </is>
      </c>
      <c r="E850" t="inlineStr">
        <is>
          <t>ÅSELE</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33241-2023</t>
        </is>
      </c>
      <c r="B851" s="1" t="n">
        <v>45114</v>
      </c>
      <c r="C851" s="1" t="n">
        <v>46128</v>
      </c>
      <c r="D851" t="inlineStr">
        <is>
          <t>VÄSTERBOTTENS LÄN</t>
        </is>
      </c>
      <c r="E851" t="inlineStr">
        <is>
          <t>ÅSELE</t>
        </is>
      </c>
      <c r="G851" t="n">
        <v>22.8</v>
      </c>
      <c r="H851" t="n">
        <v>0</v>
      </c>
      <c r="I851" t="n">
        <v>0</v>
      </c>
      <c r="J851" t="n">
        <v>0</v>
      </c>
      <c r="K851" t="n">
        <v>0</v>
      </c>
      <c r="L851" t="n">
        <v>0</v>
      </c>
      <c r="M851" t="n">
        <v>0</v>
      </c>
      <c r="N851" t="n">
        <v>0</v>
      </c>
      <c r="O851" t="n">
        <v>0</v>
      </c>
      <c r="P851" t="n">
        <v>0</v>
      </c>
      <c r="Q851" t="n">
        <v>0</v>
      </c>
      <c r="R851" s="2" t="inlineStr"/>
    </row>
    <row r="852" ht="15" customHeight="1">
      <c r="A852" t="inlineStr">
        <is>
          <t>A 5145-2026</t>
        </is>
      </c>
      <c r="B852" s="1" t="n">
        <v>46048</v>
      </c>
      <c r="C852" s="1" t="n">
        <v>46128</v>
      </c>
      <c r="D852" t="inlineStr">
        <is>
          <t>VÄSTERBOTTENS LÄN</t>
        </is>
      </c>
      <c r="E852" t="inlineStr">
        <is>
          <t>ÅSELE</t>
        </is>
      </c>
      <c r="G852" t="n">
        <v>0.7</v>
      </c>
      <c r="H852" t="n">
        <v>0</v>
      </c>
      <c r="I852" t="n">
        <v>0</v>
      </c>
      <c r="J852" t="n">
        <v>0</v>
      </c>
      <c r="K852" t="n">
        <v>0</v>
      </c>
      <c r="L852" t="n">
        <v>0</v>
      </c>
      <c r="M852" t="n">
        <v>0</v>
      </c>
      <c r="N852" t="n">
        <v>0</v>
      </c>
      <c r="O852" t="n">
        <v>0</v>
      </c>
      <c r="P852" t="n">
        <v>0</v>
      </c>
      <c r="Q852" t="n">
        <v>0</v>
      </c>
      <c r="R852" s="2" t="inlineStr"/>
    </row>
    <row r="853" ht="15" customHeight="1">
      <c r="A853" t="inlineStr">
        <is>
          <t>A 11320-2023</t>
        </is>
      </c>
      <c r="B853" s="1" t="n">
        <v>44993.01296296297</v>
      </c>
      <c r="C853" s="1" t="n">
        <v>46128</v>
      </c>
      <c r="D853" t="inlineStr">
        <is>
          <t>VÄSTERBOTTENS LÄN</t>
        </is>
      </c>
      <c r="E853" t="inlineStr">
        <is>
          <t>ÅSELE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4311-2026</t>
        </is>
      </c>
      <c r="B854" s="1" t="n">
        <v>46045.44380787037</v>
      </c>
      <c r="C854" s="1" t="n">
        <v>46128</v>
      </c>
      <c r="D854" t="inlineStr">
        <is>
          <t>VÄSTERBOTTENS LÄN</t>
        </is>
      </c>
      <c r="E854" t="inlineStr">
        <is>
          <t>ÅSELE</t>
        </is>
      </c>
      <c r="G854" t="n">
        <v>7.9</v>
      </c>
      <c r="H854" t="n">
        <v>0</v>
      </c>
      <c r="I854" t="n">
        <v>0</v>
      </c>
      <c r="J854" t="n">
        <v>0</v>
      </c>
      <c r="K854" t="n">
        <v>0</v>
      </c>
      <c r="L854" t="n">
        <v>0</v>
      </c>
      <c r="M854" t="n">
        <v>0</v>
      </c>
      <c r="N854" t="n">
        <v>0</v>
      </c>
      <c r="O854" t="n">
        <v>0</v>
      </c>
      <c r="P854" t="n">
        <v>0</v>
      </c>
      <c r="Q854" t="n">
        <v>0</v>
      </c>
      <c r="R854" s="2" t="inlineStr"/>
    </row>
    <row r="855" ht="15" customHeight="1">
      <c r="A855" t="inlineStr">
        <is>
          <t>A 61351-2024</t>
        </is>
      </c>
      <c r="B855" s="1" t="n">
        <v>45646</v>
      </c>
      <c r="C855" s="1" t="n">
        <v>46128</v>
      </c>
      <c r="D855" t="inlineStr">
        <is>
          <t>VÄSTERBOTTENS LÄN</t>
        </is>
      </c>
      <c r="E855" t="inlineStr">
        <is>
          <t>ÅSELE</t>
        </is>
      </c>
      <c r="G855" t="n">
        <v>9.6</v>
      </c>
      <c r="H855" t="n">
        <v>0</v>
      </c>
      <c r="I855" t="n">
        <v>0</v>
      </c>
      <c r="J855" t="n">
        <v>0</v>
      </c>
      <c r="K855" t="n">
        <v>0</v>
      </c>
      <c r="L855" t="n">
        <v>0</v>
      </c>
      <c r="M855" t="n">
        <v>0</v>
      </c>
      <c r="N855" t="n">
        <v>0</v>
      </c>
      <c r="O855" t="n">
        <v>0</v>
      </c>
      <c r="P855" t="n">
        <v>0</v>
      </c>
      <c r="Q855" t="n">
        <v>0</v>
      </c>
      <c r="R855" s="2" t="inlineStr"/>
    </row>
    <row r="856" ht="15" customHeight="1">
      <c r="A856" t="inlineStr">
        <is>
          <t>A 48082-2021</t>
        </is>
      </c>
      <c r="B856" s="1" t="n">
        <v>44449.42745370371</v>
      </c>
      <c r="C856" s="1" t="n">
        <v>46128</v>
      </c>
      <c r="D856" t="inlineStr">
        <is>
          <t>VÄSTERBOTTENS LÄN</t>
        </is>
      </c>
      <c r="E856" t="inlineStr">
        <is>
          <t>ÅSELE</t>
        </is>
      </c>
      <c r="F856" t="inlineStr">
        <is>
          <t>Holmen skog AB</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44742-2024</t>
        </is>
      </c>
      <c r="B857" s="1" t="n">
        <v>45574.59653935185</v>
      </c>
      <c r="C857" s="1" t="n">
        <v>46128</v>
      </c>
      <c r="D857" t="inlineStr">
        <is>
          <t>VÄSTERBOTTENS LÄN</t>
        </is>
      </c>
      <c r="E857" t="inlineStr">
        <is>
          <t>ÅSELE</t>
        </is>
      </c>
      <c r="F857" t="inlineStr">
        <is>
          <t>Sveaskog</t>
        </is>
      </c>
      <c r="G857" t="n">
        <v>5.9</v>
      </c>
      <c r="H857" t="n">
        <v>0</v>
      </c>
      <c r="I857" t="n">
        <v>0</v>
      </c>
      <c r="J857" t="n">
        <v>0</v>
      </c>
      <c r="K857" t="n">
        <v>0</v>
      </c>
      <c r="L857" t="n">
        <v>0</v>
      </c>
      <c r="M857" t="n">
        <v>0</v>
      </c>
      <c r="N857" t="n">
        <v>0</v>
      </c>
      <c r="O857" t="n">
        <v>0</v>
      </c>
      <c r="P857" t="n">
        <v>0</v>
      </c>
      <c r="Q857" t="n">
        <v>0</v>
      </c>
      <c r="R857" s="2" t="inlineStr"/>
    </row>
    <row r="858" ht="15" customHeight="1">
      <c r="A858" t="inlineStr">
        <is>
          <t>A 5008-2026</t>
        </is>
      </c>
      <c r="B858" s="1" t="n">
        <v>46049.42824074074</v>
      </c>
      <c r="C858" s="1" t="n">
        <v>46128</v>
      </c>
      <c r="D858" t="inlineStr">
        <is>
          <t>VÄSTERBOTTENS LÄN</t>
        </is>
      </c>
      <c r="E858" t="inlineStr">
        <is>
          <t>ÅSELE</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67685-2021</t>
        </is>
      </c>
      <c r="B859" s="1" t="n">
        <v>44524</v>
      </c>
      <c r="C859" s="1" t="n">
        <v>46128</v>
      </c>
      <c r="D859" t="inlineStr">
        <is>
          <t>VÄSTERBOTTENS LÄN</t>
        </is>
      </c>
      <c r="E859" t="inlineStr">
        <is>
          <t>ÅSELE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22831-2023</t>
        </is>
      </c>
      <c r="B860" s="1" t="n">
        <v>45072.42990740741</v>
      </c>
      <c r="C860" s="1" t="n">
        <v>46128</v>
      </c>
      <c r="D860" t="inlineStr">
        <is>
          <t>VÄSTERBOTTENS LÄN</t>
        </is>
      </c>
      <c r="E860" t="inlineStr">
        <is>
          <t>ÅSELE</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13000-2026</t>
        </is>
      </c>
      <c r="B861" s="1" t="n">
        <v>46092.684375</v>
      </c>
      <c r="C861" s="1" t="n">
        <v>46128</v>
      </c>
      <c r="D861" t="inlineStr">
        <is>
          <t>VÄSTERBOTTENS LÄN</t>
        </is>
      </c>
      <c r="E861" t="inlineStr">
        <is>
          <t>ÅSELE</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31118-2024</t>
        </is>
      </c>
      <c r="B862" s="1" t="n">
        <v>45502</v>
      </c>
      <c r="C862" s="1" t="n">
        <v>46128</v>
      </c>
      <c r="D862" t="inlineStr">
        <is>
          <t>VÄSTERBOTTENS LÄN</t>
        </is>
      </c>
      <c r="E862" t="inlineStr">
        <is>
          <t>ÅSELE</t>
        </is>
      </c>
      <c r="F862" t="inlineStr">
        <is>
          <t>Holmen skog AB</t>
        </is>
      </c>
      <c r="G862" t="n">
        <v>1.6</v>
      </c>
      <c r="H862" t="n">
        <v>0</v>
      </c>
      <c r="I862" t="n">
        <v>0</v>
      </c>
      <c r="J862" t="n">
        <v>0</v>
      </c>
      <c r="K862" t="n">
        <v>0</v>
      </c>
      <c r="L862" t="n">
        <v>0</v>
      </c>
      <c r="M862" t="n">
        <v>0</v>
      </c>
      <c r="N862" t="n">
        <v>0</v>
      </c>
      <c r="O862" t="n">
        <v>0</v>
      </c>
      <c r="P862" t="n">
        <v>0</v>
      </c>
      <c r="Q862" t="n">
        <v>0</v>
      </c>
      <c r="R862" s="2" t="inlineStr"/>
    </row>
    <row r="863" ht="15" customHeight="1">
      <c r="A863" t="inlineStr">
        <is>
          <t>A 24067-2023</t>
        </is>
      </c>
      <c r="B863" s="1" t="n">
        <v>45078.94167824074</v>
      </c>
      <c r="C863" s="1" t="n">
        <v>46128</v>
      </c>
      <c r="D863" t="inlineStr">
        <is>
          <t>VÄSTERBOTTENS LÄN</t>
        </is>
      </c>
      <c r="E863" t="inlineStr">
        <is>
          <t>ÅSELE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12811-2026</t>
        </is>
      </c>
      <c r="B864" s="1" t="n">
        <v>46092.38594907407</v>
      </c>
      <c r="C864" s="1" t="n">
        <v>46128</v>
      </c>
      <c r="D864" t="inlineStr">
        <is>
          <t>VÄSTERBOTTENS LÄN</t>
        </is>
      </c>
      <c r="E864" t="inlineStr">
        <is>
          <t>ÅSELE</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45622-2023</t>
        </is>
      </c>
      <c r="B865" s="1" t="n">
        <v>45194.66240740741</v>
      </c>
      <c r="C865" s="1" t="n">
        <v>46128</v>
      </c>
      <c r="D865" t="inlineStr">
        <is>
          <t>VÄSTERBOTTENS LÄN</t>
        </is>
      </c>
      <c r="E865" t="inlineStr">
        <is>
          <t>ÅSELE</t>
        </is>
      </c>
      <c r="G865" t="n">
        <v>1.7</v>
      </c>
      <c r="H865" t="n">
        <v>0</v>
      </c>
      <c r="I865" t="n">
        <v>0</v>
      </c>
      <c r="J865" t="n">
        <v>0</v>
      </c>
      <c r="K865" t="n">
        <v>0</v>
      </c>
      <c r="L865" t="n">
        <v>0</v>
      </c>
      <c r="M865" t="n">
        <v>0</v>
      </c>
      <c r="N865" t="n">
        <v>0</v>
      </c>
      <c r="O865" t="n">
        <v>0</v>
      </c>
      <c r="P865" t="n">
        <v>0</v>
      </c>
      <c r="Q865" t="n">
        <v>0</v>
      </c>
      <c r="R865" s="2" t="inlineStr"/>
    </row>
    <row r="866" ht="15" customHeight="1">
      <c r="A866" t="inlineStr">
        <is>
          <t>A 42399-2024</t>
        </is>
      </c>
      <c r="B866" s="1" t="n">
        <v>45565.33832175926</v>
      </c>
      <c r="C866" s="1" t="n">
        <v>46128</v>
      </c>
      <c r="D866" t="inlineStr">
        <is>
          <t>VÄSTERBOTTENS LÄN</t>
        </is>
      </c>
      <c r="E866" t="inlineStr">
        <is>
          <t>ÅSELE</t>
        </is>
      </c>
      <c r="F866" t="inlineStr">
        <is>
          <t>Holmen skog AB</t>
        </is>
      </c>
      <c r="G866" t="n">
        <v>1.6</v>
      </c>
      <c r="H866" t="n">
        <v>0</v>
      </c>
      <c r="I866" t="n">
        <v>0</v>
      </c>
      <c r="J866" t="n">
        <v>0</v>
      </c>
      <c r="K866" t="n">
        <v>0</v>
      </c>
      <c r="L866" t="n">
        <v>0</v>
      </c>
      <c r="M866" t="n">
        <v>0</v>
      </c>
      <c r="N866" t="n">
        <v>0</v>
      </c>
      <c r="O866" t="n">
        <v>0</v>
      </c>
      <c r="P866" t="n">
        <v>0</v>
      </c>
      <c r="Q866" t="n">
        <v>0</v>
      </c>
      <c r="R866" s="2" t="inlineStr"/>
    </row>
    <row r="867" ht="15" customHeight="1">
      <c r="A867" t="inlineStr">
        <is>
          <t>A 7706-2025</t>
        </is>
      </c>
      <c r="B867" s="1" t="n">
        <v>45706</v>
      </c>
      <c r="C867" s="1" t="n">
        <v>46128</v>
      </c>
      <c r="D867" t="inlineStr">
        <is>
          <t>VÄSTERBOTTENS LÄN</t>
        </is>
      </c>
      <c r="E867" t="inlineStr">
        <is>
          <t>ÅSELE</t>
        </is>
      </c>
      <c r="F867" t="inlineStr">
        <is>
          <t>Sveaskog</t>
        </is>
      </c>
      <c r="G867" t="n">
        <v>24.8</v>
      </c>
      <c r="H867" t="n">
        <v>0</v>
      </c>
      <c r="I867" t="n">
        <v>0</v>
      </c>
      <c r="J867" t="n">
        <v>0</v>
      </c>
      <c r="K867" t="n">
        <v>0</v>
      </c>
      <c r="L867" t="n">
        <v>0</v>
      </c>
      <c r="M867" t="n">
        <v>0</v>
      </c>
      <c r="N867" t="n">
        <v>0</v>
      </c>
      <c r="O867" t="n">
        <v>0</v>
      </c>
      <c r="P867" t="n">
        <v>0</v>
      </c>
      <c r="Q867" t="n">
        <v>0</v>
      </c>
      <c r="R867" s="2" t="inlineStr"/>
    </row>
    <row r="868" ht="15" customHeight="1">
      <c r="A868" t="inlineStr">
        <is>
          <t>A 11535-2026</t>
        </is>
      </c>
      <c r="B868" s="1" t="n">
        <v>46083</v>
      </c>
      <c r="C868" s="1" t="n">
        <v>46128</v>
      </c>
      <c r="D868" t="inlineStr">
        <is>
          <t>VÄSTERBOTTENS LÄN</t>
        </is>
      </c>
      <c r="E868" t="inlineStr">
        <is>
          <t>ÅSELE</t>
        </is>
      </c>
      <c r="G868" t="n">
        <v>6.9</v>
      </c>
      <c r="H868" t="n">
        <v>0</v>
      </c>
      <c r="I868" t="n">
        <v>0</v>
      </c>
      <c r="J868" t="n">
        <v>0</v>
      </c>
      <c r="K868" t="n">
        <v>0</v>
      </c>
      <c r="L868" t="n">
        <v>0</v>
      </c>
      <c r="M868" t="n">
        <v>0</v>
      </c>
      <c r="N868" t="n">
        <v>0</v>
      </c>
      <c r="O868" t="n">
        <v>0</v>
      </c>
      <c r="P868" t="n">
        <v>0</v>
      </c>
      <c r="Q868" t="n">
        <v>0</v>
      </c>
      <c r="R868" s="2" t="inlineStr"/>
    </row>
    <row r="869" ht="15" customHeight="1">
      <c r="A869" t="inlineStr">
        <is>
          <t>A 12418-2026</t>
        </is>
      </c>
      <c r="B869" s="1" t="n">
        <v>46090</v>
      </c>
      <c r="C869" s="1" t="n">
        <v>46128</v>
      </c>
      <c r="D869" t="inlineStr">
        <is>
          <t>VÄSTERBOTTENS LÄN</t>
        </is>
      </c>
      <c r="E869" t="inlineStr">
        <is>
          <t>ÅSELE</t>
        </is>
      </c>
      <c r="G869" t="n">
        <v>1.3</v>
      </c>
      <c r="H869" t="n">
        <v>0</v>
      </c>
      <c r="I869" t="n">
        <v>0</v>
      </c>
      <c r="J869" t="n">
        <v>0</v>
      </c>
      <c r="K869" t="n">
        <v>0</v>
      </c>
      <c r="L869" t="n">
        <v>0</v>
      </c>
      <c r="M869" t="n">
        <v>0</v>
      </c>
      <c r="N869" t="n">
        <v>0</v>
      </c>
      <c r="O869" t="n">
        <v>0</v>
      </c>
      <c r="P869" t="n">
        <v>0</v>
      </c>
      <c r="Q869" t="n">
        <v>0</v>
      </c>
      <c r="R869" s="2" t="inlineStr"/>
    </row>
    <row r="870" ht="15" customHeight="1">
      <c r="A870" t="inlineStr">
        <is>
          <t>A 42286-2024</t>
        </is>
      </c>
      <c r="B870" s="1" t="n">
        <v>45562</v>
      </c>
      <c r="C870" s="1" t="n">
        <v>46128</v>
      </c>
      <c r="D870" t="inlineStr">
        <is>
          <t>VÄSTERBOTTENS LÄN</t>
        </is>
      </c>
      <c r="E870" t="inlineStr">
        <is>
          <t>ÅSELE</t>
        </is>
      </c>
      <c r="F870" t="inlineStr">
        <is>
          <t>Holmen skog AB</t>
        </is>
      </c>
      <c r="G870" t="n">
        <v>2.1</v>
      </c>
      <c r="H870" t="n">
        <v>0</v>
      </c>
      <c r="I870" t="n">
        <v>0</v>
      </c>
      <c r="J870" t="n">
        <v>0</v>
      </c>
      <c r="K870" t="n">
        <v>0</v>
      </c>
      <c r="L870" t="n">
        <v>0</v>
      </c>
      <c r="M870" t="n">
        <v>0</v>
      </c>
      <c r="N870" t="n">
        <v>0</v>
      </c>
      <c r="O870" t="n">
        <v>0</v>
      </c>
      <c r="P870" t="n">
        <v>0</v>
      </c>
      <c r="Q870" t="n">
        <v>0</v>
      </c>
      <c r="R870" s="2" t="inlineStr"/>
    </row>
    <row r="871" ht="15" customHeight="1">
      <c r="A871" t="inlineStr">
        <is>
          <t>A 35520-2023</t>
        </is>
      </c>
      <c r="B871" s="1" t="n">
        <v>45147.32908564815</v>
      </c>
      <c r="C871" s="1" t="n">
        <v>46128</v>
      </c>
      <c r="D871" t="inlineStr">
        <is>
          <t>VÄSTERBOTTENS LÄN</t>
        </is>
      </c>
      <c r="E871" t="inlineStr">
        <is>
          <t>ÅSELE</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12921-2026</t>
        </is>
      </c>
      <c r="B872" s="1" t="n">
        <v>46092.60209490741</v>
      </c>
      <c r="C872" s="1" t="n">
        <v>46128</v>
      </c>
      <c r="D872" t="inlineStr">
        <is>
          <t>VÄSTERBOTTENS LÄN</t>
        </is>
      </c>
      <c r="E872" t="inlineStr">
        <is>
          <t>ÅSELE</t>
        </is>
      </c>
      <c r="G872" t="n">
        <v>18.8</v>
      </c>
      <c r="H872" t="n">
        <v>0</v>
      </c>
      <c r="I872" t="n">
        <v>0</v>
      </c>
      <c r="J872" t="n">
        <v>0</v>
      </c>
      <c r="K872" t="n">
        <v>0</v>
      </c>
      <c r="L872" t="n">
        <v>0</v>
      </c>
      <c r="M872" t="n">
        <v>0</v>
      </c>
      <c r="N872" t="n">
        <v>0</v>
      </c>
      <c r="O872" t="n">
        <v>0</v>
      </c>
      <c r="P872" t="n">
        <v>0</v>
      </c>
      <c r="Q872" t="n">
        <v>0</v>
      </c>
      <c r="R872" s="2" t="inlineStr"/>
    </row>
    <row r="873" ht="15" customHeight="1">
      <c r="A873" t="inlineStr">
        <is>
          <t>A 40046-2024</t>
        </is>
      </c>
      <c r="B873" s="1" t="n">
        <v>45553.76251157407</v>
      </c>
      <c r="C873" s="1" t="n">
        <v>46128</v>
      </c>
      <c r="D873" t="inlineStr">
        <is>
          <t>VÄSTERBOTTENS LÄN</t>
        </is>
      </c>
      <c r="E873" t="inlineStr">
        <is>
          <t>ÅSELE</t>
        </is>
      </c>
      <c r="G873" t="n">
        <v>5.6</v>
      </c>
      <c r="H873" t="n">
        <v>0</v>
      </c>
      <c r="I873" t="n">
        <v>0</v>
      </c>
      <c r="J873" t="n">
        <v>0</v>
      </c>
      <c r="K873" t="n">
        <v>0</v>
      </c>
      <c r="L873" t="n">
        <v>0</v>
      </c>
      <c r="M873" t="n">
        <v>0</v>
      </c>
      <c r="N873" t="n">
        <v>0</v>
      </c>
      <c r="O873" t="n">
        <v>0</v>
      </c>
      <c r="P873" t="n">
        <v>0</v>
      </c>
      <c r="Q873" t="n">
        <v>0</v>
      </c>
      <c r="R873" s="2" t="inlineStr"/>
    </row>
    <row r="874" ht="15" customHeight="1">
      <c r="A874" t="inlineStr">
        <is>
          <t>A 5003-2026</t>
        </is>
      </c>
      <c r="B874" s="1" t="n">
        <v>46049.42774305555</v>
      </c>
      <c r="C874" s="1" t="n">
        <v>46128</v>
      </c>
      <c r="D874" t="inlineStr">
        <is>
          <t>VÄSTERBOTTENS LÄN</t>
        </is>
      </c>
      <c r="E874" t="inlineStr">
        <is>
          <t>ÅSELE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3559-2024</t>
        </is>
      </c>
      <c r="B875" s="1" t="n">
        <v>45320</v>
      </c>
      <c r="C875" s="1" t="n">
        <v>46128</v>
      </c>
      <c r="D875" t="inlineStr">
        <is>
          <t>VÄSTERBOTTENS LÄN</t>
        </is>
      </c>
      <c r="E875" t="inlineStr">
        <is>
          <t>ÅSELE</t>
        </is>
      </c>
      <c r="G875" t="n">
        <v>2.3</v>
      </c>
      <c r="H875" t="n">
        <v>0</v>
      </c>
      <c r="I875" t="n">
        <v>0</v>
      </c>
      <c r="J875" t="n">
        <v>0</v>
      </c>
      <c r="K875" t="n">
        <v>0</v>
      </c>
      <c r="L875" t="n">
        <v>0</v>
      </c>
      <c r="M875" t="n">
        <v>0</v>
      </c>
      <c r="N875" t="n">
        <v>0</v>
      </c>
      <c r="O875" t="n">
        <v>0</v>
      </c>
      <c r="P875" t="n">
        <v>0</v>
      </c>
      <c r="Q875" t="n">
        <v>0</v>
      </c>
      <c r="R875" s="2" t="inlineStr"/>
    </row>
    <row r="876" ht="15" customHeight="1">
      <c r="A876" t="inlineStr">
        <is>
          <t>A 1409-2023</t>
        </is>
      </c>
      <c r="B876" s="1" t="n">
        <v>44936.86325231481</v>
      </c>
      <c r="C876" s="1" t="n">
        <v>46128</v>
      </c>
      <c r="D876" t="inlineStr">
        <is>
          <t>VÄSTERBOTTENS LÄN</t>
        </is>
      </c>
      <c r="E876" t="inlineStr">
        <is>
          <t>ÅSELE</t>
        </is>
      </c>
      <c r="G876" t="n">
        <v>4.8</v>
      </c>
      <c r="H876" t="n">
        <v>0</v>
      </c>
      <c r="I876" t="n">
        <v>0</v>
      </c>
      <c r="J876" t="n">
        <v>0</v>
      </c>
      <c r="K876" t="n">
        <v>0</v>
      </c>
      <c r="L876" t="n">
        <v>0</v>
      </c>
      <c r="M876" t="n">
        <v>0</v>
      </c>
      <c r="N876" t="n">
        <v>0</v>
      </c>
      <c r="O876" t="n">
        <v>0</v>
      </c>
      <c r="P876" t="n">
        <v>0</v>
      </c>
      <c r="Q876" t="n">
        <v>0</v>
      </c>
      <c r="R876" s="2" t="inlineStr"/>
    </row>
    <row r="877" ht="15" customHeight="1">
      <c r="A877" t="inlineStr">
        <is>
          <t>A 13164-2026</t>
        </is>
      </c>
      <c r="B877" s="1" t="n">
        <v>46093</v>
      </c>
      <c r="C877" s="1" t="n">
        <v>46128</v>
      </c>
      <c r="D877" t="inlineStr">
        <is>
          <t>VÄSTERBOTTENS LÄN</t>
        </is>
      </c>
      <c r="E877" t="inlineStr">
        <is>
          <t>ÅSELE</t>
        </is>
      </c>
      <c r="G877" t="n">
        <v>7.1</v>
      </c>
      <c r="H877" t="n">
        <v>0</v>
      </c>
      <c r="I877" t="n">
        <v>0</v>
      </c>
      <c r="J877" t="n">
        <v>0</v>
      </c>
      <c r="K877" t="n">
        <v>0</v>
      </c>
      <c r="L877" t="n">
        <v>0</v>
      </c>
      <c r="M877" t="n">
        <v>0</v>
      </c>
      <c r="N877" t="n">
        <v>0</v>
      </c>
      <c r="O877" t="n">
        <v>0</v>
      </c>
      <c r="P877" t="n">
        <v>0</v>
      </c>
      <c r="Q877" t="n">
        <v>0</v>
      </c>
      <c r="R877" s="2" t="inlineStr"/>
    </row>
    <row r="878" ht="15" customHeight="1">
      <c r="A878" t="inlineStr">
        <is>
          <t>A 4612-2022</t>
        </is>
      </c>
      <c r="B878" s="1" t="n">
        <v>44592.37475694445</v>
      </c>
      <c r="C878" s="1" t="n">
        <v>46128</v>
      </c>
      <c r="D878" t="inlineStr">
        <is>
          <t>VÄSTERBOTTENS LÄN</t>
        </is>
      </c>
      <c r="E878" t="inlineStr">
        <is>
          <t>ÅSELE</t>
        </is>
      </c>
      <c r="G878" t="n">
        <v>3.7</v>
      </c>
      <c r="H878" t="n">
        <v>0</v>
      </c>
      <c r="I878" t="n">
        <v>0</v>
      </c>
      <c r="J878" t="n">
        <v>0</v>
      </c>
      <c r="K878" t="n">
        <v>0</v>
      </c>
      <c r="L878" t="n">
        <v>0</v>
      </c>
      <c r="M878" t="n">
        <v>0</v>
      </c>
      <c r="N878" t="n">
        <v>0</v>
      </c>
      <c r="O878" t="n">
        <v>0</v>
      </c>
      <c r="P878" t="n">
        <v>0</v>
      </c>
      <c r="Q878" t="n">
        <v>0</v>
      </c>
      <c r="R878" s="2" t="inlineStr"/>
    </row>
    <row r="879" ht="15" customHeight="1">
      <c r="A879" t="inlineStr">
        <is>
          <t>A 44677-2023</t>
        </is>
      </c>
      <c r="B879" s="1" t="n">
        <v>45189</v>
      </c>
      <c r="C879" s="1" t="n">
        <v>46128</v>
      </c>
      <c r="D879" t="inlineStr">
        <is>
          <t>VÄSTERBOTTENS LÄN</t>
        </is>
      </c>
      <c r="E879" t="inlineStr">
        <is>
          <t>ÅSELE</t>
        </is>
      </c>
      <c r="G879" t="n">
        <v>7.9</v>
      </c>
      <c r="H879" t="n">
        <v>0</v>
      </c>
      <c r="I879" t="n">
        <v>0</v>
      </c>
      <c r="J879" t="n">
        <v>0</v>
      </c>
      <c r="K879" t="n">
        <v>0</v>
      </c>
      <c r="L879" t="n">
        <v>0</v>
      </c>
      <c r="M879" t="n">
        <v>0</v>
      </c>
      <c r="N879" t="n">
        <v>0</v>
      </c>
      <c r="O879" t="n">
        <v>0</v>
      </c>
      <c r="P879" t="n">
        <v>0</v>
      </c>
      <c r="Q879" t="n">
        <v>0</v>
      </c>
      <c r="R879" s="2" t="inlineStr"/>
    </row>
    <row r="880" ht="15" customHeight="1">
      <c r="A880" t="inlineStr">
        <is>
          <t>A 5604-2026</t>
        </is>
      </c>
      <c r="B880" s="1" t="n">
        <v>46051.3494212963</v>
      </c>
      <c r="C880" s="1" t="n">
        <v>46128</v>
      </c>
      <c r="D880" t="inlineStr">
        <is>
          <t>VÄSTERBOTTENS LÄN</t>
        </is>
      </c>
      <c r="E880" t="inlineStr">
        <is>
          <t>ÅSELE</t>
        </is>
      </c>
      <c r="F880" t="inlineStr">
        <is>
          <t>Sveaskog</t>
        </is>
      </c>
      <c r="G880" t="n">
        <v>4.8</v>
      </c>
      <c r="H880" t="n">
        <v>0</v>
      </c>
      <c r="I880" t="n">
        <v>0</v>
      </c>
      <c r="J880" t="n">
        <v>0</v>
      </c>
      <c r="K880" t="n">
        <v>0</v>
      </c>
      <c r="L880" t="n">
        <v>0</v>
      </c>
      <c r="M880" t="n">
        <v>0</v>
      </c>
      <c r="N880" t="n">
        <v>0</v>
      </c>
      <c r="O880" t="n">
        <v>0</v>
      </c>
      <c r="P880" t="n">
        <v>0</v>
      </c>
      <c r="Q880" t="n">
        <v>0</v>
      </c>
      <c r="R880" s="2" t="inlineStr"/>
    </row>
    <row r="881" ht="15" customHeight="1">
      <c r="A881" t="inlineStr">
        <is>
          <t>A 5613-2026</t>
        </is>
      </c>
      <c r="B881" s="1" t="n">
        <v>46051.36532407408</v>
      </c>
      <c r="C881" s="1" t="n">
        <v>46128</v>
      </c>
      <c r="D881" t="inlineStr">
        <is>
          <t>VÄSTERBOTTENS LÄN</t>
        </is>
      </c>
      <c r="E881" t="inlineStr">
        <is>
          <t>ÅSELE</t>
        </is>
      </c>
      <c r="G881" t="n">
        <v>5</v>
      </c>
      <c r="H881" t="n">
        <v>0</v>
      </c>
      <c r="I881" t="n">
        <v>0</v>
      </c>
      <c r="J881" t="n">
        <v>0</v>
      </c>
      <c r="K881" t="n">
        <v>0</v>
      </c>
      <c r="L881" t="n">
        <v>0</v>
      </c>
      <c r="M881" t="n">
        <v>0</v>
      </c>
      <c r="N881" t="n">
        <v>0</v>
      </c>
      <c r="O881" t="n">
        <v>0</v>
      </c>
      <c r="P881" t="n">
        <v>0</v>
      </c>
      <c r="Q881" t="n">
        <v>0</v>
      </c>
      <c r="R881" s="2" t="inlineStr"/>
    </row>
    <row r="882" ht="15" customHeight="1">
      <c r="A882" t="inlineStr">
        <is>
          <t>A 5614-2026</t>
        </is>
      </c>
      <c r="B882" s="1" t="n">
        <v>46051.36545138889</v>
      </c>
      <c r="C882" s="1" t="n">
        <v>46128</v>
      </c>
      <c r="D882" t="inlineStr">
        <is>
          <t>VÄSTERBOTTENS LÄN</t>
        </is>
      </c>
      <c r="E882" t="inlineStr">
        <is>
          <t>ÅSELE</t>
        </is>
      </c>
      <c r="G882" t="n">
        <v>2.7</v>
      </c>
      <c r="H882" t="n">
        <v>0</v>
      </c>
      <c r="I882" t="n">
        <v>0</v>
      </c>
      <c r="J882" t="n">
        <v>0</v>
      </c>
      <c r="K882" t="n">
        <v>0</v>
      </c>
      <c r="L882" t="n">
        <v>0</v>
      </c>
      <c r="M882" t="n">
        <v>0</v>
      </c>
      <c r="N882" t="n">
        <v>0</v>
      </c>
      <c r="O882" t="n">
        <v>0</v>
      </c>
      <c r="P882" t="n">
        <v>0</v>
      </c>
      <c r="Q882" t="n">
        <v>0</v>
      </c>
      <c r="R882" s="2" t="inlineStr"/>
    </row>
    <row r="883" ht="15" customHeight="1">
      <c r="A883" t="inlineStr">
        <is>
          <t>A 13169-2026</t>
        </is>
      </c>
      <c r="B883" s="1" t="n">
        <v>46093</v>
      </c>
      <c r="C883" s="1" t="n">
        <v>46128</v>
      </c>
      <c r="D883" t="inlineStr">
        <is>
          <t>VÄSTERBOTTENS LÄN</t>
        </is>
      </c>
      <c r="E883" t="inlineStr">
        <is>
          <t>ÅSELE</t>
        </is>
      </c>
      <c r="G883" t="n">
        <v>0.4</v>
      </c>
      <c r="H883" t="n">
        <v>0</v>
      </c>
      <c r="I883" t="n">
        <v>0</v>
      </c>
      <c r="J883" t="n">
        <v>0</v>
      </c>
      <c r="K883" t="n">
        <v>0</v>
      </c>
      <c r="L883" t="n">
        <v>0</v>
      </c>
      <c r="M883" t="n">
        <v>0</v>
      </c>
      <c r="N883" t="n">
        <v>0</v>
      </c>
      <c r="O883" t="n">
        <v>0</v>
      </c>
      <c r="P883" t="n">
        <v>0</v>
      </c>
      <c r="Q883" t="n">
        <v>0</v>
      </c>
      <c r="R883" s="2" t="inlineStr"/>
    </row>
    <row r="884" ht="15" customHeight="1">
      <c r="A884" t="inlineStr">
        <is>
          <t>A 13161-2026</t>
        </is>
      </c>
      <c r="B884" s="1" t="n">
        <v>46093</v>
      </c>
      <c r="C884" s="1" t="n">
        <v>46128</v>
      </c>
      <c r="D884" t="inlineStr">
        <is>
          <t>VÄSTERBOTTENS LÄN</t>
        </is>
      </c>
      <c r="E884" t="inlineStr">
        <is>
          <t>ÅSELE</t>
        </is>
      </c>
      <c r="G884" t="n">
        <v>0.5</v>
      </c>
      <c r="H884" t="n">
        <v>0</v>
      </c>
      <c r="I884" t="n">
        <v>0</v>
      </c>
      <c r="J884" t="n">
        <v>0</v>
      </c>
      <c r="K884" t="n">
        <v>0</v>
      </c>
      <c r="L884" t="n">
        <v>0</v>
      </c>
      <c r="M884" t="n">
        <v>0</v>
      </c>
      <c r="N884" t="n">
        <v>0</v>
      </c>
      <c r="O884" t="n">
        <v>0</v>
      </c>
      <c r="P884" t="n">
        <v>0</v>
      </c>
      <c r="Q884" t="n">
        <v>0</v>
      </c>
      <c r="R884" s="2" t="inlineStr"/>
    </row>
    <row r="885" ht="15" customHeight="1">
      <c r="A885" t="inlineStr">
        <is>
          <t>A 20305-2025</t>
        </is>
      </c>
      <c r="B885" s="1" t="n">
        <v>45774.81648148148</v>
      </c>
      <c r="C885" s="1" t="n">
        <v>46128</v>
      </c>
      <c r="D885" t="inlineStr">
        <is>
          <t>VÄSTERBOTTENS LÄN</t>
        </is>
      </c>
      <c r="E885" t="inlineStr">
        <is>
          <t>ÅSELE</t>
        </is>
      </c>
      <c r="G885" t="n">
        <v>5.4</v>
      </c>
      <c r="H885" t="n">
        <v>0</v>
      </c>
      <c r="I885" t="n">
        <v>0</v>
      </c>
      <c r="J885" t="n">
        <v>0</v>
      </c>
      <c r="K885" t="n">
        <v>0</v>
      </c>
      <c r="L885" t="n">
        <v>0</v>
      </c>
      <c r="M885" t="n">
        <v>0</v>
      </c>
      <c r="N885" t="n">
        <v>0</v>
      </c>
      <c r="O885" t="n">
        <v>0</v>
      </c>
      <c r="P885" t="n">
        <v>0</v>
      </c>
      <c r="Q885" t="n">
        <v>0</v>
      </c>
      <c r="R885" s="2" t="inlineStr"/>
    </row>
    <row r="886" ht="15" customHeight="1">
      <c r="A886" t="inlineStr">
        <is>
          <t>A 44209-2024</t>
        </is>
      </c>
      <c r="B886" s="1" t="n">
        <v>45573</v>
      </c>
      <c r="C886" s="1" t="n">
        <v>46128</v>
      </c>
      <c r="D886" t="inlineStr">
        <is>
          <t>VÄSTERBOTTENS LÄN</t>
        </is>
      </c>
      <c r="E886" t="inlineStr">
        <is>
          <t>ÅSELE</t>
        </is>
      </c>
      <c r="F886" t="inlineStr">
        <is>
          <t>Sveaskog</t>
        </is>
      </c>
      <c r="G886" t="n">
        <v>12.5</v>
      </c>
      <c r="H886" t="n">
        <v>0</v>
      </c>
      <c r="I886" t="n">
        <v>0</v>
      </c>
      <c r="J886" t="n">
        <v>0</v>
      </c>
      <c r="K886" t="n">
        <v>0</v>
      </c>
      <c r="L886" t="n">
        <v>0</v>
      </c>
      <c r="M886" t="n">
        <v>0</v>
      </c>
      <c r="N886" t="n">
        <v>0</v>
      </c>
      <c r="O886" t="n">
        <v>0</v>
      </c>
      <c r="P886" t="n">
        <v>0</v>
      </c>
      <c r="Q886" t="n">
        <v>0</v>
      </c>
      <c r="R886" s="2" t="inlineStr"/>
    </row>
    <row r="887" ht="15" customHeight="1">
      <c r="A887" t="inlineStr">
        <is>
          <t>A 13509-2026</t>
        </is>
      </c>
      <c r="B887" s="1" t="n">
        <v>46094.60001157408</v>
      </c>
      <c r="C887" s="1" t="n">
        <v>46128</v>
      </c>
      <c r="D887" t="inlineStr">
        <is>
          <t>VÄSTERBOTTENS LÄN</t>
        </is>
      </c>
      <c r="E887" t="inlineStr">
        <is>
          <t>ÅSELE</t>
        </is>
      </c>
      <c r="F887" t="inlineStr">
        <is>
          <t>Kommuner</t>
        </is>
      </c>
      <c r="G887" t="n">
        <v>19</v>
      </c>
      <c r="H887" t="n">
        <v>0</v>
      </c>
      <c r="I887" t="n">
        <v>0</v>
      </c>
      <c r="J887" t="n">
        <v>0</v>
      </c>
      <c r="K887" t="n">
        <v>0</v>
      </c>
      <c r="L887" t="n">
        <v>0</v>
      </c>
      <c r="M887" t="n">
        <v>0</v>
      </c>
      <c r="N887" t="n">
        <v>0</v>
      </c>
      <c r="O887" t="n">
        <v>0</v>
      </c>
      <c r="P887" t="n">
        <v>0</v>
      </c>
      <c r="Q887" t="n">
        <v>0</v>
      </c>
      <c r="R887" s="2" t="inlineStr"/>
    </row>
    <row r="888" ht="15" customHeight="1">
      <c r="A888" t="inlineStr">
        <is>
          <t>A 13056-2026</t>
        </is>
      </c>
      <c r="B888" s="1" t="n">
        <v>46093.34582175926</v>
      </c>
      <c r="C888" s="1" t="n">
        <v>46128</v>
      </c>
      <c r="D888" t="inlineStr">
        <is>
          <t>VÄSTERBOTTENS LÄN</t>
        </is>
      </c>
      <c r="E888" t="inlineStr">
        <is>
          <t>ÅSELE</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13351-2026</t>
        </is>
      </c>
      <c r="B889" s="1" t="n">
        <v>46094.3859375</v>
      </c>
      <c r="C889" s="1" t="n">
        <v>46128</v>
      </c>
      <c r="D889" t="inlineStr">
        <is>
          <t>VÄSTERBOTTENS LÄN</t>
        </is>
      </c>
      <c r="E889" t="inlineStr">
        <is>
          <t>ÅSELE</t>
        </is>
      </c>
      <c r="F889" t="inlineStr">
        <is>
          <t>SCA</t>
        </is>
      </c>
      <c r="G889" t="n">
        <v>12.2</v>
      </c>
      <c r="H889" t="n">
        <v>0</v>
      </c>
      <c r="I889" t="n">
        <v>0</v>
      </c>
      <c r="J889" t="n">
        <v>0</v>
      </c>
      <c r="K889" t="n">
        <v>0</v>
      </c>
      <c r="L889" t="n">
        <v>0</v>
      </c>
      <c r="M889" t="n">
        <v>0</v>
      </c>
      <c r="N889" t="n">
        <v>0</v>
      </c>
      <c r="O889" t="n">
        <v>0</v>
      </c>
      <c r="P889" t="n">
        <v>0</v>
      </c>
      <c r="Q889" t="n">
        <v>0</v>
      </c>
      <c r="R889" s="2" t="inlineStr"/>
    </row>
    <row r="890" ht="15" customHeight="1">
      <c r="A890" t="inlineStr">
        <is>
          <t>A 29300-2023</t>
        </is>
      </c>
      <c r="B890" s="1" t="n">
        <v>45105.86278935185</v>
      </c>
      <c r="C890" s="1" t="n">
        <v>46128</v>
      </c>
      <c r="D890" t="inlineStr">
        <is>
          <t>VÄSTERBOTTENS LÄN</t>
        </is>
      </c>
      <c r="E890" t="inlineStr">
        <is>
          <t>ÅSELE</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13249-2026</t>
        </is>
      </c>
      <c r="B891" s="1" t="n">
        <v>46093.656875</v>
      </c>
      <c r="C891" s="1" t="n">
        <v>46128</v>
      </c>
      <c r="D891" t="inlineStr">
        <is>
          <t>VÄSTERBOTTENS LÄN</t>
        </is>
      </c>
      <c r="E891" t="inlineStr">
        <is>
          <t>ÅSELE</t>
        </is>
      </c>
      <c r="F891" t="inlineStr">
        <is>
          <t>SCA</t>
        </is>
      </c>
      <c r="G891" t="n">
        <v>13.6</v>
      </c>
      <c r="H891" t="n">
        <v>0</v>
      </c>
      <c r="I891" t="n">
        <v>0</v>
      </c>
      <c r="J891" t="n">
        <v>0</v>
      </c>
      <c r="K891" t="n">
        <v>0</v>
      </c>
      <c r="L891" t="n">
        <v>0</v>
      </c>
      <c r="M891" t="n">
        <v>0</v>
      </c>
      <c r="N891" t="n">
        <v>0</v>
      </c>
      <c r="O891" t="n">
        <v>0</v>
      </c>
      <c r="P891" t="n">
        <v>0</v>
      </c>
      <c r="Q891" t="n">
        <v>0</v>
      </c>
      <c r="R891" s="2" t="inlineStr"/>
    </row>
    <row r="892" ht="15" customHeight="1">
      <c r="A892" t="inlineStr">
        <is>
          <t>A 6335-2026</t>
        </is>
      </c>
      <c r="B892" s="1" t="n">
        <v>46055.59488425926</v>
      </c>
      <c r="C892" s="1" t="n">
        <v>46128</v>
      </c>
      <c r="D892" t="inlineStr">
        <is>
          <t>VÄSTERBOTTENS LÄN</t>
        </is>
      </c>
      <c r="E892" t="inlineStr">
        <is>
          <t>ÅSELE</t>
        </is>
      </c>
      <c r="F892" t="inlineStr">
        <is>
          <t>SCA</t>
        </is>
      </c>
      <c r="G892" t="n">
        <v>5.9</v>
      </c>
      <c r="H892" t="n">
        <v>0</v>
      </c>
      <c r="I892" t="n">
        <v>0</v>
      </c>
      <c r="J892" t="n">
        <v>0</v>
      </c>
      <c r="K892" t="n">
        <v>0</v>
      </c>
      <c r="L892" t="n">
        <v>0</v>
      </c>
      <c r="M892" t="n">
        <v>0</v>
      </c>
      <c r="N892" t="n">
        <v>0</v>
      </c>
      <c r="O892" t="n">
        <v>0</v>
      </c>
      <c r="P892" t="n">
        <v>0</v>
      </c>
      <c r="Q892" t="n">
        <v>0</v>
      </c>
      <c r="R892" s="2" t="inlineStr"/>
    </row>
    <row r="893" ht="15" customHeight="1">
      <c r="A893" t="inlineStr">
        <is>
          <t>A 6553-2026</t>
        </is>
      </c>
      <c r="B893" s="1" t="n">
        <v>46056.42962962963</v>
      </c>
      <c r="C893" s="1" t="n">
        <v>46128</v>
      </c>
      <c r="D893" t="inlineStr">
        <is>
          <t>VÄSTERBOTTENS LÄN</t>
        </is>
      </c>
      <c r="E893" t="inlineStr">
        <is>
          <t>ÅSELE</t>
        </is>
      </c>
      <c r="G893" t="n">
        <v>2.5</v>
      </c>
      <c r="H893" t="n">
        <v>0</v>
      </c>
      <c r="I893" t="n">
        <v>0</v>
      </c>
      <c r="J893" t="n">
        <v>0</v>
      </c>
      <c r="K893" t="n">
        <v>0</v>
      </c>
      <c r="L893" t="n">
        <v>0</v>
      </c>
      <c r="M893" t="n">
        <v>0</v>
      </c>
      <c r="N893" t="n">
        <v>0</v>
      </c>
      <c r="O893" t="n">
        <v>0</v>
      </c>
      <c r="P893" t="n">
        <v>0</v>
      </c>
      <c r="Q893" t="n">
        <v>0</v>
      </c>
      <c r="R893" s="2" t="inlineStr"/>
    </row>
    <row r="894" ht="15" customHeight="1">
      <c r="A894" t="inlineStr">
        <is>
          <t>A 13794-2026</t>
        </is>
      </c>
      <c r="B894" s="1" t="n">
        <v>46097.8160300926</v>
      </c>
      <c r="C894" s="1" t="n">
        <v>46128</v>
      </c>
      <c r="D894" t="inlineStr">
        <is>
          <t>VÄSTERBOTTENS LÄN</t>
        </is>
      </c>
      <c r="E894" t="inlineStr">
        <is>
          <t>ÅSELE</t>
        </is>
      </c>
      <c r="F894" t="inlineStr">
        <is>
          <t>Sveaskog</t>
        </is>
      </c>
      <c r="G894" t="n">
        <v>10.9</v>
      </c>
      <c r="H894" t="n">
        <v>0</v>
      </c>
      <c r="I894" t="n">
        <v>0</v>
      </c>
      <c r="J894" t="n">
        <v>0</v>
      </c>
      <c r="K894" t="n">
        <v>0</v>
      </c>
      <c r="L894" t="n">
        <v>0</v>
      </c>
      <c r="M894" t="n">
        <v>0</v>
      </c>
      <c r="N894" t="n">
        <v>0</v>
      </c>
      <c r="O894" t="n">
        <v>0</v>
      </c>
      <c r="P894" t="n">
        <v>0</v>
      </c>
      <c r="Q894" t="n">
        <v>0</v>
      </c>
      <c r="R894" s="2" t="inlineStr"/>
    </row>
    <row r="895" ht="15" customHeight="1">
      <c r="A895" t="inlineStr">
        <is>
          <t>A 6185-2026</t>
        </is>
      </c>
      <c r="B895" s="1" t="n">
        <v>46055.36503472222</v>
      </c>
      <c r="C895" s="1" t="n">
        <v>46128</v>
      </c>
      <c r="D895" t="inlineStr">
        <is>
          <t>VÄSTERBOTTENS LÄN</t>
        </is>
      </c>
      <c r="E895" t="inlineStr">
        <is>
          <t>ÅSELE</t>
        </is>
      </c>
      <c r="F895" t="inlineStr">
        <is>
          <t>SCA</t>
        </is>
      </c>
      <c r="G895" t="n">
        <v>6.4</v>
      </c>
      <c r="H895" t="n">
        <v>0</v>
      </c>
      <c r="I895" t="n">
        <v>0</v>
      </c>
      <c r="J895" t="n">
        <v>0</v>
      </c>
      <c r="K895" t="n">
        <v>0</v>
      </c>
      <c r="L895" t="n">
        <v>0</v>
      </c>
      <c r="M895" t="n">
        <v>0</v>
      </c>
      <c r="N895" t="n">
        <v>0</v>
      </c>
      <c r="O895" t="n">
        <v>0</v>
      </c>
      <c r="P895" t="n">
        <v>0</v>
      </c>
      <c r="Q895" t="n">
        <v>0</v>
      </c>
      <c r="R895" s="2" t="inlineStr"/>
    </row>
    <row r="896" ht="15" customHeight="1">
      <c r="A896" t="inlineStr">
        <is>
          <t>A 21107-2023</t>
        </is>
      </c>
      <c r="B896" s="1" t="n">
        <v>45061</v>
      </c>
      <c r="C896" s="1" t="n">
        <v>46128</v>
      </c>
      <c r="D896" t="inlineStr">
        <is>
          <t>VÄSTERBOTTENS LÄN</t>
        </is>
      </c>
      <c r="E896" t="inlineStr">
        <is>
          <t>ÅSELE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6565-2026</t>
        </is>
      </c>
      <c r="B897" s="1" t="n">
        <v>46056.4393287037</v>
      </c>
      <c r="C897" s="1" t="n">
        <v>46128</v>
      </c>
      <c r="D897" t="inlineStr">
        <is>
          <t>VÄSTERBOTTENS LÄN</t>
        </is>
      </c>
      <c r="E897" t="inlineStr">
        <is>
          <t>ÅSELE</t>
        </is>
      </c>
      <c r="G897" t="n">
        <v>2.3</v>
      </c>
      <c r="H897" t="n">
        <v>0</v>
      </c>
      <c r="I897" t="n">
        <v>0</v>
      </c>
      <c r="J897" t="n">
        <v>0</v>
      </c>
      <c r="K897" t="n">
        <v>0</v>
      </c>
      <c r="L897" t="n">
        <v>0</v>
      </c>
      <c r="M897" t="n">
        <v>0</v>
      </c>
      <c r="N897" t="n">
        <v>0</v>
      </c>
      <c r="O897" t="n">
        <v>0</v>
      </c>
      <c r="P897" t="n">
        <v>0</v>
      </c>
      <c r="Q897" t="n">
        <v>0</v>
      </c>
      <c r="R897" s="2" t="inlineStr"/>
    </row>
    <row r="898" ht="15" customHeight="1">
      <c r="A898" t="inlineStr">
        <is>
          <t>A 6911-2026</t>
        </is>
      </c>
      <c r="B898" s="1" t="n">
        <v>46057.51104166666</v>
      </c>
      <c r="C898" s="1" t="n">
        <v>46128</v>
      </c>
      <c r="D898" t="inlineStr">
        <is>
          <t>VÄSTERBOTTENS LÄN</t>
        </is>
      </c>
      <c r="E898" t="inlineStr">
        <is>
          <t>ÅSELE</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6888-2026</t>
        </is>
      </c>
      <c r="B899" s="1" t="n">
        <v>46057.46924768519</v>
      </c>
      <c r="C899" s="1" t="n">
        <v>46128</v>
      </c>
      <c r="D899" t="inlineStr">
        <is>
          <t>VÄSTERBOTTENS LÄN</t>
        </is>
      </c>
      <c r="E899" t="inlineStr">
        <is>
          <t>ÅSELE</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19462-2025</t>
        </is>
      </c>
      <c r="B900" s="1" t="n">
        <v>45770.36570601852</v>
      </c>
      <c r="C900" s="1" t="n">
        <v>46128</v>
      </c>
      <c r="D900" t="inlineStr">
        <is>
          <t>VÄSTERBOTTENS LÄN</t>
        </is>
      </c>
      <c r="E900" t="inlineStr">
        <is>
          <t>ÅSELE</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6902-2026</t>
        </is>
      </c>
      <c r="B901" s="1" t="n">
        <v>46057.49060185185</v>
      </c>
      <c r="C901" s="1" t="n">
        <v>46128</v>
      </c>
      <c r="D901" t="inlineStr">
        <is>
          <t>VÄSTERBOTTENS LÄN</t>
        </is>
      </c>
      <c r="E901" t="inlineStr">
        <is>
          <t>ÅSELE</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39989-2023</t>
        </is>
      </c>
      <c r="B902" s="1" t="n">
        <v>45167</v>
      </c>
      <c r="C902" s="1" t="n">
        <v>46128</v>
      </c>
      <c r="D902" t="inlineStr">
        <is>
          <t>VÄSTERBOTTENS LÄN</t>
        </is>
      </c>
      <c r="E902" t="inlineStr">
        <is>
          <t>ÅSELE</t>
        </is>
      </c>
      <c r="G902" t="n">
        <v>5.2</v>
      </c>
      <c r="H902" t="n">
        <v>0</v>
      </c>
      <c r="I902" t="n">
        <v>0</v>
      </c>
      <c r="J902" t="n">
        <v>0</v>
      </c>
      <c r="K902" t="n">
        <v>0</v>
      </c>
      <c r="L902" t="n">
        <v>0</v>
      </c>
      <c r="M902" t="n">
        <v>0</v>
      </c>
      <c r="N902" t="n">
        <v>0</v>
      </c>
      <c r="O902" t="n">
        <v>0</v>
      </c>
      <c r="P902" t="n">
        <v>0</v>
      </c>
      <c r="Q902" t="n">
        <v>0</v>
      </c>
      <c r="R902" s="2" t="inlineStr"/>
    </row>
    <row r="903" ht="15" customHeight="1">
      <c r="A903" t="inlineStr">
        <is>
          <t>A 7029-2026</t>
        </is>
      </c>
      <c r="B903" s="1" t="n">
        <v>46057.67790509259</v>
      </c>
      <c r="C903" s="1" t="n">
        <v>46128</v>
      </c>
      <c r="D903" t="inlineStr">
        <is>
          <t>VÄSTERBOTTENS LÄN</t>
        </is>
      </c>
      <c r="E903" t="inlineStr">
        <is>
          <t>ÅSELE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6900-2026</t>
        </is>
      </c>
      <c r="B904" s="1" t="n">
        <v>46057.49017361111</v>
      </c>
      <c r="C904" s="1" t="n">
        <v>46128</v>
      </c>
      <c r="D904" t="inlineStr">
        <is>
          <t>VÄSTERBOTTENS LÄN</t>
        </is>
      </c>
      <c r="E904" t="inlineStr">
        <is>
          <t>ÅSELE</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6903-2026</t>
        </is>
      </c>
      <c r="B905" s="1" t="n">
        <v>46057.490625</v>
      </c>
      <c r="C905" s="1" t="n">
        <v>46128</v>
      </c>
      <c r="D905" t="inlineStr">
        <is>
          <t>VÄSTERBOTTENS LÄN</t>
        </is>
      </c>
      <c r="E905" t="inlineStr">
        <is>
          <t>ÅSELE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6910-2026</t>
        </is>
      </c>
      <c r="B906" s="1" t="n">
        <v>46057.51086805556</v>
      </c>
      <c r="C906" s="1" t="n">
        <v>46128</v>
      </c>
      <c r="D906" t="inlineStr">
        <is>
          <t>VÄSTERBOTTENS LÄN</t>
        </is>
      </c>
      <c r="E906" t="inlineStr">
        <is>
          <t>ÅSELE</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58472-2024</t>
        </is>
      </c>
      <c r="B907" s="1" t="n">
        <v>45635</v>
      </c>
      <c r="C907" s="1" t="n">
        <v>46128</v>
      </c>
      <c r="D907" t="inlineStr">
        <is>
          <t>VÄSTERBOTTENS LÄN</t>
        </is>
      </c>
      <c r="E907" t="inlineStr">
        <is>
          <t>ÅSELE</t>
        </is>
      </c>
      <c r="G907" t="n">
        <v>6.3</v>
      </c>
      <c r="H907" t="n">
        <v>0</v>
      </c>
      <c r="I907" t="n">
        <v>0</v>
      </c>
      <c r="J907" t="n">
        <v>0</v>
      </c>
      <c r="K907" t="n">
        <v>0</v>
      </c>
      <c r="L907" t="n">
        <v>0</v>
      </c>
      <c r="M907" t="n">
        <v>0</v>
      </c>
      <c r="N907" t="n">
        <v>0</v>
      </c>
      <c r="O907" t="n">
        <v>0</v>
      </c>
      <c r="P907" t="n">
        <v>0</v>
      </c>
      <c r="Q907" t="n">
        <v>0</v>
      </c>
      <c r="R907" s="2" t="inlineStr"/>
    </row>
    <row r="908" ht="15" customHeight="1">
      <c r="A908" t="inlineStr">
        <is>
          <t>A 31190-2023</t>
        </is>
      </c>
      <c r="B908" s="1" t="n">
        <v>45113.94958333333</v>
      </c>
      <c r="C908" s="1" t="n">
        <v>46128</v>
      </c>
      <c r="D908" t="inlineStr">
        <is>
          <t>VÄSTERBOTTENS LÄN</t>
        </is>
      </c>
      <c r="E908" t="inlineStr">
        <is>
          <t>ÅSELE</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8851-2024</t>
        </is>
      </c>
      <c r="B909" s="1" t="n">
        <v>45356</v>
      </c>
      <c r="C909" s="1" t="n">
        <v>46128</v>
      </c>
      <c r="D909" t="inlineStr">
        <is>
          <t>VÄSTERBOTTENS LÄN</t>
        </is>
      </c>
      <c r="E909" t="inlineStr">
        <is>
          <t>ÅSELE</t>
        </is>
      </c>
      <c r="F909" t="inlineStr">
        <is>
          <t>Kommuner</t>
        </is>
      </c>
      <c r="G909" t="n">
        <v>0.9</v>
      </c>
      <c r="H909" t="n">
        <v>0</v>
      </c>
      <c r="I909" t="n">
        <v>0</v>
      </c>
      <c r="J909" t="n">
        <v>0</v>
      </c>
      <c r="K909" t="n">
        <v>0</v>
      </c>
      <c r="L909" t="n">
        <v>0</v>
      </c>
      <c r="M909" t="n">
        <v>0</v>
      </c>
      <c r="N909" t="n">
        <v>0</v>
      </c>
      <c r="O909" t="n">
        <v>0</v>
      </c>
      <c r="P909" t="n">
        <v>0</v>
      </c>
      <c r="Q909" t="n">
        <v>0</v>
      </c>
      <c r="R909" s="2" t="inlineStr"/>
    </row>
    <row r="910" ht="15" customHeight="1">
      <c r="A910" t="inlineStr">
        <is>
          <t>A 65478-2021</t>
        </is>
      </c>
      <c r="B910" s="1" t="n">
        <v>44516.34648148148</v>
      </c>
      <c r="C910" s="1" t="n">
        <v>46128</v>
      </c>
      <c r="D910" t="inlineStr">
        <is>
          <t>VÄSTERBOTTENS LÄN</t>
        </is>
      </c>
      <c r="E910" t="inlineStr">
        <is>
          <t>ÅSELE</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59690-2024</t>
        </is>
      </c>
      <c r="B911" s="1" t="n">
        <v>45639.40667824074</v>
      </c>
      <c r="C911" s="1" t="n">
        <v>46128</v>
      </c>
      <c r="D911" t="inlineStr">
        <is>
          <t>VÄSTERBOTTENS LÄN</t>
        </is>
      </c>
      <c r="E911" t="inlineStr">
        <is>
          <t>ÅSELE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14458-2026</t>
        </is>
      </c>
      <c r="B912" s="1" t="n">
        <v>46100.53188657408</v>
      </c>
      <c r="C912" s="1" t="n">
        <v>46128</v>
      </c>
      <c r="D912" t="inlineStr">
        <is>
          <t>VÄSTERBOTTENS LÄN</t>
        </is>
      </c>
      <c r="E912" t="inlineStr">
        <is>
          <t>ÅSELE</t>
        </is>
      </c>
      <c r="F912" t="inlineStr">
        <is>
          <t>SCA</t>
        </is>
      </c>
      <c r="G912" t="n">
        <v>11.7</v>
      </c>
      <c r="H912" t="n">
        <v>0</v>
      </c>
      <c r="I912" t="n">
        <v>0</v>
      </c>
      <c r="J912" t="n">
        <v>0</v>
      </c>
      <c r="K912" t="n">
        <v>0</v>
      </c>
      <c r="L912" t="n">
        <v>0</v>
      </c>
      <c r="M912" t="n">
        <v>0</v>
      </c>
      <c r="N912" t="n">
        <v>0</v>
      </c>
      <c r="O912" t="n">
        <v>0</v>
      </c>
      <c r="P912" t="n">
        <v>0</v>
      </c>
      <c r="Q912" t="n">
        <v>0</v>
      </c>
      <c r="R912" s="2" t="inlineStr"/>
    </row>
    <row r="913" ht="15" customHeight="1">
      <c r="A913" t="inlineStr">
        <is>
          <t>A 61985-2023</t>
        </is>
      </c>
      <c r="B913" s="1" t="n">
        <v>45266.6125</v>
      </c>
      <c r="C913" s="1" t="n">
        <v>46128</v>
      </c>
      <c r="D913" t="inlineStr">
        <is>
          <t>VÄSTERBOTTENS LÄN</t>
        </is>
      </c>
      <c r="E913" t="inlineStr">
        <is>
          <t>ÅSELE</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15051-2026</t>
        </is>
      </c>
      <c r="B914" s="1" t="n">
        <v>46104.67607638889</v>
      </c>
      <c r="C914" s="1" t="n">
        <v>46128</v>
      </c>
      <c r="D914" t="inlineStr">
        <is>
          <t>VÄSTERBOTTENS LÄN</t>
        </is>
      </c>
      <c r="E914" t="inlineStr">
        <is>
          <t>ÅSELE</t>
        </is>
      </c>
      <c r="F914" t="inlineStr">
        <is>
          <t>Holmen skog AB</t>
        </is>
      </c>
      <c r="G914" t="n">
        <v>2.9</v>
      </c>
      <c r="H914" t="n">
        <v>0</v>
      </c>
      <c r="I914" t="n">
        <v>0</v>
      </c>
      <c r="J914" t="n">
        <v>0</v>
      </c>
      <c r="K914" t="n">
        <v>0</v>
      </c>
      <c r="L914" t="n">
        <v>0</v>
      </c>
      <c r="M914" t="n">
        <v>0</v>
      </c>
      <c r="N914" t="n">
        <v>0</v>
      </c>
      <c r="O914" t="n">
        <v>0</v>
      </c>
      <c r="P914" t="n">
        <v>0</v>
      </c>
      <c r="Q914" t="n">
        <v>0</v>
      </c>
      <c r="R914" s="2" t="inlineStr"/>
    </row>
    <row r="915" ht="15" customHeight="1">
      <c r="A915" t="inlineStr">
        <is>
          <t>A 31474-2024</t>
        </is>
      </c>
      <c r="B915" s="1" t="n">
        <v>45505.95200231481</v>
      </c>
      <c r="C915" s="1" t="n">
        <v>46128</v>
      </c>
      <c r="D915" t="inlineStr">
        <is>
          <t>VÄSTERBOTTENS LÄN</t>
        </is>
      </c>
      <c r="E915" t="inlineStr">
        <is>
          <t>ÅSELE</t>
        </is>
      </c>
      <c r="F915" t="inlineStr">
        <is>
          <t>SCA</t>
        </is>
      </c>
      <c r="G915" t="n">
        <v>6.3</v>
      </c>
      <c r="H915" t="n">
        <v>0</v>
      </c>
      <c r="I915" t="n">
        <v>0</v>
      </c>
      <c r="J915" t="n">
        <v>0</v>
      </c>
      <c r="K915" t="n">
        <v>0</v>
      </c>
      <c r="L915" t="n">
        <v>0</v>
      </c>
      <c r="M915" t="n">
        <v>0</v>
      </c>
      <c r="N915" t="n">
        <v>0</v>
      </c>
      <c r="O915" t="n">
        <v>0</v>
      </c>
      <c r="P915" t="n">
        <v>0</v>
      </c>
      <c r="Q915" t="n">
        <v>0</v>
      </c>
      <c r="R915" s="2" t="inlineStr"/>
    </row>
    <row r="916" ht="15" customHeight="1">
      <c r="A916" t="inlineStr">
        <is>
          <t>A 5006-2024</t>
        </is>
      </c>
      <c r="B916" s="1" t="n">
        <v>45329</v>
      </c>
      <c r="C916" s="1" t="n">
        <v>46128</v>
      </c>
      <c r="D916" t="inlineStr">
        <is>
          <t>VÄSTERBOTTENS LÄN</t>
        </is>
      </c>
      <c r="E916" t="inlineStr">
        <is>
          <t>ÅSELE</t>
        </is>
      </c>
      <c r="F916" t="inlineStr">
        <is>
          <t>Övriga Aktiebolag</t>
        </is>
      </c>
      <c r="G916" t="n">
        <v>0.8</v>
      </c>
      <c r="H916" t="n">
        <v>0</v>
      </c>
      <c r="I916" t="n">
        <v>0</v>
      </c>
      <c r="J916" t="n">
        <v>0</v>
      </c>
      <c r="K916" t="n">
        <v>0</v>
      </c>
      <c r="L916" t="n">
        <v>0</v>
      </c>
      <c r="M916" t="n">
        <v>0</v>
      </c>
      <c r="N916" t="n">
        <v>0</v>
      </c>
      <c r="O916" t="n">
        <v>0</v>
      </c>
      <c r="P916" t="n">
        <v>0</v>
      </c>
      <c r="Q916" t="n">
        <v>0</v>
      </c>
      <c r="R916" s="2" t="inlineStr"/>
    </row>
    <row r="917" ht="15" customHeight="1">
      <c r="A917" t="inlineStr">
        <is>
          <t>A 5013-2024</t>
        </is>
      </c>
      <c r="B917" s="1" t="n">
        <v>45329</v>
      </c>
      <c r="C917" s="1" t="n">
        <v>46128</v>
      </c>
      <c r="D917" t="inlineStr">
        <is>
          <t>VÄSTERBOTTENS LÄN</t>
        </is>
      </c>
      <c r="E917" t="inlineStr">
        <is>
          <t>ÅSELE</t>
        </is>
      </c>
      <c r="F917" t="inlineStr">
        <is>
          <t>Övriga Aktiebolag</t>
        </is>
      </c>
      <c r="G917" t="n">
        <v>5</v>
      </c>
      <c r="H917" t="n">
        <v>0</v>
      </c>
      <c r="I917" t="n">
        <v>0</v>
      </c>
      <c r="J917" t="n">
        <v>0</v>
      </c>
      <c r="K917" t="n">
        <v>0</v>
      </c>
      <c r="L917" t="n">
        <v>0</v>
      </c>
      <c r="M917" t="n">
        <v>0</v>
      </c>
      <c r="N917" t="n">
        <v>0</v>
      </c>
      <c r="O917" t="n">
        <v>0</v>
      </c>
      <c r="P917" t="n">
        <v>0</v>
      </c>
      <c r="Q917" t="n">
        <v>0</v>
      </c>
      <c r="R917" s="2" t="inlineStr"/>
    </row>
    <row r="918" ht="15" customHeight="1">
      <c r="A918" t="inlineStr">
        <is>
          <t>A 13273-2026</t>
        </is>
      </c>
      <c r="B918" s="1" t="n">
        <v>46093</v>
      </c>
      <c r="C918" s="1" t="n">
        <v>46128</v>
      </c>
      <c r="D918" t="inlineStr">
        <is>
          <t>VÄSTERBOTTENS LÄN</t>
        </is>
      </c>
      <c r="E918" t="inlineStr">
        <is>
          <t>ÅSELE</t>
        </is>
      </c>
      <c r="G918" t="n">
        <v>3.8</v>
      </c>
      <c r="H918" t="n">
        <v>0</v>
      </c>
      <c r="I918" t="n">
        <v>0</v>
      </c>
      <c r="J918" t="n">
        <v>0</v>
      </c>
      <c r="K918" t="n">
        <v>0</v>
      </c>
      <c r="L918" t="n">
        <v>0</v>
      </c>
      <c r="M918" t="n">
        <v>0</v>
      </c>
      <c r="N918" t="n">
        <v>0</v>
      </c>
      <c r="O918" t="n">
        <v>0</v>
      </c>
      <c r="P918" t="n">
        <v>0</v>
      </c>
      <c r="Q918" t="n">
        <v>0</v>
      </c>
      <c r="R918" s="2" t="inlineStr"/>
    </row>
    <row r="919" ht="15" customHeight="1">
      <c r="A919" t="inlineStr">
        <is>
          <t>A 15854-2026</t>
        </is>
      </c>
      <c r="B919" s="1" t="n">
        <v>46107</v>
      </c>
      <c r="C919" s="1" t="n">
        <v>46128</v>
      </c>
      <c r="D919" t="inlineStr">
        <is>
          <t>VÄSTERBOTTENS LÄN</t>
        </is>
      </c>
      <c r="E919" t="inlineStr">
        <is>
          <t>ÅSELE</t>
        </is>
      </c>
      <c r="G919" t="n">
        <v>1.5</v>
      </c>
      <c r="H919" t="n">
        <v>0</v>
      </c>
      <c r="I919" t="n">
        <v>0</v>
      </c>
      <c r="J919" t="n">
        <v>0</v>
      </c>
      <c r="K919" t="n">
        <v>0</v>
      </c>
      <c r="L919" t="n">
        <v>0</v>
      </c>
      <c r="M919" t="n">
        <v>0</v>
      </c>
      <c r="N919" t="n">
        <v>0</v>
      </c>
      <c r="O919" t="n">
        <v>0</v>
      </c>
      <c r="P919" t="n">
        <v>0</v>
      </c>
      <c r="Q919" t="n">
        <v>0</v>
      </c>
      <c r="R919" s="2" t="inlineStr"/>
    </row>
    <row r="920" ht="15" customHeight="1">
      <c r="A920" t="inlineStr">
        <is>
          <t>A 12405-2026</t>
        </is>
      </c>
      <c r="B920" s="1" t="n">
        <v>46090</v>
      </c>
      <c r="C920" s="1" t="n">
        <v>46128</v>
      </c>
      <c r="D920" t="inlineStr">
        <is>
          <t>VÄSTERBOTTENS LÄN</t>
        </is>
      </c>
      <c r="E920" t="inlineStr">
        <is>
          <t>ÅSELE</t>
        </is>
      </c>
      <c r="G920" t="n">
        <v>7.3</v>
      </c>
      <c r="H920" t="n">
        <v>0</v>
      </c>
      <c r="I920" t="n">
        <v>0</v>
      </c>
      <c r="J920" t="n">
        <v>0</v>
      </c>
      <c r="K920" t="n">
        <v>0</v>
      </c>
      <c r="L920" t="n">
        <v>0</v>
      </c>
      <c r="M920" t="n">
        <v>0</v>
      </c>
      <c r="N920" t="n">
        <v>0</v>
      </c>
      <c r="O920" t="n">
        <v>0</v>
      </c>
      <c r="P920" t="n">
        <v>0</v>
      </c>
      <c r="Q920" t="n">
        <v>0</v>
      </c>
      <c r="R920" s="2" t="inlineStr"/>
    </row>
    <row r="921" ht="15" customHeight="1">
      <c r="A921" t="inlineStr">
        <is>
          <t>A 9199-2026</t>
        </is>
      </c>
      <c r="B921" s="1" t="n">
        <v>46070.40673611111</v>
      </c>
      <c r="C921" s="1" t="n">
        <v>46128</v>
      </c>
      <c r="D921" t="inlineStr">
        <is>
          <t>VÄSTERBOTTENS LÄN</t>
        </is>
      </c>
      <c r="E921" t="inlineStr">
        <is>
          <t>ÅSELE</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4619-2022</t>
        </is>
      </c>
      <c r="B922" s="1" t="n">
        <v>44592</v>
      </c>
      <c r="C922" s="1" t="n">
        <v>46128</v>
      </c>
      <c r="D922" t="inlineStr">
        <is>
          <t>VÄSTERBOTTENS LÄN</t>
        </is>
      </c>
      <c r="E922" t="inlineStr">
        <is>
          <t>ÅSELE</t>
        </is>
      </c>
      <c r="G922" t="n">
        <v>17.6</v>
      </c>
      <c r="H922" t="n">
        <v>0</v>
      </c>
      <c r="I922" t="n">
        <v>0</v>
      </c>
      <c r="J922" t="n">
        <v>0</v>
      </c>
      <c r="K922" t="n">
        <v>0</v>
      </c>
      <c r="L922" t="n">
        <v>0</v>
      </c>
      <c r="M922" t="n">
        <v>0</v>
      </c>
      <c r="N922" t="n">
        <v>0</v>
      </c>
      <c r="O922" t="n">
        <v>0</v>
      </c>
      <c r="P922" t="n">
        <v>0</v>
      </c>
      <c r="Q922" t="n">
        <v>0</v>
      </c>
      <c r="R922" s="2" t="inlineStr"/>
    </row>
    <row r="923" ht="15" customHeight="1">
      <c r="A923" t="inlineStr">
        <is>
          <t>A 4626-2022</t>
        </is>
      </c>
      <c r="B923" s="1" t="n">
        <v>44592</v>
      </c>
      <c r="C923" s="1" t="n">
        <v>46128</v>
      </c>
      <c r="D923" t="inlineStr">
        <is>
          <t>VÄSTERBOTTENS LÄN</t>
        </is>
      </c>
      <c r="E923" t="inlineStr">
        <is>
          <t>ÅSELE</t>
        </is>
      </c>
      <c r="G923" t="n">
        <v>6.2</v>
      </c>
      <c r="H923" t="n">
        <v>0</v>
      </c>
      <c r="I923" t="n">
        <v>0</v>
      </c>
      <c r="J923" t="n">
        <v>0</v>
      </c>
      <c r="K923" t="n">
        <v>0</v>
      </c>
      <c r="L923" t="n">
        <v>0</v>
      </c>
      <c r="M923" t="n">
        <v>0</v>
      </c>
      <c r="N923" t="n">
        <v>0</v>
      </c>
      <c r="O923" t="n">
        <v>0</v>
      </c>
      <c r="P923" t="n">
        <v>0</v>
      </c>
      <c r="Q923" t="n">
        <v>0</v>
      </c>
      <c r="R923" s="2" t="inlineStr"/>
    </row>
    <row r="924" ht="15" customHeight="1">
      <c r="A924" t="inlineStr">
        <is>
          <t>A 16893-2026</t>
        </is>
      </c>
      <c r="B924" s="1" t="n">
        <v>46113.61608796296</v>
      </c>
      <c r="C924" s="1" t="n">
        <v>46128</v>
      </c>
      <c r="D924" t="inlineStr">
        <is>
          <t>VÄSTERBOTTENS LÄN</t>
        </is>
      </c>
      <c r="E924" t="inlineStr">
        <is>
          <t>ÅSELE</t>
        </is>
      </c>
      <c r="F924" t="inlineStr">
        <is>
          <t>SCA</t>
        </is>
      </c>
      <c r="G924" t="n">
        <v>13.6</v>
      </c>
      <c r="H924" t="n">
        <v>0</v>
      </c>
      <c r="I924" t="n">
        <v>0</v>
      </c>
      <c r="J924" t="n">
        <v>0</v>
      </c>
      <c r="K924" t="n">
        <v>0</v>
      </c>
      <c r="L924" t="n">
        <v>0</v>
      </c>
      <c r="M924" t="n">
        <v>0</v>
      </c>
      <c r="N924" t="n">
        <v>0</v>
      </c>
      <c r="O924" t="n">
        <v>0</v>
      </c>
      <c r="P924" t="n">
        <v>0</v>
      </c>
      <c r="Q924" t="n">
        <v>0</v>
      </c>
      <c r="R924" s="2" t="inlineStr"/>
    </row>
    <row r="925" ht="15" customHeight="1">
      <c r="A925" t="inlineStr">
        <is>
          <t>A 9630-2026</t>
        </is>
      </c>
      <c r="B925" s="1" t="n">
        <v>46072.34447916667</v>
      </c>
      <c r="C925" s="1" t="n">
        <v>46128</v>
      </c>
      <c r="D925" t="inlineStr">
        <is>
          <t>VÄSTERBOTTENS LÄN</t>
        </is>
      </c>
      <c r="E925" t="inlineStr">
        <is>
          <t>ÅSELE</t>
        </is>
      </c>
      <c r="F925" t="inlineStr">
        <is>
          <t>SCA</t>
        </is>
      </c>
      <c r="G925" t="n">
        <v>2.9</v>
      </c>
      <c r="H925" t="n">
        <v>0</v>
      </c>
      <c r="I925" t="n">
        <v>0</v>
      </c>
      <c r="J925" t="n">
        <v>0</v>
      </c>
      <c r="K925" t="n">
        <v>0</v>
      </c>
      <c r="L925" t="n">
        <v>0</v>
      </c>
      <c r="M925" t="n">
        <v>0</v>
      </c>
      <c r="N925" t="n">
        <v>0</v>
      </c>
      <c r="O925" t="n">
        <v>0</v>
      </c>
      <c r="P925" t="n">
        <v>0</v>
      </c>
      <c r="Q925" t="n">
        <v>0</v>
      </c>
      <c r="R925" s="2" t="inlineStr"/>
    </row>
    <row r="926" ht="15" customHeight="1">
      <c r="A926" t="inlineStr">
        <is>
          <t>A 10294-2026</t>
        </is>
      </c>
      <c r="B926" s="1" t="n">
        <v>46076.61517361111</v>
      </c>
      <c r="C926" s="1" t="n">
        <v>46128</v>
      </c>
      <c r="D926" t="inlineStr">
        <is>
          <t>VÄSTERBOTTENS LÄN</t>
        </is>
      </c>
      <c r="E926" t="inlineStr">
        <is>
          <t>ÅSELE</t>
        </is>
      </c>
      <c r="F926" t="inlineStr">
        <is>
          <t>SCA</t>
        </is>
      </c>
      <c r="G926" t="n">
        <v>10.9</v>
      </c>
      <c r="H926" t="n">
        <v>0</v>
      </c>
      <c r="I926" t="n">
        <v>0</v>
      </c>
      <c r="J926" t="n">
        <v>0</v>
      </c>
      <c r="K926" t="n">
        <v>0</v>
      </c>
      <c r="L926" t="n">
        <v>0</v>
      </c>
      <c r="M926" t="n">
        <v>0</v>
      </c>
      <c r="N926" t="n">
        <v>0</v>
      </c>
      <c r="O926" t="n">
        <v>0</v>
      </c>
      <c r="P926" t="n">
        <v>0</v>
      </c>
      <c r="Q926" t="n">
        <v>0</v>
      </c>
      <c r="R926" s="2" t="inlineStr"/>
    </row>
    <row r="927" ht="15" customHeight="1">
      <c r="A927" t="inlineStr">
        <is>
          <t>A 9950-2026</t>
        </is>
      </c>
      <c r="B927" s="1" t="n">
        <v>46073.47167824074</v>
      </c>
      <c r="C927" s="1" t="n">
        <v>46128</v>
      </c>
      <c r="D927" t="inlineStr">
        <is>
          <t>VÄSTERBOTTENS LÄN</t>
        </is>
      </c>
      <c r="E927" t="inlineStr">
        <is>
          <t>ÅSELE</t>
        </is>
      </c>
      <c r="G927" t="n">
        <v>29.9</v>
      </c>
      <c r="H927" t="n">
        <v>0</v>
      </c>
      <c r="I927" t="n">
        <v>0</v>
      </c>
      <c r="J927" t="n">
        <v>0</v>
      </c>
      <c r="K927" t="n">
        <v>0</v>
      </c>
      <c r="L927" t="n">
        <v>0</v>
      </c>
      <c r="M927" t="n">
        <v>0</v>
      </c>
      <c r="N927" t="n">
        <v>0</v>
      </c>
      <c r="O927" t="n">
        <v>0</v>
      </c>
      <c r="P927" t="n">
        <v>0</v>
      </c>
      <c r="Q927" t="n">
        <v>0</v>
      </c>
      <c r="R927" s="2" t="inlineStr"/>
    </row>
    <row r="928" ht="15" customHeight="1">
      <c r="A928" t="inlineStr">
        <is>
          <t>A 9951-2026</t>
        </is>
      </c>
      <c r="B928" s="1" t="n">
        <v>46073.47201388889</v>
      </c>
      <c r="C928" s="1" t="n">
        <v>46128</v>
      </c>
      <c r="D928" t="inlineStr">
        <is>
          <t>VÄSTERBOTTENS LÄN</t>
        </is>
      </c>
      <c r="E928" t="inlineStr">
        <is>
          <t>ÅSELE</t>
        </is>
      </c>
      <c r="G928" t="n">
        <v>17.1</v>
      </c>
      <c r="H928" t="n">
        <v>0</v>
      </c>
      <c r="I928" t="n">
        <v>0</v>
      </c>
      <c r="J928" t="n">
        <v>0</v>
      </c>
      <c r="K928" t="n">
        <v>0</v>
      </c>
      <c r="L928" t="n">
        <v>0</v>
      </c>
      <c r="M928" t="n">
        <v>0</v>
      </c>
      <c r="N928" t="n">
        <v>0</v>
      </c>
      <c r="O928" t="n">
        <v>0</v>
      </c>
      <c r="P928" t="n">
        <v>0</v>
      </c>
      <c r="Q928" t="n">
        <v>0</v>
      </c>
      <c r="R928" s="2" t="inlineStr"/>
    </row>
    <row r="929" ht="15" customHeight="1">
      <c r="A929" t="inlineStr">
        <is>
          <t>A 9943-2026</t>
        </is>
      </c>
      <c r="B929" s="1" t="n">
        <v>46073.46966435185</v>
      </c>
      <c r="C929" s="1" t="n">
        <v>46128</v>
      </c>
      <c r="D929" t="inlineStr">
        <is>
          <t>VÄSTERBOTTENS LÄN</t>
        </is>
      </c>
      <c r="E929" t="inlineStr">
        <is>
          <t>ÅSELE</t>
        </is>
      </c>
      <c r="F929" t="inlineStr">
        <is>
          <t>SCA</t>
        </is>
      </c>
      <c r="G929" t="n">
        <v>7.1</v>
      </c>
      <c r="H929" t="n">
        <v>0</v>
      </c>
      <c r="I929" t="n">
        <v>0</v>
      </c>
      <c r="J929" t="n">
        <v>0</v>
      </c>
      <c r="K929" t="n">
        <v>0</v>
      </c>
      <c r="L929" t="n">
        <v>0</v>
      </c>
      <c r="M929" t="n">
        <v>0</v>
      </c>
      <c r="N929" t="n">
        <v>0</v>
      </c>
      <c r="O929" t="n">
        <v>0</v>
      </c>
      <c r="P929" t="n">
        <v>0</v>
      </c>
      <c r="Q929" t="n">
        <v>0</v>
      </c>
      <c r="R929" s="2" t="inlineStr"/>
    </row>
    <row r="930" ht="15" customHeight="1">
      <c r="A930" t="inlineStr">
        <is>
          <t>A 10226-2026</t>
        </is>
      </c>
      <c r="B930" s="1" t="n">
        <v>46076.5108912037</v>
      </c>
      <c r="C930" s="1" t="n">
        <v>46128</v>
      </c>
      <c r="D930" t="inlineStr">
        <is>
          <t>VÄSTERBOTTENS LÄN</t>
        </is>
      </c>
      <c r="E930" t="inlineStr">
        <is>
          <t>ÅSELE</t>
        </is>
      </c>
      <c r="F930" t="inlineStr">
        <is>
          <t>SCA</t>
        </is>
      </c>
      <c r="G930" t="n">
        <v>17.2</v>
      </c>
      <c r="H930" t="n">
        <v>0</v>
      </c>
      <c r="I930" t="n">
        <v>0</v>
      </c>
      <c r="J930" t="n">
        <v>0</v>
      </c>
      <c r="K930" t="n">
        <v>0</v>
      </c>
      <c r="L930" t="n">
        <v>0</v>
      </c>
      <c r="M930" t="n">
        <v>0</v>
      </c>
      <c r="N930" t="n">
        <v>0</v>
      </c>
      <c r="O930" t="n">
        <v>0</v>
      </c>
      <c r="P930" t="n">
        <v>0</v>
      </c>
      <c r="Q930" t="n">
        <v>0</v>
      </c>
      <c r="R930" s="2" t="inlineStr"/>
    </row>
    <row r="931" ht="15" customHeight="1">
      <c r="A931" t="inlineStr">
        <is>
          <t>A 10322-2026</t>
        </is>
      </c>
      <c r="B931" s="1" t="n">
        <v>46076.65726851852</v>
      </c>
      <c r="C931" s="1" t="n">
        <v>46128</v>
      </c>
      <c r="D931" t="inlineStr">
        <is>
          <t>VÄSTERBOTTENS LÄN</t>
        </is>
      </c>
      <c r="E931" t="inlineStr">
        <is>
          <t>ÅSELE</t>
        </is>
      </c>
      <c r="F931" t="inlineStr">
        <is>
          <t>SCA</t>
        </is>
      </c>
      <c r="G931" t="n">
        <v>7.8</v>
      </c>
      <c r="H931" t="n">
        <v>0</v>
      </c>
      <c r="I931" t="n">
        <v>0</v>
      </c>
      <c r="J931" t="n">
        <v>0</v>
      </c>
      <c r="K931" t="n">
        <v>0</v>
      </c>
      <c r="L931" t="n">
        <v>0</v>
      </c>
      <c r="M931" t="n">
        <v>0</v>
      </c>
      <c r="N931" t="n">
        <v>0</v>
      </c>
      <c r="O931" t="n">
        <v>0</v>
      </c>
      <c r="P931" t="n">
        <v>0</v>
      </c>
      <c r="Q931" t="n">
        <v>0</v>
      </c>
      <c r="R931" s="2" t="inlineStr"/>
    </row>
    <row r="932" ht="15" customHeight="1">
      <c r="A932" t="inlineStr">
        <is>
          <t>A 10675-2026</t>
        </is>
      </c>
      <c r="B932" s="1" t="n">
        <v>46078.40700231482</v>
      </c>
      <c r="C932" s="1" t="n">
        <v>46128</v>
      </c>
      <c r="D932" t="inlineStr">
        <is>
          <t>VÄSTERBOTTENS LÄN</t>
        </is>
      </c>
      <c r="E932" t="inlineStr">
        <is>
          <t>ÅSELE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10676-2026</t>
        </is>
      </c>
      <c r="B933" s="1" t="n">
        <v>46078.40722222222</v>
      </c>
      <c r="C933" s="1" t="n">
        <v>46128</v>
      </c>
      <c r="D933" t="inlineStr">
        <is>
          <t>VÄSTERBOTTENS LÄN</t>
        </is>
      </c>
      <c r="E933" t="inlineStr">
        <is>
          <t>ÅSELE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10826-2026</t>
        </is>
      </c>
      <c r="B934" s="1" t="n">
        <v>46078.6249537037</v>
      </c>
      <c r="C934" s="1" t="n">
        <v>46128</v>
      </c>
      <c r="D934" t="inlineStr">
        <is>
          <t>VÄSTERBOTTENS LÄN</t>
        </is>
      </c>
      <c r="E934" t="inlineStr">
        <is>
          <t>ÅSELE</t>
        </is>
      </c>
      <c r="G934" t="n">
        <v>4.3</v>
      </c>
      <c r="H934" t="n">
        <v>0</v>
      </c>
      <c r="I934" t="n">
        <v>0</v>
      </c>
      <c r="J934" t="n">
        <v>0</v>
      </c>
      <c r="K934" t="n">
        <v>0</v>
      </c>
      <c r="L934" t="n">
        <v>0</v>
      </c>
      <c r="M934" t="n">
        <v>0</v>
      </c>
      <c r="N934" t="n">
        <v>0</v>
      </c>
      <c r="O934" t="n">
        <v>0</v>
      </c>
      <c r="P934" t="n">
        <v>0</v>
      </c>
      <c r="Q934" t="n">
        <v>0</v>
      </c>
      <c r="R934" s="2" t="inlineStr"/>
    </row>
    <row r="935" ht="15" customHeight="1">
      <c r="A935" t="inlineStr">
        <is>
          <t>A 10752-2026</t>
        </is>
      </c>
      <c r="B935" s="1" t="n">
        <v>46078</v>
      </c>
      <c r="C935" s="1" t="n">
        <v>46128</v>
      </c>
      <c r="D935" t="inlineStr">
        <is>
          <t>VÄSTERBOTTENS LÄN</t>
        </is>
      </c>
      <c r="E935" t="inlineStr">
        <is>
          <t>ÅSELE</t>
        </is>
      </c>
      <c r="G935" t="n">
        <v>7.2</v>
      </c>
      <c r="H935" t="n">
        <v>0</v>
      </c>
      <c r="I935" t="n">
        <v>0</v>
      </c>
      <c r="J935" t="n">
        <v>0</v>
      </c>
      <c r="K935" t="n">
        <v>0</v>
      </c>
      <c r="L935" t="n">
        <v>0</v>
      </c>
      <c r="M935" t="n">
        <v>0</v>
      </c>
      <c r="N935" t="n">
        <v>0</v>
      </c>
      <c r="O935" t="n">
        <v>0</v>
      </c>
      <c r="P935" t="n">
        <v>0</v>
      </c>
      <c r="Q935" t="n">
        <v>0</v>
      </c>
      <c r="R935" s="2" t="inlineStr"/>
    </row>
    <row r="936" ht="15" customHeight="1">
      <c r="A936" t="inlineStr">
        <is>
          <t>A 10688-2026</t>
        </is>
      </c>
      <c r="B936" s="1" t="n">
        <v>46078.42765046296</v>
      </c>
      <c r="C936" s="1" t="n">
        <v>46128</v>
      </c>
      <c r="D936" t="inlineStr">
        <is>
          <t>VÄSTERBOTTENS LÄN</t>
        </is>
      </c>
      <c r="E936" t="inlineStr">
        <is>
          <t>ÅSELE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10677-2026</t>
        </is>
      </c>
      <c r="B937" s="1" t="n">
        <v>46078.4074537037</v>
      </c>
      <c r="C937" s="1" t="n">
        <v>46128</v>
      </c>
      <c r="D937" t="inlineStr">
        <is>
          <t>VÄSTERBOTTENS LÄN</t>
        </is>
      </c>
      <c r="E937" t="inlineStr">
        <is>
          <t>ÅSELE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10762-2026</t>
        </is>
      </c>
      <c r="B938" s="1" t="n">
        <v>46078</v>
      </c>
      <c r="C938" s="1" t="n">
        <v>46128</v>
      </c>
      <c r="D938" t="inlineStr">
        <is>
          <t>VÄSTERBOTTENS LÄN</t>
        </is>
      </c>
      <c r="E938" t="inlineStr">
        <is>
          <t>ÅSELE</t>
        </is>
      </c>
      <c r="G938" t="n">
        <v>2.2</v>
      </c>
      <c r="H938" t="n">
        <v>0</v>
      </c>
      <c r="I938" t="n">
        <v>0</v>
      </c>
      <c r="J938" t="n">
        <v>0</v>
      </c>
      <c r="K938" t="n">
        <v>0</v>
      </c>
      <c r="L938" t="n">
        <v>0</v>
      </c>
      <c r="M938" t="n">
        <v>0</v>
      </c>
      <c r="N938" t="n">
        <v>0</v>
      </c>
      <c r="O938" t="n">
        <v>0</v>
      </c>
      <c r="P938" t="n">
        <v>0</v>
      </c>
      <c r="Q938" t="n">
        <v>0</v>
      </c>
      <c r="R938" s="2" t="inlineStr"/>
    </row>
    <row r="939" ht="15" customHeight="1">
      <c r="A939" t="inlineStr">
        <is>
          <t>A 17458-2026</t>
        </is>
      </c>
      <c r="B939" s="1" t="n">
        <v>46119</v>
      </c>
      <c r="C939" s="1" t="n">
        <v>46128</v>
      </c>
      <c r="D939" t="inlineStr">
        <is>
          <t>VÄSTERBOTTENS LÄN</t>
        </is>
      </c>
      <c r="E939" t="inlineStr">
        <is>
          <t>ÅSELE</t>
        </is>
      </c>
      <c r="F939" t="inlineStr">
        <is>
          <t>Allmännings- och besparingsskogar</t>
        </is>
      </c>
      <c r="G939" t="n">
        <v>5.7</v>
      </c>
      <c r="H939" t="n">
        <v>0</v>
      </c>
      <c r="I939" t="n">
        <v>0</v>
      </c>
      <c r="J939" t="n">
        <v>0</v>
      </c>
      <c r="K939" t="n">
        <v>0</v>
      </c>
      <c r="L939" t="n">
        <v>0</v>
      </c>
      <c r="M939" t="n">
        <v>0</v>
      </c>
      <c r="N939" t="n">
        <v>0</v>
      </c>
      <c r="O939" t="n">
        <v>0</v>
      </c>
      <c r="P939" t="n">
        <v>0</v>
      </c>
      <c r="Q939" t="n">
        <v>0</v>
      </c>
      <c r="R939" s="2" t="inlineStr"/>
    </row>
    <row r="940" ht="15" customHeight="1">
      <c r="A940" t="inlineStr">
        <is>
          <t>A 10859-2026</t>
        </is>
      </c>
      <c r="B940" s="1" t="n">
        <v>46078.6675462963</v>
      </c>
      <c r="C940" s="1" t="n">
        <v>46128</v>
      </c>
      <c r="D940" t="inlineStr">
        <is>
          <t>VÄSTERBOTTENS LÄN</t>
        </is>
      </c>
      <c r="E940" t="inlineStr">
        <is>
          <t>ÅSELE</t>
        </is>
      </c>
      <c r="G940" t="n">
        <v>1.1</v>
      </c>
      <c r="H940" t="n">
        <v>0</v>
      </c>
      <c r="I940" t="n">
        <v>0</v>
      </c>
      <c r="J940" t="n">
        <v>0</v>
      </c>
      <c r="K940" t="n">
        <v>0</v>
      </c>
      <c r="L940" t="n">
        <v>0</v>
      </c>
      <c r="M940" t="n">
        <v>0</v>
      </c>
      <c r="N940" t="n">
        <v>0</v>
      </c>
      <c r="O940" t="n">
        <v>0</v>
      </c>
      <c r="P940" t="n">
        <v>0</v>
      </c>
      <c r="Q940" t="n">
        <v>0</v>
      </c>
      <c r="R940" s="2" t="inlineStr"/>
    </row>
    <row r="941" ht="15" customHeight="1">
      <c r="A941" t="inlineStr">
        <is>
          <t>A 10860-2026</t>
        </is>
      </c>
      <c r="B941" s="1" t="n">
        <v>46078.66976851852</v>
      </c>
      <c r="C941" s="1" t="n">
        <v>46128</v>
      </c>
      <c r="D941" t="inlineStr">
        <is>
          <t>VÄSTERBOTTENS LÄN</t>
        </is>
      </c>
      <c r="E941" t="inlineStr">
        <is>
          <t>ÅSELE</t>
        </is>
      </c>
      <c r="G941" t="n">
        <v>4.5</v>
      </c>
      <c r="H941" t="n">
        <v>0</v>
      </c>
      <c r="I941" t="n">
        <v>0</v>
      </c>
      <c r="J941" t="n">
        <v>0</v>
      </c>
      <c r="K941" t="n">
        <v>0</v>
      </c>
      <c r="L941" t="n">
        <v>0</v>
      </c>
      <c r="M941" t="n">
        <v>0</v>
      </c>
      <c r="N941" t="n">
        <v>0</v>
      </c>
      <c r="O941" t="n">
        <v>0</v>
      </c>
      <c r="P941" t="n">
        <v>0</v>
      </c>
      <c r="Q941" t="n">
        <v>0</v>
      </c>
      <c r="R941" s="2" t="inlineStr"/>
    </row>
    <row r="942" ht="15" customHeight="1">
      <c r="A942" t="inlineStr">
        <is>
          <t>A 10856-2026</t>
        </is>
      </c>
      <c r="B942" s="1" t="n">
        <v>46078.66052083333</v>
      </c>
      <c r="C942" s="1" t="n">
        <v>46128</v>
      </c>
      <c r="D942" t="inlineStr">
        <is>
          <t>VÄSTERBOTTENS LÄN</t>
        </is>
      </c>
      <c r="E942" t="inlineStr">
        <is>
          <t>ÅSELE</t>
        </is>
      </c>
      <c r="G942" t="n">
        <v>2.3</v>
      </c>
      <c r="H942" t="n">
        <v>0</v>
      </c>
      <c r="I942" t="n">
        <v>0</v>
      </c>
      <c r="J942" t="n">
        <v>0</v>
      </c>
      <c r="K942" t="n">
        <v>0</v>
      </c>
      <c r="L942" t="n">
        <v>0</v>
      </c>
      <c r="M942" t="n">
        <v>0</v>
      </c>
      <c r="N942" t="n">
        <v>0</v>
      </c>
      <c r="O942" t="n">
        <v>0</v>
      </c>
      <c r="P942" t="n">
        <v>0</v>
      </c>
      <c r="Q942" t="n">
        <v>0</v>
      </c>
      <c r="R942" s="2" t="inlineStr"/>
    </row>
    <row r="943" ht="15" customHeight="1">
      <c r="A943" t="inlineStr">
        <is>
          <t>A 10863-2026</t>
        </is>
      </c>
      <c r="B943" s="1" t="n">
        <v>46078.67704861111</v>
      </c>
      <c r="C943" s="1" t="n">
        <v>46128</v>
      </c>
      <c r="D943" t="inlineStr">
        <is>
          <t>VÄSTERBOTTENS LÄN</t>
        </is>
      </c>
      <c r="E943" t="inlineStr">
        <is>
          <t>ÅSELE</t>
        </is>
      </c>
      <c r="G943" t="n">
        <v>4.4</v>
      </c>
      <c r="H943" t="n">
        <v>0</v>
      </c>
      <c r="I943" t="n">
        <v>0</v>
      </c>
      <c r="J943" t="n">
        <v>0</v>
      </c>
      <c r="K943" t="n">
        <v>0</v>
      </c>
      <c r="L943" t="n">
        <v>0</v>
      </c>
      <c r="M943" t="n">
        <v>0</v>
      </c>
      <c r="N943" t="n">
        <v>0</v>
      </c>
      <c r="O943" t="n">
        <v>0</v>
      </c>
      <c r="P943" t="n">
        <v>0</v>
      </c>
      <c r="Q943" t="n">
        <v>0</v>
      </c>
      <c r="R943" s="2" t="inlineStr"/>
    </row>
    <row r="944" ht="15" customHeight="1">
      <c r="A944" t="inlineStr">
        <is>
          <t>A 10837-2026</t>
        </is>
      </c>
      <c r="B944" s="1" t="n">
        <v>46078.63130787037</v>
      </c>
      <c r="C944" s="1" t="n">
        <v>46128</v>
      </c>
      <c r="D944" t="inlineStr">
        <is>
          <t>VÄSTERBOTTENS LÄN</t>
        </is>
      </c>
      <c r="E944" t="inlineStr">
        <is>
          <t>ÅSELE</t>
        </is>
      </c>
      <c r="G944" t="n">
        <v>0.7</v>
      </c>
      <c r="H944" t="n">
        <v>0</v>
      </c>
      <c r="I944" t="n">
        <v>0</v>
      </c>
      <c r="J944" t="n">
        <v>0</v>
      </c>
      <c r="K944" t="n">
        <v>0</v>
      </c>
      <c r="L944" t="n">
        <v>0</v>
      </c>
      <c r="M944" t="n">
        <v>0</v>
      </c>
      <c r="N944" t="n">
        <v>0</v>
      </c>
      <c r="O944" t="n">
        <v>0</v>
      </c>
      <c r="P944" t="n">
        <v>0</v>
      </c>
      <c r="Q944" t="n">
        <v>0</v>
      </c>
      <c r="R944" s="2" t="inlineStr"/>
    </row>
    <row r="945" ht="15" customHeight="1">
      <c r="A945" t="inlineStr">
        <is>
          <t>A 11534-2026</t>
        </is>
      </c>
      <c r="B945" s="1" t="n">
        <v>46083</v>
      </c>
      <c r="C945" s="1" t="n">
        <v>46128</v>
      </c>
      <c r="D945" t="inlineStr">
        <is>
          <t>VÄSTERBOTTENS LÄN</t>
        </is>
      </c>
      <c r="E945" t="inlineStr">
        <is>
          <t>ÅSELE</t>
        </is>
      </c>
      <c r="G945" t="n">
        <v>14.2</v>
      </c>
      <c r="H945" t="n">
        <v>0</v>
      </c>
      <c r="I945" t="n">
        <v>0</v>
      </c>
      <c r="J945" t="n">
        <v>0</v>
      </c>
      <c r="K945" t="n">
        <v>0</v>
      </c>
      <c r="L945" t="n">
        <v>0</v>
      </c>
      <c r="M945" t="n">
        <v>0</v>
      </c>
      <c r="N945" t="n">
        <v>0</v>
      </c>
      <c r="O945" t="n">
        <v>0</v>
      </c>
      <c r="P945" t="n">
        <v>0</v>
      </c>
      <c r="Q945" t="n">
        <v>0</v>
      </c>
      <c r="R945" s="2" t="inlineStr"/>
    </row>
    <row r="946" ht="15" customHeight="1">
      <c r="A946" t="inlineStr">
        <is>
          <t>A 11886-2026</t>
        </is>
      </c>
      <c r="B946" s="1" t="n">
        <v>46085.51328703704</v>
      </c>
      <c r="C946" s="1" t="n">
        <v>46128</v>
      </c>
      <c r="D946" t="inlineStr">
        <is>
          <t>VÄSTERBOTTENS LÄN</t>
        </is>
      </c>
      <c r="E946" t="inlineStr">
        <is>
          <t>ÅSELE</t>
        </is>
      </c>
      <c r="G946" t="n">
        <v>15.4</v>
      </c>
      <c r="H946" t="n">
        <v>0</v>
      </c>
      <c r="I946" t="n">
        <v>0</v>
      </c>
      <c r="J946" t="n">
        <v>0</v>
      </c>
      <c r="K946" t="n">
        <v>0</v>
      </c>
      <c r="L946" t="n">
        <v>0</v>
      </c>
      <c r="M946" t="n">
        <v>0</v>
      </c>
      <c r="N946" t="n">
        <v>0</v>
      </c>
      <c r="O946" t="n">
        <v>0</v>
      </c>
      <c r="P946" t="n">
        <v>0</v>
      </c>
      <c r="Q946" t="n">
        <v>0</v>
      </c>
      <c r="R946" s="2" t="inlineStr"/>
    </row>
    <row r="947" ht="15" customHeight="1">
      <c r="A947" t="inlineStr">
        <is>
          <t>A 11690-2026</t>
        </is>
      </c>
      <c r="B947" s="1" t="n">
        <v>46084.59228009259</v>
      </c>
      <c r="C947" s="1" t="n">
        <v>46128</v>
      </c>
      <c r="D947" t="inlineStr">
        <is>
          <t>VÄSTERBOTTENS LÄN</t>
        </is>
      </c>
      <c r="E947" t="inlineStr">
        <is>
          <t>ÅSELE</t>
        </is>
      </c>
      <c r="G947" t="n">
        <v>0.7</v>
      </c>
      <c r="H947" t="n">
        <v>0</v>
      </c>
      <c r="I947" t="n">
        <v>0</v>
      </c>
      <c r="J947" t="n">
        <v>0</v>
      </c>
      <c r="K947" t="n">
        <v>0</v>
      </c>
      <c r="L947" t="n">
        <v>0</v>
      </c>
      <c r="M947" t="n">
        <v>0</v>
      </c>
      <c r="N947" t="n">
        <v>0</v>
      </c>
      <c r="O947" t="n">
        <v>0</v>
      </c>
      <c r="P947" t="n">
        <v>0</v>
      </c>
      <c r="Q947" t="n">
        <v>0</v>
      </c>
      <c r="R947" s="2" t="inlineStr"/>
    </row>
    <row r="948" ht="15" customHeight="1">
      <c r="A948" t="inlineStr">
        <is>
          <t>A 16526-2026</t>
        </is>
      </c>
      <c r="B948" s="1" t="n">
        <v>46112</v>
      </c>
      <c r="C948" s="1" t="n">
        <v>46128</v>
      </c>
      <c r="D948" t="inlineStr">
        <is>
          <t>VÄSTERBOTTENS LÄN</t>
        </is>
      </c>
      <c r="E948" t="inlineStr">
        <is>
          <t>ÅSELE</t>
        </is>
      </c>
      <c r="G948" t="n">
        <v>4.4</v>
      </c>
      <c r="H948" t="n">
        <v>0</v>
      </c>
      <c r="I948" t="n">
        <v>0</v>
      </c>
      <c r="J948" t="n">
        <v>0</v>
      </c>
      <c r="K948" t="n">
        <v>0</v>
      </c>
      <c r="L948" t="n">
        <v>0</v>
      </c>
      <c r="M948" t="n">
        <v>0</v>
      </c>
      <c r="N948" t="n">
        <v>0</v>
      </c>
      <c r="O948" t="n">
        <v>0</v>
      </c>
      <c r="P948" t="n">
        <v>0</v>
      </c>
      <c r="Q948" t="n">
        <v>0</v>
      </c>
      <c r="R948" s="2" t="inlineStr"/>
    </row>
    <row r="949">
      <c r="A949" t="inlineStr">
        <is>
          <t>A 16536-2026</t>
        </is>
      </c>
      <c r="B949" s="1" t="n">
        <v>46112</v>
      </c>
      <c r="C949" s="1" t="n">
        <v>46128</v>
      </c>
      <c r="D949" t="inlineStr">
        <is>
          <t>VÄSTERBOTTENS LÄN</t>
        </is>
      </c>
      <c r="E949" t="inlineStr">
        <is>
          <t>ÅSELE</t>
        </is>
      </c>
      <c r="G949" t="n">
        <v>3.6</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2026-04-16T10:28:49Z</dcterms:created>
  <dcterms:modified xmlns:dcterms="http://purl.org/dc/terms/" xmlns:xsi="http://www.w3.org/2001/XMLSchema-instance" xsi:type="dcterms:W3CDTF">2026-04-16T10:28:49Z</dcterms:modified>
</cp:coreProperties>
</file>