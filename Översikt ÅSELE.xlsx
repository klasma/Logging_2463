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30047-2025</t>
        </is>
      </c>
      <c r="B2" t="inlineStr">
        <is>
          <t>avverkningsanmälan</t>
        </is>
      </c>
      <c r="C2" t="inlineStr">
        <is>
          <t>Föryngringsavverkning</t>
        </is>
      </c>
      <c r="D2" s="1" t="n">
        <v>45826</v>
      </c>
      <c r="E2" s="1" t="n">
        <v>46216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Y2">
        <f>HYPERLINK("https://klasma.github.io/Logging_2463/klagomål/A 30047-2025 FSC-klagomål.docx", "A 30047-2025")</f>
        <v/>
      </c>
      <c r="Z2">
        <f>HYPERLINK("https://klasma.github.io/Logging_2463/klagomålsmail/A 30047-2025 FSC-klagomål mail.docx", "A 30047-2025")</f>
        <v/>
      </c>
      <c r="AA2">
        <f>HYPERLINK("https://klasma.github.io/Logging_2463/tillsyn/A 30047-2025 tillsynsbegäran.docx", "A 30047-2025")</f>
        <v/>
      </c>
      <c r="AB2">
        <f>HYPERLINK("https://klasma.github.io/Logging_2463/tillsynsmail/A 30047-2025 tillsynsbegäran mail.docx", "A 30047-2025")</f>
        <v/>
      </c>
      <c r="AC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46216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HYPERLINK("https://klasma.github.io/Logging_2463/knärot/A 28996-2024 karta knärot.png", "A 28996-2024")</f>
        <v/>
      </c>
      <c r="Y3">
        <f>HYPERLINK("https://klasma.github.io/Logging_2463/klagomål/A 28996-2024 FSC-klagomål.docx", "A 28996-2024")</f>
        <v/>
      </c>
      <c r="Z3">
        <f>HYPERLINK("https://klasma.github.io/Logging_2463/klagomålsmail/A 28996-2024 FSC-klagomål mail.docx", "A 28996-2024")</f>
        <v/>
      </c>
      <c r="AA3">
        <f>HYPERLINK("https://klasma.github.io/Logging_2463/tillsyn/A 28996-2024 tillsynsbegäran.docx", "A 28996-2024")</f>
        <v/>
      </c>
      <c r="AB3">
        <f>HYPERLINK("https://klasma.github.io/Logging_2463/tillsynsmail/A 28996-2024 tillsynsbegäran mail.docx", "A 28996-2024")</f>
        <v/>
      </c>
      <c r="AC3">
        <f>HYPERLINK("https://klasma.github.io/Logging_2463/fåglar/A 28996-2024 prioriterade fågelarter.docx", "A 28996-2024")</f>
        <v/>
      </c>
    </row>
    <row r="4" ht="15" customHeight="1">
      <c r="A4" t="inlineStr">
        <is>
          <t>A 2278-2026</t>
        </is>
      </c>
      <c r="B4" t="inlineStr">
        <is>
          <t>avverkningsanmälan</t>
        </is>
      </c>
      <c r="C4" t="inlineStr">
        <is>
          <t>Föryngringsavverkning</t>
        </is>
      </c>
      <c r="D4" s="1" t="n">
        <v>46036</v>
      </c>
      <c r="E4" s="1" t="n">
        <v>46216</v>
      </c>
      <c r="F4" t="inlineStr">
        <is>
          <t>VÄSTERBOTTENS LÄN</t>
        </is>
      </c>
      <c r="G4" t="inlineStr">
        <is>
          <t>ÅSELE</t>
        </is>
      </c>
      <c r="H4" t="inlineStr">
        <is>
          <t>Sveaskog</t>
        </is>
      </c>
      <c r="I4" t="n">
        <v>5</v>
      </c>
      <c r="J4" t="n">
        <v>5</v>
      </c>
      <c r="K4" t="n">
        <v>10</v>
      </c>
      <c r="L4" t="n">
        <v>8</v>
      </c>
      <c r="M4" t="n">
        <v>4</v>
      </c>
      <c r="N4" t="n">
        <v>0</v>
      </c>
      <c r="O4" t="n">
        <v>0</v>
      </c>
      <c r="P4" t="n">
        <v>0</v>
      </c>
      <c r="Q4" t="n">
        <v>12</v>
      </c>
      <c r="R4" t="n">
        <v>4</v>
      </c>
      <c r="S4" t="n">
        <v>25</v>
      </c>
      <c r="T4" t="n">
        <v>74</v>
      </c>
      <c r="U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4">
        <f>HYPERLINK("https://klasma.github.io/Logging_2463/artfynd/A 2278-2026 artfynd.xlsx", "A 2278-2026")</f>
        <v/>
      </c>
      <c r="W4">
        <f>HYPERLINK("https://klasma.github.io/Logging_2463/kartor/A 2278-2026 karta.png", "A 2278-2026")</f>
        <v/>
      </c>
      <c r="Y4">
        <f>HYPERLINK("https://klasma.github.io/Logging_2463/klagomål/A 2278-2026 FSC-klagomål.docx", "A 2278-2026")</f>
        <v/>
      </c>
      <c r="Z4">
        <f>HYPERLINK("https://klasma.github.io/Logging_2463/klagomålsmail/A 2278-2026 FSC-klagomål mail.docx", "A 2278-2026")</f>
        <v/>
      </c>
      <c r="AA4">
        <f>HYPERLINK("https://klasma.github.io/Logging_2463/tillsyn/A 2278-2026 tillsynsbegäran.docx", "A 2278-2026")</f>
        <v/>
      </c>
      <c r="AB4">
        <f>HYPERLINK("https://klasma.github.io/Logging_2463/tillsynsmail/A 2278-2026 tillsynsbegäran mail.docx", "A 2278-2026")</f>
        <v/>
      </c>
      <c r="AC4">
        <f>HYPERLINK("https://klasma.github.io/Logging_2463/fåglar/A 2278-2026 prioriterade fågelarter.docx", "A 2278-2026")</f>
        <v/>
      </c>
    </row>
    <row r="5" ht="15" customHeight="1">
      <c r="A5" t="inlineStr">
        <is>
          <t>A 28969-2024</t>
        </is>
      </c>
      <c r="B5" t="inlineStr">
        <is>
          <t>avverkningsanmälan</t>
        </is>
      </c>
      <c r="C5" t="inlineStr">
        <is>
          <t>Föryngringsavverkning</t>
        </is>
      </c>
      <c r="D5" s="1" t="n">
        <v>45481</v>
      </c>
      <c r="E5" s="1" t="n">
        <v>46216</v>
      </c>
      <c r="F5" t="inlineStr">
        <is>
          <t>VÄSTERBOTTENS LÄN</t>
        </is>
      </c>
      <c r="G5" t="inlineStr">
        <is>
          <t>ÅSELE</t>
        </is>
      </c>
      <c r="H5" t="inlineStr">
        <is>
          <t>Sveaskog</t>
        </is>
      </c>
      <c r="I5" t="n">
        <v>12.8</v>
      </c>
      <c r="J5" t="n">
        <v>4</v>
      </c>
      <c r="K5" t="n">
        <v>3</v>
      </c>
      <c r="L5" t="n">
        <v>17</v>
      </c>
      <c r="M5" t="n">
        <v>3</v>
      </c>
      <c r="N5" t="n">
        <v>0</v>
      </c>
      <c r="O5" t="n">
        <v>0</v>
      </c>
      <c r="P5" t="n">
        <v>0</v>
      </c>
      <c r="Q5" t="n">
        <v>20</v>
      </c>
      <c r="R5" t="n">
        <v>3</v>
      </c>
      <c r="S5" t="n">
        <v>24</v>
      </c>
      <c r="T5" t="n">
        <v>141</v>
      </c>
      <c r="U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5">
        <f>HYPERLINK("https://klasma.github.io/Logging_2463/artfynd/A 28969-2024 artfynd.xlsx", "A 28969-2024")</f>
        <v/>
      </c>
      <c r="W5">
        <f>HYPERLINK("https://klasma.github.io/Logging_2463/kartor/A 28969-2024 karta.png", "A 28969-2024")</f>
        <v/>
      </c>
      <c r="Y5">
        <f>HYPERLINK("https://klasma.github.io/Logging_2463/klagomål/A 28969-2024 FSC-klagomål.docx", "A 28969-2024")</f>
        <v/>
      </c>
      <c r="Z5">
        <f>HYPERLINK("https://klasma.github.io/Logging_2463/klagomålsmail/A 28969-2024 FSC-klagomål mail.docx", "A 28969-2024")</f>
        <v/>
      </c>
      <c r="AA5">
        <f>HYPERLINK("https://klasma.github.io/Logging_2463/tillsyn/A 28969-2024 tillsynsbegäran.docx", "A 28969-2024")</f>
        <v/>
      </c>
      <c r="AB5">
        <f>HYPERLINK("https://klasma.github.io/Logging_2463/tillsynsmail/A 28969-2024 tillsynsbegäran mail.docx", "A 28969-2024")</f>
        <v/>
      </c>
      <c r="AC5">
        <f>HYPERLINK("https://klasma.github.io/Logging_2463/fåglar/A 28969-2024 prioriterade fågelarter.docx", "A 28969-2024")</f>
        <v/>
      </c>
    </row>
    <row r="6" ht="15" customHeight="1">
      <c r="A6" t="inlineStr">
        <is>
          <t>A 33041-2024</t>
        </is>
      </c>
      <c r="B6" t="inlineStr">
        <is>
          <t>avverkningsanmälan</t>
        </is>
      </c>
      <c r="C6" t="inlineStr">
        <is>
          <t>Föryngringsavverkning</t>
        </is>
      </c>
      <c r="D6" s="1" t="n">
        <v>45517</v>
      </c>
      <c r="E6" s="1" t="n">
        <v>46216</v>
      </c>
      <c r="F6" t="inlineStr">
        <is>
          <t>VÄSTERBOTTENS LÄN</t>
        </is>
      </c>
      <c r="G6" t="inlineStr">
        <is>
          <t>ÅSELE</t>
        </is>
      </c>
      <c r="H6" t="inlineStr">
        <is>
          <t>Sveaskog</t>
        </is>
      </c>
      <c r="I6" t="n">
        <v>37.9</v>
      </c>
      <c r="J6" t="n">
        <v>2</v>
      </c>
      <c r="K6" t="n">
        <v>0</v>
      </c>
      <c r="L6" t="n">
        <v>14</v>
      </c>
      <c r="M6" t="n">
        <v>4</v>
      </c>
      <c r="N6" t="n">
        <v>0</v>
      </c>
      <c r="O6" t="n">
        <v>0</v>
      </c>
      <c r="P6" t="n">
        <v>0</v>
      </c>
      <c r="Q6" t="n">
        <v>18</v>
      </c>
      <c r="R6" t="n">
        <v>4</v>
      </c>
      <c r="S6" t="n">
        <v>19</v>
      </c>
      <c r="T6" t="n">
        <v>54</v>
      </c>
      <c r="U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6">
        <f>HYPERLINK("https://klasma.github.io/Logging_2463/artfynd/A 33041-2024 artfynd.xlsx", "A 33041-2024")</f>
        <v/>
      </c>
      <c r="W6">
        <f>HYPERLINK("https://klasma.github.io/Logging_2463/kartor/A 33041-2024 karta.png", "A 33041-2024")</f>
        <v/>
      </c>
      <c r="Y6">
        <f>HYPERLINK("https://klasma.github.io/Logging_2463/klagomål/A 33041-2024 FSC-klagomål.docx", "A 33041-2024")</f>
        <v/>
      </c>
      <c r="Z6">
        <f>HYPERLINK("https://klasma.github.io/Logging_2463/klagomålsmail/A 33041-2024 FSC-klagomål mail.docx", "A 33041-2024")</f>
        <v/>
      </c>
      <c r="AA6">
        <f>HYPERLINK("https://klasma.github.io/Logging_2463/tillsyn/A 33041-2024 tillsynsbegäran.docx", "A 33041-2024")</f>
        <v/>
      </c>
      <c r="AB6">
        <f>HYPERLINK("https://klasma.github.io/Logging_2463/tillsynsmail/A 33041-2024 tillsynsbegäran mail.docx", "A 33041-2024")</f>
        <v/>
      </c>
    </row>
    <row r="7" ht="15" customHeight="1">
      <c r="A7" t="inlineStr">
        <is>
          <t>A 48369-2023</t>
        </is>
      </c>
      <c r="B7" t="inlineStr">
        <is>
          <t>avverkningsanmälan</t>
        </is>
      </c>
      <c r="C7" t="inlineStr">
        <is>
          <t>Avverkning för annat ändamål</t>
        </is>
      </c>
      <c r="D7" s="1" t="n">
        <v>45201</v>
      </c>
      <c r="E7" s="1" t="n">
        <v>46216</v>
      </c>
      <c r="F7" t="inlineStr">
        <is>
          <t>VÄSTERBOTTENS LÄN</t>
        </is>
      </c>
      <c r="G7" t="inlineStr">
        <is>
          <t>ÅSELE</t>
        </is>
      </c>
      <c r="I7" t="n">
        <v>2.4</v>
      </c>
      <c r="J7" t="n">
        <v>5</v>
      </c>
      <c r="K7" t="n">
        <v>3</v>
      </c>
      <c r="L7" t="n">
        <v>11</v>
      </c>
      <c r="M7" t="n">
        <v>1</v>
      </c>
      <c r="N7" t="n">
        <v>0</v>
      </c>
      <c r="O7" t="n">
        <v>0</v>
      </c>
      <c r="P7" t="n">
        <v>0</v>
      </c>
      <c r="Q7" t="n">
        <v>12</v>
      </c>
      <c r="R7" t="n">
        <v>1</v>
      </c>
      <c r="S7" t="n">
        <v>18</v>
      </c>
      <c r="T7" t="n">
        <v>58</v>
      </c>
      <c r="U7" s="2" t="inlineStr">
        <is>
          <t>Garnlav
Brunpudrad nållav
Doftskinn
Gammelgransskål
Kötticka
Orange taggsvamp
Stjärntagging
Talltita
Tretåig hackspett
Ullticka
Vitgrynig nållav
Äggvaxskivling
Stuplav
Trådticka
Vedticka
Spillkråka
Kungsfågel
Orre</t>
        </is>
      </c>
      <c r="V7">
        <f>HYPERLINK("https://klasma.github.io/Logging_2463/artfynd/A 48369-2023 artfynd.xlsx", "A 48369-2023")</f>
        <v/>
      </c>
      <c r="W7">
        <f>HYPERLINK("https://klasma.github.io/Logging_2463/kartor/A 48369-2023 karta.png", "A 48369-2023")</f>
        <v/>
      </c>
      <c r="Y7">
        <f>HYPERLINK("https://klasma.github.io/Logging_2463/klagomål/A 48369-2023 FSC-klagomål.docx", "A 48369-2023")</f>
        <v/>
      </c>
      <c r="Z7">
        <f>HYPERLINK("https://klasma.github.io/Logging_2463/klagomålsmail/A 48369-2023 FSC-klagomål mail.docx", "A 48369-2023")</f>
        <v/>
      </c>
      <c r="AA7">
        <f>HYPERLINK("https://klasma.github.io/Logging_2463/tillsyn/A 48369-2023 tillsynsbegäran.docx", "A 48369-2023")</f>
        <v/>
      </c>
      <c r="AB7">
        <f>HYPERLINK("https://klasma.github.io/Logging_2463/tillsynsmail/A 48369-2023 tillsynsbegäran mail.docx", "A 48369-2023")</f>
        <v/>
      </c>
      <c r="AC7">
        <f>HYPERLINK("https://klasma.github.io/Logging_2463/fåglar/A 48369-2023 prioriterade fågelarter.docx", "A 48369-2023")</f>
        <v/>
      </c>
    </row>
    <row r="8" ht="15" customHeight="1">
      <c r="A8" t="inlineStr">
        <is>
          <t>A 2749-2026</t>
        </is>
      </c>
      <c r="B8" t="inlineStr">
        <is>
          <t>avverkningsanmälan</t>
        </is>
      </c>
      <c r="C8" t="inlineStr">
        <is>
          <t>Föryngringsavverkning</t>
        </is>
      </c>
      <c r="D8" s="1" t="n">
        <v>46038</v>
      </c>
      <c r="E8" s="1" t="n">
        <v>46216</v>
      </c>
      <c r="F8" t="inlineStr">
        <is>
          <t>VÄSTERBOTTENS LÄN</t>
        </is>
      </c>
      <c r="G8" t="inlineStr">
        <is>
          <t>ÅSELE</t>
        </is>
      </c>
      <c r="H8" t="inlineStr">
        <is>
          <t>Sveaskog</t>
        </is>
      </c>
      <c r="I8" t="n">
        <v>5</v>
      </c>
      <c r="J8" t="n">
        <v>4</v>
      </c>
      <c r="K8" t="n">
        <v>4</v>
      </c>
      <c r="L8" t="n">
        <v>7</v>
      </c>
      <c r="M8" t="n">
        <v>3</v>
      </c>
      <c r="N8" t="n">
        <v>0</v>
      </c>
      <c r="O8" t="n">
        <v>0</v>
      </c>
      <c r="P8" t="n">
        <v>0</v>
      </c>
      <c r="Q8" t="n">
        <v>10</v>
      </c>
      <c r="R8" t="n">
        <v>3</v>
      </c>
      <c r="S8" t="n">
        <v>15</v>
      </c>
      <c r="T8" t="n">
        <v>26</v>
      </c>
      <c r="U8" s="2" t="inlineStr">
        <is>
          <t>Garnlav
Gränsticka
Knärot
Harticka
Lunglav
Rosenticka
Skrovellav
Tretåig hackspett
Ullticka
Vitgrynig nållav
Skinnlav
Spindelblomster
Trådticka
Vedticka
Järpe</t>
        </is>
      </c>
      <c r="V8">
        <f>HYPERLINK("https://klasma.github.io/Logging_2463/artfynd/A 2749-2026 artfynd.xlsx", "A 2749-2026")</f>
        <v/>
      </c>
      <c r="W8">
        <f>HYPERLINK("https://klasma.github.io/Logging_2463/kartor/A 2749-2026 karta.png", "A 2749-2026")</f>
        <v/>
      </c>
      <c r="X8">
        <f>HYPERLINK("https://klasma.github.io/Logging_2463/knärot/A 2749-2026 karta knärot.png", "A 2749-2026")</f>
        <v/>
      </c>
      <c r="Y8">
        <f>HYPERLINK("https://klasma.github.io/Logging_2463/klagomål/A 2749-2026 FSC-klagomål.docx", "A 2749-2026")</f>
        <v/>
      </c>
      <c r="Z8">
        <f>HYPERLINK("https://klasma.github.io/Logging_2463/klagomålsmail/A 2749-2026 FSC-klagomål mail.docx", "A 2749-2026")</f>
        <v/>
      </c>
      <c r="AA8">
        <f>HYPERLINK("https://klasma.github.io/Logging_2463/tillsyn/A 2749-2026 tillsynsbegäran.docx", "A 2749-2026")</f>
        <v/>
      </c>
      <c r="AB8">
        <f>HYPERLINK("https://klasma.github.io/Logging_2463/tillsynsmail/A 2749-2026 tillsynsbegäran mail.docx", "A 2749-2026")</f>
        <v/>
      </c>
      <c r="AC8">
        <f>HYPERLINK("https://klasma.github.io/Logging_2463/fåglar/A 2749-2026 prioriterade fågelarter.docx", "A 2749-2026")</f>
        <v/>
      </c>
    </row>
    <row r="9" ht="15" customHeight="1">
      <c r="A9" t="inlineStr">
        <is>
          <t>A 54317-2025</t>
        </is>
      </c>
      <c r="B9" t="inlineStr">
        <is>
          <t>avverkningsanmälan</t>
        </is>
      </c>
      <c r="C9" t="inlineStr">
        <is>
          <t>Föryngringsavverkning</t>
        </is>
      </c>
      <c r="D9" s="1" t="n">
        <v>45965</v>
      </c>
      <c r="E9" s="1" t="n">
        <v>46216</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s="2" t="inlineStr">
        <is>
          <t>Garnlav
Brunpudrad nållav
Harticka
Lunglav
Tretåig hackspett
Vitgrynig nållav
Mörk husmossa
Skinnlav
Spindelblomster
Stuplav
Vedticka
Spillkråka
Tjäder</t>
        </is>
      </c>
      <c r="V9">
        <f>HYPERLINK("https://klasma.github.io/Logging_2463/artfynd/A 54317-2025 artfynd.xlsx", "A 54317-2025")</f>
        <v/>
      </c>
      <c r="W9">
        <f>HYPERLINK("https://klasma.github.io/Logging_2463/kartor/A 54317-2025 karta.png", "A 54317-2025")</f>
        <v/>
      </c>
      <c r="Y9">
        <f>HYPERLINK("https://klasma.github.io/Logging_2463/klagomål/A 54317-2025 FSC-klagomål.docx", "A 54317-2025")</f>
        <v/>
      </c>
      <c r="Z9">
        <f>HYPERLINK("https://klasma.github.io/Logging_2463/klagomålsmail/A 54317-2025 FSC-klagomål mail.docx", "A 54317-2025")</f>
        <v/>
      </c>
      <c r="AA9">
        <f>HYPERLINK("https://klasma.github.io/Logging_2463/tillsyn/A 54317-2025 tillsynsbegäran.docx", "A 54317-2025")</f>
        <v/>
      </c>
      <c r="AB9">
        <f>HYPERLINK("https://klasma.github.io/Logging_2463/tillsynsmail/A 54317-2025 tillsynsbegäran mail.docx", "A 54317-2025")</f>
        <v/>
      </c>
      <c r="AC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46216</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s="2" t="inlineStr">
        <is>
          <t>Garnlav
Gränsticka
Knärot
Kolflarnlav
Lunglav
Mörk kolflarnlav
Tretåig hackspett
Vedskivlav
Bårdlav
Luddlav
Spindelblomster
Vedticka</t>
        </is>
      </c>
      <c r="V10">
        <f>HYPERLINK("https://klasma.github.io/Logging_2463/artfynd/A 10292-2023 artfynd.xlsx", "A 10292-2023")</f>
        <v/>
      </c>
      <c r="W10">
        <f>HYPERLINK("https://klasma.github.io/Logging_2463/kartor/A 10292-2023 karta.png", "A 10292-2023")</f>
        <v/>
      </c>
      <c r="X10">
        <f>HYPERLINK("https://klasma.github.io/Logging_2463/knärot/A 10292-2023 karta knärot.png", "A 10292-2023")</f>
        <v/>
      </c>
      <c r="Y10">
        <f>HYPERLINK("https://klasma.github.io/Logging_2463/klagomål/A 10292-2023 FSC-klagomål.docx", "A 10292-2023")</f>
        <v/>
      </c>
      <c r="Z10">
        <f>HYPERLINK("https://klasma.github.io/Logging_2463/klagomålsmail/A 10292-2023 FSC-klagomål mail.docx", "A 10292-2023")</f>
        <v/>
      </c>
      <c r="AA10">
        <f>HYPERLINK("https://klasma.github.io/Logging_2463/tillsyn/A 10292-2023 tillsynsbegäran.docx", "A 10292-2023")</f>
        <v/>
      </c>
      <c r="AB10">
        <f>HYPERLINK("https://klasma.github.io/Logging_2463/tillsynsmail/A 10292-2023 tillsynsbegäran mail.docx", "A 10292-2023")</f>
        <v/>
      </c>
      <c r="AC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46216</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s="2" t="inlineStr">
        <is>
          <t>Garnlav
Gammelgransskål
Harticka
Lunglav
Ullticka
Vitgrynig nållav
Vitplätt
Björksplintborre
Vedticka
Vågbandad barkbock
Sälg</t>
        </is>
      </c>
      <c r="V11">
        <f>HYPERLINK("https://klasma.github.io/Logging_2463/artfynd/A 22550-2022 artfynd.xlsx", "A 22550-2022")</f>
        <v/>
      </c>
      <c r="W11">
        <f>HYPERLINK("https://klasma.github.io/Logging_2463/kartor/A 22550-2022 karta.png", "A 22550-2022")</f>
        <v/>
      </c>
      <c r="Y11">
        <f>HYPERLINK("https://klasma.github.io/Logging_2463/klagomål/A 22550-2022 FSC-klagomål.docx", "A 22550-2022")</f>
        <v/>
      </c>
      <c r="Z11">
        <f>HYPERLINK("https://klasma.github.io/Logging_2463/klagomålsmail/A 22550-2022 FSC-klagomål mail.docx", "A 22550-2022")</f>
        <v/>
      </c>
      <c r="AA11">
        <f>HYPERLINK("https://klasma.github.io/Logging_2463/tillsyn/A 22550-2022 tillsynsbegäran.docx", "A 22550-2022")</f>
        <v/>
      </c>
      <c r="AB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46216</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s="2" t="inlineStr">
        <is>
          <t>Garnlav
Gammelgransskål
Kolflarnlav
Reliktbock
Rosenticka
Rynkskinn
Skrovellav
Stiftgelélav
Tretåig hackspett
Ullticka
Stuplav</t>
        </is>
      </c>
      <c r="V12">
        <f>HYPERLINK("https://klasma.github.io/Logging_2463/artfynd/A 5701-2023 artfynd.xlsx", "A 5701-2023")</f>
        <v/>
      </c>
      <c r="W12">
        <f>HYPERLINK("https://klasma.github.io/Logging_2463/kartor/A 5701-2023 karta.png", "A 5701-2023")</f>
        <v/>
      </c>
      <c r="Y12">
        <f>HYPERLINK("https://klasma.github.io/Logging_2463/klagomål/A 5701-2023 FSC-klagomål.docx", "A 5701-2023")</f>
        <v/>
      </c>
      <c r="Z12">
        <f>HYPERLINK("https://klasma.github.io/Logging_2463/klagomålsmail/A 5701-2023 FSC-klagomål mail.docx", "A 5701-2023")</f>
        <v/>
      </c>
      <c r="AA12">
        <f>HYPERLINK("https://klasma.github.io/Logging_2463/tillsyn/A 5701-2023 tillsynsbegäran.docx", "A 5701-2023")</f>
        <v/>
      </c>
      <c r="AB12">
        <f>HYPERLINK("https://klasma.github.io/Logging_2463/tillsynsmail/A 5701-2023 tillsynsbegäran mail.docx", "A 5701-2023")</f>
        <v/>
      </c>
      <c r="AC12">
        <f>HYPERLINK("https://klasma.github.io/Logging_2463/fåglar/A 5701-2023 prioriterade fågelarter.docx", "A 5701-2023")</f>
        <v/>
      </c>
    </row>
    <row r="13" ht="15" customHeight="1">
      <c r="A13" t="inlineStr">
        <is>
          <t>A 30076-2025</t>
        </is>
      </c>
      <c r="B13" t="inlineStr">
        <is>
          <t>avverkningsanmälan</t>
        </is>
      </c>
      <c r="C13" t="inlineStr">
        <is>
          <t>Föryngringsavverkning</t>
        </is>
      </c>
      <c r="D13" s="1" t="n">
        <v>45826</v>
      </c>
      <c r="E13" s="1" t="n">
        <v>46216</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s="2" t="inlineStr">
        <is>
          <t>Garnlav
Gräddporing
Blanksvart spiklav
Blågrå svartspik
Mörk kolflarnlav
Nordtagging
Vaddporing
Vedskivlav</t>
        </is>
      </c>
      <c r="V13">
        <f>HYPERLINK("https://klasma.github.io/Logging_2463/artfynd/A 30076-2025 artfynd.xlsx", "A 30076-2025")</f>
        <v/>
      </c>
      <c r="W13">
        <f>HYPERLINK("https://klasma.github.io/Logging_2463/kartor/A 30076-2025 karta.png", "A 30076-2025")</f>
        <v/>
      </c>
      <c r="Y13">
        <f>HYPERLINK("https://klasma.github.io/Logging_2463/klagomål/A 30076-2025 FSC-klagomål.docx", "A 30076-2025")</f>
        <v/>
      </c>
      <c r="Z13">
        <f>HYPERLINK("https://klasma.github.io/Logging_2463/klagomålsmail/A 30076-2025 FSC-klagomål mail.docx", "A 30076-2025")</f>
        <v/>
      </c>
      <c r="AA13">
        <f>HYPERLINK("https://klasma.github.io/Logging_2463/tillsyn/A 30076-2025 tillsynsbegäran.docx", "A 30076-2025")</f>
        <v/>
      </c>
      <c r="AB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46216</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s="2" t="inlineStr">
        <is>
          <t>Lavskrika
Lunglav
Skrovellav
Talltita
Bårdlav
Skinnlav
Stuplav</t>
        </is>
      </c>
      <c r="V14">
        <f>HYPERLINK("https://klasma.github.io/Logging_2463/artfynd/A 26136-2025 artfynd.xlsx", "A 26136-2025")</f>
        <v/>
      </c>
      <c r="W14">
        <f>HYPERLINK("https://klasma.github.io/Logging_2463/kartor/A 26136-2025 karta.png", "A 26136-2025")</f>
        <v/>
      </c>
      <c r="Y14">
        <f>HYPERLINK("https://klasma.github.io/Logging_2463/klagomål/A 26136-2025 FSC-klagomål.docx", "A 26136-2025")</f>
        <v/>
      </c>
      <c r="Z14">
        <f>HYPERLINK("https://klasma.github.io/Logging_2463/klagomålsmail/A 26136-2025 FSC-klagomål mail.docx", "A 26136-2025")</f>
        <v/>
      </c>
      <c r="AA14">
        <f>HYPERLINK("https://klasma.github.io/Logging_2463/tillsyn/A 26136-2025 tillsynsbegäran.docx", "A 26136-2025")</f>
        <v/>
      </c>
      <c r="AB14">
        <f>HYPERLINK("https://klasma.github.io/Logging_2463/tillsynsmail/A 26136-2025 tillsynsbegäran mail.docx", "A 26136-2025")</f>
        <v/>
      </c>
      <c r="AC14">
        <f>HYPERLINK("https://klasma.github.io/Logging_2463/fåglar/A 26136-2025 prioriterade fågelarter.docx", "A 26136-2025")</f>
        <v/>
      </c>
    </row>
    <row r="15" ht="15" customHeight="1">
      <c r="A15" t="inlineStr">
        <is>
          <t>A 8723-2025</t>
        </is>
      </c>
      <c r="B15" t="inlineStr">
        <is>
          <t>avverkningsanmälan</t>
        </is>
      </c>
      <c r="C15" t="inlineStr">
        <is>
          <t>Föryngringsavverkning</t>
        </is>
      </c>
      <c r="D15" s="1" t="n">
        <v>45712</v>
      </c>
      <c r="E15" s="1" t="n">
        <v>46216</v>
      </c>
      <c r="F15" t="inlineStr">
        <is>
          <t>VÄSTERBOTTENS LÄN</t>
        </is>
      </c>
      <c r="G15" t="inlineStr">
        <is>
          <t>ÅSELE</t>
        </is>
      </c>
      <c r="H15" t="inlineStr">
        <is>
          <t>SCA</t>
        </is>
      </c>
      <c r="I15" t="n">
        <v>6.5</v>
      </c>
      <c r="J15" t="n">
        <v>0</v>
      </c>
      <c r="K15" t="n">
        <v>3</v>
      </c>
      <c r="L15" t="n">
        <v>3</v>
      </c>
      <c r="M15" t="n">
        <v>1</v>
      </c>
      <c r="N15" t="n">
        <v>0</v>
      </c>
      <c r="O15" t="n">
        <v>0</v>
      </c>
      <c r="P15" t="n">
        <v>0</v>
      </c>
      <c r="Q15" t="n">
        <v>4</v>
      </c>
      <c r="R15" t="n">
        <v>1</v>
      </c>
      <c r="S15" t="n">
        <v>7</v>
      </c>
      <c r="T15" t="n">
        <v>12</v>
      </c>
      <c r="U15" s="2" t="inlineStr">
        <is>
          <t>Garnlav
Lunglav
Skrovellav
Vitgrynig nållav
Bårdlav
Luddlav
Stuplav</t>
        </is>
      </c>
      <c r="V15">
        <f>HYPERLINK("https://klasma.github.io/Logging_2463/artfynd/A 8723-2025 artfynd.xlsx", "A 8723-2025")</f>
        <v/>
      </c>
      <c r="W15">
        <f>HYPERLINK("https://klasma.github.io/Logging_2463/kartor/A 8723-2025 karta.png", "A 8723-2025")</f>
        <v/>
      </c>
      <c r="Y15">
        <f>HYPERLINK("https://klasma.github.io/Logging_2463/klagomål/A 8723-2025 FSC-klagomål.docx", "A 8723-2025")</f>
        <v/>
      </c>
      <c r="Z15">
        <f>HYPERLINK("https://klasma.github.io/Logging_2463/klagomålsmail/A 8723-2025 FSC-klagomål mail.docx", "A 8723-2025")</f>
        <v/>
      </c>
      <c r="AA15">
        <f>HYPERLINK("https://klasma.github.io/Logging_2463/tillsyn/A 8723-2025 tillsynsbegäran.docx", "A 8723-2025")</f>
        <v/>
      </c>
      <c r="AB15">
        <f>HYPERLINK("https://klasma.github.io/Logging_2463/tillsynsmail/A 8723-2025 tillsynsbegäran mail.docx", "A 8723-2025")</f>
        <v/>
      </c>
    </row>
    <row r="16" ht="15" customHeight="1">
      <c r="A16" t="inlineStr">
        <is>
          <t>S 888-2022</t>
        </is>
      </c>
      <c r="B16" t="inlineStr">
        <is>
          <t>samrådsanmälan</t>
        </is>
      </c>
      <c r="C16" t="inlineStr">
        <is>
          <t>Skogsgödsling</t>
        </is>
      </c>
      <c r="D16" s="1" t="n">
        <v>44606</v>
      </c>
      <c r="E16" s="1" t="n">
        <v>46216</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s="2" t="inlineStr">
        <is>
          <t>Garnlav
Gammelgransskål
Kungsörn
Lunglav
Rosenticka
Stor aspticka
Stuplav</t>
        </is>
      </c>
      <c r="V16">
        <f>HYPERLINK("https://klasma.github.io/Logging_2463/artfynd/S 888-2022 artfynd.xlsx", "S 888-2022")</f>
        <v/>
      </c>
      <c r="W16">
        <f>HYPERLINK("https://klasma.github.io/Logging_2463/kartor/S 888-2022 karta.png", "S 888-2022")</f>
        <v/>
      </c>
      <c r="Y16">
        <f>HYPERLINK("https://klasma.github.io/Logging_2463/klagomål/S 888-2022 FSC-klagomål.docx", "S 888-2022")</f>
        <v/>
      </c>
      <c r="Z16">
        <f>HYPERLINK("https://klasma.github.io/Logging_2463/klagomålsmail/S 888-2022 FSC-klagomål mail.docx", "S 888-2022")</f>
        <v/>
      </c>
      <c r="AA16">
        <f>HYPERLINK("https://klasma.github.io/Logging_2463/tillsyn/S 888-2022 tillsynsbegäran.docx", "S 888-2022")</f>
        <v/>
      </c>
      <c r="AB16">
        <f>HYPERLINK("https://klasma.github.io/Logging_2463/tillsynsmail/S 888-2022 tillsynsbegäran mail.docx", "S 888-2022")</f>
        <v/>
      </c>
      <c r="AC16">
        <f>HYPERLINK("https://klasma.github.io/Logging_2463/fåglar/S 888-2022 prioriterade fågelarter.docx", "S 888-2022")</f>
        <v/>
      </c>
    </row>
    <row r="17" ht="15" customHeight="1">
      <c r="A17" t="inlineStr">
        <is>
          <t>A 40209-2021</t>
        </is>
      </c>
      <c r="B17" t="inlineStr">
        <is>
          <t>avverkningsanmälan</t>
        </is>
      </c>
      <c r="C17" t="inlineStr">
        <is>
          <t>Föryngringsavverkning</t>
        </is>
      </c>
      <c r="D17" s="1" t="n">
        <v>44418</v>
      </c>
      <c r="E17" s="1" t="n">
        <v>46216</v>
      </c>
      <c r="F17" t="inlineStr">
        <is>
          <t>VÄSTERBOTTENS LÄN</t>
        </is>
      </c>
      <c r="G17" t="inlineStr">
        <is>
          <t>ÅSELE</t>
        </is>
      </c>
      <c r="I17" t="n">
        <v>13.3</v>
      </c>
      <c r="J17" t="n">
        <v>1</v>
      </c>
      <c r="K17" t="n">
        <v>4</v>
      </c>
      <c r="L17" t="n">
        <v>2</v>
      </c>
      <c r="M17" t="n">
        <v>0</v>
      </c>
      <c r="N17" t="n">
        <v>0</v>
      </c>
      <c r="O17" t="n">
        <v>0</v>
      </c>
      <c r="P17" t="n">
        <v>0</v>
      </c>
      <c r="Q17" t="n">
        <v>2</v>
      </c>
      <c r="R17" t="n">
        <v>0</v>
      </c>
      <c r="S17" t="n">
        <v>6</v>
      </c>
      <c r="T17" t="n">
        <v>6</v>
      </c>
      <c r="U17" s="2" t="inlineStr">
        <is>
          <t>Tretåig hackspett
Videticka
Bårdlav
Grovticka
Stor aspticka
Vedticka</t>
        </is>
      </c>
      <c r="V17">
        <f>HYPERLINK("https://klasma.github.io/Logging_2463/artfynd/A 40209-2021 artfynd.xlsx", "A 40209-2021")</f>
        <v/>
      </c>
      <c r="W17">
        <f>HYPERLINK("https://klasma.github.io/Logging_2463/kartor/A 40209-2021 karta.png", "A 40209-2021")</f>
        <v/>
      </c>
      <c r="Y17">
        <f>HYPERLINK("https://klasma.github.io/Logging_2463/klagomål/A 40209-2021 FSC-klagomål.docx", "A 40209-2021")</f>
        <v/>
      </c>
      <c r="Z17">
        <f>HYPERLINK("https://klasma.github.io/Logging_2463/klagomålsmail/A 40209-2021 FSC-klagomål mail.docx", "A 40209-2021")</f>
        <v/>
      </c>
      <c r="AA17">
        <f>HYPERLINK("https://klasma.github.io/Logging_2463/tillsyn/A 40209-2021 tillsynsbegäran.docx", "A 40209-2021")</f>
        <v/>
      </c>
      <c r="AB17">
        <f>HYPERLINK("https://klasma.github.io/Logging_2463/tillsynsmail/A 40209-2021 tillsynsbegäran mail.docx", "A 40209-2021")</f>
        <v/>
      </c>
      <c r="AC17">
        <f>HYPERLINK("https://klasma.github.io/Logging_2463/fåglar/A 40209-2021 prioriterade fågelarter.docx", "A 40209-2021")</f>
        <v/>
      </c>
    </row>
    <row r="18" ht="15" customHeight="1">
      <c r="A18" t="inlineStr">
        <is>
          <t>A 54849-2025</t>
        </is>
      </c>
      <c r="B18" t="inlineStr">
        <is>
          <t>avverkningsanmälan</t>
        </is>
      </c>
      <c r="C18" t="inlineStr">
        <is>
          <t>Föryngringsavverkning</t>
        </is>
      </c>
      <c r="D18" s="1" t="n">
        <v>45966</v>
      </c>
      <c r="E18" s="1" t="n">
        <v>46216</v>
      </c>
      <c r="F18" t="inlineStr">
        <is>
          <t>VÄSTERBOTTENS LÄN</t>
        </is>
      </c>
      <c r="G18" t="inlineStr">
        <is>
          <t>ÅSELE</t>
        </is>
      </c>
      <c r="H18" t="inlineStr">
        <is>
          <t>Sveaskog</t>
        </is>
      </c>
      <c r="I18" t="n">
        <v>19.3</v>
      </c>
      <c r="J18" t="n">
        <v>1</v>
      </c>
      <c r="K18" t="n">
        <v>1</v>
      </c>
      <c r="L18" t="n">
        <v>3</v>
      </c>
      <c r="M18" t="n">
        <v>2</v>
      </c>
      <c r="N18" t="n">
        <v>0</v>
      </c>
      <c r="O18" t="n">
        <v>0</v>
      </c>
      <c r="P18" t="n">
        <v>0</v>
      </c>
      <c r="Q18" t="n">
        <v>5</v>
      </c>
      <c r="R18" t="n">
        <v>2</v>
      </c>
      <c r="S18" t="n">
        <v>6</v>
      </c>
      <c r="T18" t="n">
        <v>8</v>
      </c>
      <c r="U18" s="2" t="inlineStr">
        <is>
          <t>Doftticka
Garnlav
Gammelgransskål
Lunglav
Skrovellav
Vedticka</t>
        </is>
      </c>
      <c r="V18">
        <f>HYPERLINK("https://klasma.github.io/Logging_2463/artfynd/A 54849-2025 artfynd.xlsx", "A 54849-2025")</f>
        <v/>
      </c>
      <c r="W18">
        <f>HYPERLINK("https://klasma.github.io/Logging_2463/kartor/A 54849-2025 karta.png", "A 54849-2025")</f>
        <v/>
      </c>
      <c r="Y18">
        <f>HYPERLINK("https://klasma.github.io/Logging_2463/klagomål/A 54849-2025 FSC-klagomål.docx", "A 54849-2025")</f>
        <v/>
      </c>
      <c r="Z18">
        <f>HYPERLINK("https://klasma.github.io/Logging_2463/klagomålsmail/A 54849-2025 FSC-klagomål mail.docx", "A 54849-2025")</f>
        <v/>
      </c>
      <c r="AA18">
        <f>HYPERLINK("https://klasma.github.io/Logging_2463/tillsyn/A 54849-2025 tillsynsbegäran.docx", "A 54849-2025")</f>
        <v/>
      </c>
      <c r="AB18">
        <f>HYPERLINK("https://klasma.github.io/Logging_2463/tillsynsmail/A 54849-2025 tillsynsbegäran mail.docx", "A 54849-2025")</f>
        <v/>
      </c>
    </row>
    <row r="19" ht="15" customHeight="1">
      <c r="A19" t="inlineStr">
        <is>
          <t>A 49502-2025</t>
        </is>
      </c>
      <c r="B19" t="inlineStr">
        <is>
          <t>avverkningsanmälan</t>
        </is>
      </c>
      <c r="C19" t="inlineStr">
        <is>
          <t>Föryngringsavverkning</t>
        </is>
      </c>
      <c r="D19" s="1" t="n">
        <v>45939</v>
      </c>
      <c r="E19" s="1" t="n">
        <v>46216</v>
      </c>
      <c r="F19" t="inlineStr">
        <is>
          <t>VÄSTERBOTTENS LÄN</t>
        </is>
      </c>
      <c r="G19" t="inlineStr">
        <is>
          <t>ÅSELE</t>
        </is>
      </c>
      <c r="H19" t="inlineStr">
        <is>
          <t>Sveaskog</t>
        </is>
      </c>
      <c r="I19" t="n">
        <v>7.6</v>
      </c>
      <c r="J19" t="n">
        <v>0</v>
      </c>
      <c r="K19" t="n">
        <v>0</v>
      </c>
      <c r="L19" t="n">
        <v>4</v>
      </c>
      <c r="M19" t="n">
        <v>1</v>
      </c>
      <c r="N19" t="n">
        <v>0</v>
      </c>
      <c r="O19" t="n">
        <v>0</v>
      </c>
      <c r="P19" t="n">
        <v>0</v>
      </c>
      <c r="Q19" t="n">
        <v>5</v>
      </c>
      <c r="R19" t="n">
        <v>1</v>
      </c>
      <c r="S19" t="n">
        <v>5</v>
      </c>
      <c r="T19" t="n">
        <v>6</v>
      </c>
      <c r="U19" s="2" t="inlineStr">
        <is>
          <t>Skrovlig taggsvamp
Blanksvart spiklav
Blå taggsvamp
Dropptaggsvamp
Motaggsvamp</t>
        </is>
      </c>
      <c r="V19">
        <f>HYPERLINK("https://klasma.github.io/Logging_2463/artfynd/A 49502-2025 artfynd.xlsx", "A 49502-2025")</f>
        <v/>
      </c>
      <c r="W19">
        <f>HYPERLINK("https://klasma.github.io/Logging_2463/kartor/A 49502-2025 karta.png", "A 49502-2025")</f>
        <v/>
      </c>
      <c r="Y19">
        <f>HYPERLINK("https://klasma.github.io/Logging_2463/klagomål/A 49502-2025 FSC-klagomål.docx", "A 49502-2025")</f>
        <v/>
      </c>
      <c r="Z19">
        <f>HYPERLINK("https://klasma.github.io/Logging_2463/klagomålsmail/A 49502-2025 FSC-klagomål mail.docx", "A 49502-2025")</f>
        <v/>
      </c>
      <c r="AA19">
        <f>HYPERLINK("https://klasma.github.io/Logging_2463/tillsyn/A 49502-2025 tillsynsbegäran.docx", "A 49502-2025")</f>
        <v/>
      </c>
      <c r="AB19">
        <f>HYPERLINK("https://klasma.github.io/Logging_2463/tillsynsmail/A 49502-2025 tillsynsbegäran mail.docx", "A 49502-2025")</f>
        <v/>
      </c>
    </row>
    <row r="20" ht="15" customHeight="1">
      <c r="A20" t="inlineStr">
        <is>
          <t>A 8655-2024</t>
        </is>
      </c>
      <c r="B20" t="inlineStr">
        <is>
          <t>avverkningsanmälan</t>
        </is>
      </c>
      <c r="C20" t="inlineStr">
        <is>
          <t>Föryngringsavverkning</t>
        </is>
      </c>
      <c r="D20" s="1" t="n">
        <v>45356</v>
      </c>
      <c r="E20" s="1" t="n">
        <v>46216</v>
      </c>
      <c r="F20" t="inlineStr">
        <is>
          <t>VÄSTERBOTTENS LÄN</t>
        </is>
      </c>
      <c r="G20" t="inlineStr">
        <is>
          <t>ÅSELE</t>
        </is>
      </c>
      <c r="H20" t="inlineStr">
        <is>
          <t>SCA</t>
        </is>
      </c>
      <c r="I20" t="n">
        <v>12.3</v>
      </c>
      <c r="J20" t="n">
        <v>0</v>
      </c>
      <c r="K20" t="n">
        <v>2</v>
      </c>
      <c r="L20" t="n">
        <v>2</v>
      </c>
      <c r="M20" t="n">
        <v>1</v>
      </c>
      <c r="N20" t="n">
        <v>0</v>
      </c>
      <c r="O20" t="n">
        <v>0</v>
      </c>
      <c r="P20" t="n">
        <v>0</v>
      </c>
      <c r="Q20" t="n">
        <v>3</v>
      </c>
      <c r="R20" t="n">
        <v>1</v>
      </c>
      <c r="S20" t="n">
        <v>5</v>
      </c>
      <c r="T20" t="n">
        <v>11</v>
      </c>
      <c r="U20" s="2" t="inlineStr">
        <is>
          <t>Garnlav
Lunglav
Skrovellav
Bårdlav
Stuplav</t>
        </is>
      </c>
      <c r="V20">
        <f>HYPERLINK("https://klasma.github.io/Logging_2463/artfynd/A 8655-2024 artfynd.xlsx", "A 8655-2024")</f>
        <v/>
      </c>
      <c r="W20">
        <f>HYPERLINK("https://klasma.github.io/Logging_2463/kartor/A 8655-2024 karta.png", "A 8655-2024")</f>
        <v/>
      </c>
      <c r="Y20">
        <f>HYPERLINK("https://klasma.github.io/Logging_2463/klagomål/A 8655-2024 FSC-klagomål.docx", "A 8655-2024")</f>
        <v/>
      </c>
      <c r="Z20">
        <f>HYPERLINK("https://klasma.github.io/Logging_2463/klagomålsmail/A 8655-2024 FSC-klagomål mail.docx", "A 8655-2024")</f>
        <v/>
      </c>
      <c r="AA20">
        <f>HYPERLINK("https://klasma.github.io/Logging_2463/tillsyn/A 8655-2024 tillsynsbegäran.docx", "A 8655-2024")</f>
        <v/>
      </c>
      <c r="AB20">
        <f>HYPERLINK("https://klasma.github.io/Logging_2463/tillsynsmail/A 8655-2024 tillsynsbegäran mail.docx", "A 8655-2024")</f>
        <v/>
      </c>
    </row>
    <row r="21" ht="15" customHeight="1">
      <c r="A21" t="inlineStr">
        <is>
          <t>S 235-2026</t>
        </is>
      </c>
      <c r="B21" t="inlineStr">
        <is>
          <t>samrådsanmälan</t>
        </is>
      </c>
      <c r="C21" t="inlineStr">
        <is>
          <t>Skogsgödsling</t>
        </is>
      </c>
      <c r="D21" s="1" t="n">
        <v>46051</v>
      </c>
      <c r="E21" s="1" t="n">
        <v>46216</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s="2" t="inlineStr">
        <is>
          <t>Blå taggsvamp
Lavskrika
Skarp dropptaggsvamp
Skinnlav
Utter</t>
        </is>
      </c>
      <c r="V21">
        <f>HYPERLINK("https://klasma.github.io/Logging_2463/artfynd/S 235-2026 artfynd.xlsx", "S 235-2026")</f>
        <v/>
      </c>
      <c r="W21">
        <f>HYPERLINK("https://klasma.github.io/Logging_2463/kartor/S 235-2026 karta.png", "S 235-2026")</f>
        <v/>
      </c>
      <c r="Y21">
        <f>HYPERLINK("https://klasma.github.io/Logging_2463/klagomål/S 235-2026 FSC-klagomål.docx", "S 235-2026")</f>
        <v/>
      </c>
      <c r="Z21">
        <f>HYPERLINK("https://klasma.github.io/Logging_2463/klagomålsmail/S 235-2026 FSC-klagomål mail.docx", "S 235-2026")</f>
        <v/>
      </c>
      <c r="AA21">
        <f>HYPERLINK("https://klasma.github.io/Logging_2463/tillsyn/S 235-2026 tillsynsbegäran.docx", "S 235-2026")</f>
        <v/>
      </c>
      <c r="AB21">
        <f>HYPERLINK("https://klasma.github.io/Logging_2463/tillsynsmail/S 235-2026 tillsynsbegäran mail.docx", "S 235-2026")</f>
        <v/>
      </c>
      <c r="AC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46216</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s="2" t="inlineStr">
        <is>
          <t>Gränsticka
Nordtagging
Vaddporing
Skinnlav</t>
        </is>
      </c>
      <c r="V22">
        <f>HYPERLINK("https://klasma.github.io/Logging_2463/artfynd/A 61850-2021 artfynd.xlsx", "A 61850-2021")</f>
        <v/>
      </c>
      <c r="W22">
        <f>HYPERLINK("https://klasma.github.io/Logging_2463/kartor/A 61850-2021 karta.png", "A 61850-2021")</f>
        <v/>
      </c>
      <c r="Y22">
        <f>HYPERLINK("https://klasma.github.io/Logging_2463/klagomål/A 61850-2021 FSC-klagomål.docx", "A 61850-2021")</f>
        <v/>
      </c>
      <c r="Z22">
        <f>HYPERLINK("https://klasma.github.io/Logging_2463/klagomålsmail/A 61850-2021 FSC-klagomål mail.docx", "A 61850-2021")</f>
        <v/>
      </c>
      <c r="AA22">
        <f>HYPERLINK("https://klasma.github.io/Logging_2463/tillsyn/A 61850-2021 tillsynsbegäran.docx", "A 61850-2021")</f>
        <v/>
      </c>
      <c r="AB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46216</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s="2" t="inlineStr">
        <is>
          <t>Enkelbeckasin
Gammelgransskål
Lunglav
Tretåig hackspett</t>
        </is>
      </c>
      <c r="V23">
        <f>HYPERLINK("https://klasma.github.io/Logging_2463/artfynd/A 10546-2023 artfynd.xlsx", "A 10546-2023")</f>
        <v/>
      </c>
      <c r="W23">
        <f>HYPERLINK("https://klasma.github.io/Logging_2463/kartor/A 10546-2023 karta.png", "A 10546-2023")</f>
        <v/>
      </c>
      <c r="Y23">
        <f>HYPERLINK("https://klasma.github.io/Logging_2463/klagomål/A 10546-2023 FSC-klagomål.docx", "A 10546-2023")</f>
        <v/>
      </c>
      <c r="Z23">
        <f>HYPERLINK("https://klasma.github.io/Logging_2463/klagomålsmail/A 10546-2023 FSC-klagomål mail.docx", "A 10546-2023")</f>
        <v/>
      </c>
      <c r="AA23">
        <f>HYPERLINK("https://klasma.github.io/Logging_2463/tillsyn/A 10546-2023 tillsynsbegäran.docx", "A 10546-2023")</f>
        <v/>
      </c>
      <c r="AB23">
        <f>HYPERLINK("https://klasma.github.io/Logging_2463/tillsynsmail/A 10546-2023 tillsynsbegäran mail.docx", "A 10546-2023")</f>
        <v/>
      </c>
      <c r="AC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46216</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s="2" t="inlineStr">
        <is>
          <t>Lunglav
Skrovellav
Bårdlav
Luddlav</t>
        </is>
      </c>
      <c r="V24">
        <f>HYPERLINK("https://klasma.github.io/Logging_2463/artfynd/A 29995-2025 artfynd.xlsx", "A 29995-2025")</f>
        <v/>
      </c>
      <c r="W24">
        <f>HYPERLINK("https://klasma.github.io/Logging_2463/kartor/A 29995-2025 karta.png", "A 29995-2025")</f>
        <v/>
      </c>
      <c r="Y24">
        <f>HYPERLINK("https://klasma.github.io/Logging_2463/klagomål/A 29995-2025 FSC-klagomål.docx", "A 29995-2025")</f>
        <v/>
      </c>
      <c r="Z24">
        <f>HYPERLINK("https://klasma.github.io/Logging_2463/klagomålsmail/A 29995-2025 FSC-klagomål mail.docx", "A 29995-2025")</f>
        <v/>
      </c>
      <c r="AA24">
        <f>HYPERLINK("https://klasma.github.io/Logging_2463/tillsyn/A 29995-2025 tillsynsbegäran.docx", "A 29995-2025")</f>
        <v/>
      </c>
      <c r="AB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46216</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s="2" t="inlineStr">
        <is>
          <t>Garnlav
Kolflarnlav
Plattlummer
Stuplav</t>
        </is>
      </c>
      <c r="V25">
        <f>HYPERLINK("https://klasma.github.io/Logging_2463/artfynd/A 43956-2025 artfynd.xlsx", "A 43956-2025")</f>
        <v/>
      </c>
      <c r="W25">
        <f>HYPERLINK("https://klasma.github.io/Logging_2463/kartor/A 43956-2025 karta.png", "A 43956-2025")</f>
        <v/>
      </c>
      <c r="Y25">
        <f>HYPERLINK("https://klasma.github.io/Logging_2463/klagomål/A 43956-2025 FSC-klagomål.docx", "A 43956-2025")</f>
        <v/>
      </c>
      <c r="Z25">
        <f>HYPERLINK("https://klasma.github.io/Logging_2463/klagomålsmail/A 43956-2025 FSC-klagomål mail.docx", "A 43956-2025")</f>
        <v/>
      </c>
      <c r="AA25">
        <f>HYPERLINK("https://klasma.github.io/Logging_2463/tillsyn/A 43956-2025 tillsynsbegäran.docx", "A 43956-2025")</f>
        <v/>
      </c>
      <c r="AB25">
        <f>HYPERLINK("https://klasma.github.io/Logging_2463/tillsynsmail/A 43956-2025 tillsynsbegäran mail.docx", "A 43956-2025")</f>
        <v/>
      </c>
    </row>
    <row r="26" ht="15" customHeight="1">
      <c r="A26" t="inlineStr">
        <is>
          <t>A 15082-2023</t>
        </is>
      </c>
      <c r="B26" t="inlineStr">
        <is>
          <t>avverkningsanmälan</t>
        </is>
      </c>
      <c r="C26" t="inlineStr">
        <is>
          <t>Avverkning för att bevara och utveckla /försöksver</t>
        </is>
      </c>
      <c r="D26" s="1" t="n">
        <v>45016</v>
      </c>
      <c r="E26" s="1" t="n">
        <v>46216</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s="2" t="inlineStr">
        <is>
          <t>Brunpudrad nållav
Gammelgransskål
Skrovellav
Vedtrappmossa</t>
        </is>
      </c>
      <c r="V26">
        <f>HYPERLINK("https://klasma.github.io/Logging_2463/artfynd/A 15082-2023 artfynd.xlsx", "A 15082-2023")</f>
        <v/>
      </c>
      <c r="W26">
        <f>HYPERLINK("https://klasma.github.io/Logging_2463/kartor/A 15082-2023 karta.png", "A 15082-2023")</f>
        <v/>
      </c>
      <c r="Y26">
        <f>HYPERLINK("https://klasma.github.io/Logging_2463/klagomål/A 15082-2023 FSC-klagomål.docx", "A 15082-2023")</f>
        <v/>
      </c>
      <c r="Z26">
        <f>HYPERLINK("https://klasma.github.io/Logging_2463/klagomålsmail/A 15082-2023 FSC-klagomål mail.docx", "A 15082-2023")</f>
        <v/>
      </c>
      <c r="AA26">
        <f>HYPERLINK("https://klasma.github.io/Logging_2463/tillsyn/A 15082-2023 tillsynsbegäran.docx", "A 15082-2023")</f>
        <v/>
      </c>
      <c r="AB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46216</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s="2" t="inlineStr">
        <is>
          <t>Garnlav
Lunglav
Skrovellav
Stuplav</t>
        </is>
      </c>
      <c r="V27">
        <f>HYPERLINK("https://klasma.github.io/Logging_2463/artfynd/A 29616-2023 artfynd.xlsx", "A 29616-2023")</f>
        <v/>
      </c>
      <c r="W27">
        <f>HYPERLINK("https://klasma.github.io/Logging_2463/kartor/A 29616-2023 karta.png", "A 29616-2023")</f>
        <v/>
      </c>
      <c r="Y27">
        <f>HYPERLINK("https://klasma.github.io/Logging_2463/klagomål/A 29616-2023 FSC-klagomål.docx", "A 29616-2023")</f>
        <v/>
      </c>
      <c r="Z27">
        <f>HYPERLINK("https://klasma.github.io/Logging_2463/klagomålsmail/A 29616-2023 FSC-klagomål mail.docx", "A 29616-2023")</f>
        <v/>
      </c>
      <c r="AA27">
        <f>HYPERLINK("https://klasma.github.io/Logging_2463/tillsyn/A 29616-2023 tillsynsbegäran.docx", "A 29616-2023")</f>
        <v/>
      </c>
      <c r="AB27">
        <f>HYPERLINK("https://klasma.github.io/Logging_2463/tillsynsmail/A 29616-2023 tillsynsbegäran mail.docx", "A 29616-2023")</f>
        <v/>
      </c>
    </row>
    <row r="28" ht="15" customHeight="1">
      <c r="A28" t="inlineStr">
        <is>
          <t>A 49528-2022</t>
        </is>
      </c>
      <c r="B28" t="inlineStr">
        <is>
          <t>avverkningsanmälan</t>
        </is>
      </c>
      <c r="C28" t="inlineStr">
        <is>
          <t>Avverkning för att bevara och utveckla /försöksver</t>
        </is>
      </c>
      <c r="D28" s="1" t="n">
        <v>44861</v>
      </c>
      <c r="E28" s="1" t="n">
        <v>46216</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s="2" t="inlineStr">
        <is>
          <t>Garnlav
Doftskinn
Lunglav
Rävticka</t>
        </is>
      </c>
      <c r="V28">
        <f>HYPERLINK("https://klasma.github.io/Logging_2463/artfynd/A 49528-2022 artfynd.xlsx", "A 49528-2022")</f>
        <v/>
      </c>
      <c r="W28">
        <f>HYPERLINK("https://klasma.github.io/Logging_2463/kartor/A 49528-2022 karta.png", "A 49528-2022")</f>
        <v/>
      </c>
      <c r="Y28">
        <f>HYPERLINK("https://klasma.github.io/Logging_2463/klagomål/A 49528-2022 FSC-klagomål.docx", "A 49528-2022")</f>
        <v/>
      </c>
      <c r="Z28">
        <f>HYPERLINK("https://klasma.github.io/Logging_2463/klagomålsmail/A 49528-2022 FSC-klagomål mail.docx", "A 49528-2022")</f>
        <v/>
      </c>
      <c r="AA28">
        <f>HYPERLINK("https://klasma.github.io/Logging_2463/tillsyn/A 49528-2022 tillsynsbegäran.docx", "A 49528-2022")</f>
        <v/>
      </c>
      <c r="AB28">
        <f>HYPERLINK("https://klasma.github.io/Logging_2463/tillsynsmail/A 49528-2022 tillsynsbegäran mail.docx", "A 49528-2022")</f>
        <v/>
      </c>
    </row>
    <row r="29" ht="15" customHeight="1">
      <c r="A29" t="inlineStr">
        <is>
          <t>A 29565-2026</t>
        </is>
      </c>
      <c r="B29" t="inlineStr">
        <is>
          <t>avverkningsanmälan</t>
        </is>
      </c>
      <c r="C29" t="inlineStr">
        <is>
          <t>Föryngringsavverkning</t>
        </is>
      </c>
      <c r="D29" s="1" t="n">
        <v>46204</v>
      </c>
      <c r="E29" s="1" t="n">
        <v>46216</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s="2" t="inlineStr">
        <is>
          <t>Garnlav
Talltita
Tretåig hackspett
Luddlav</t>
        </is>
      </c>
      <c r="V29">
        <f>HYPERLINK("https://klasma.github.io/Logging_2463/artfynd/A 29565-2026 artfynd.xlsx", "A 29565-2026")</f>
        <v/>
      </c>
      <c r="W29">
        <f>HYPERLINK("https://klasma.github.io/Logging_2463/kartor/A 29565-2026 karta.png", "A 29565-2026")</f>
        <v/>
      </c>
      <c r="Y29">
        <f>HYPERLINK("https://klasma.github.io/Logging_2463/klagomål/A 29565-2026 FSC-klagomål.docx", "A 29565-2026")</f>
        <v/>
      </c>
      <c r="Z29">
        <f>HYPERLINK("https://klasma.github.io/Logging_2463/klagomålsmail/A 29565-2026 FSC-klagomål mail.docx", "A 29565-2026")</f>
        <v/>
      </c>
      <c r="AA29">
        <f>HYPERLINK("https://klasma.github.io/Logging_2463/tillsyn/A 29565-2026 tillsynsbegäran.docx", "A 29565-2026")</f>
        <v/>
      </c>
      <c r="AB29">
        <f>HYPERLINK("https://klasma.github.io/Logging_2463/tillsynsmail/A 29565-2026 tillsynsbegäran mail.docx", "A 29565-2026")</f>
        <v/>
      </c>
      <c r="AC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46216</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s="2" t="inlineStr">
        <is>
          <t>Harticka
Lunglav
Skrovellav</t>
        </is>
      </c>
      <c r="V30">
        <f>HYPERLINK("https://klasma.github.io/Logging_2463/artfynd/A 61301-2021 artfynd.xlsx", "A 61301-2021")</f>
        <v/>
      </c>
      <c r="W30">
        <f>HYPERLINK("https://klasma.github.io/Logging_2463/kartor/A 61301-2021 karta.png", "A 61301-2021")</f>
        <v/>
      </c>
      <c r="Y30">
        <f>HYPERLINK("https://klasma.github.io/Logging_2463/klagomål/A 61301-2021 FSC-klagomål.docx", "A 61301-2021")</f>
        <v/>
      </c>
      <c r="Z30">
        <f>HYPERLINK("https://klasma.github.io/Logging_2463/klagomålsmail/A 61301-2021 FSC-klagomål mail.docx", "A 61301-2021")</f>
        <v/>
      </c>
      <c r="AA30">
        <f>HYPERLINK("https://klasma.github.io/Logging_2463/tillsyn/A 61301-2021 tillsynsbegäran.docx", "A 61301-2021")</f>
        <v/>
      </c>
      <c r="AB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46216</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s="2" t="inlineStr">
        <is>
          <t>Garnlav
Tretåig hackspett
Ullticka</t>
        </is>
      </c>
      <c r="V31">
        <f>HYPERLINK("https://klasma.github.io/Logging_2463/artfynd/A 19705-2022 artfynd.xlsx", "A 19705-2022")</f>
        <v/>
      </c>
      <c r="W31">
        <f>HYPERLINK("https://klasma.github.io/Logging_2463/kartor/A 19705-2022 karta.png", "A 19705-2022")</f>
        <v/>
      </c>
      <c r="Y31">
        <f>HYPERLINK("https://klasma.github.io/Logging_2463/klagomål/A 19705-2022 FSC-klagomål.docx", "A 19705-2022")</f>
        <v/>
      </c>
      <c r="Z31">
        <f>HYPERLINK("https://klasma.github.io/Logging_2463/klagomålsmail/A 19705-2022 FSC-klagomål mail.docx", "A 19705-2022")</f>
        <v/>
      </c>
      <c r="AA31">
        <f>HYPERLINK("https://klasma.github.io/Logging_2463/tillsyn/A 19705-2022 tillsynsbegäran.docx", "A 19705-2022")</f>
        <v/>
      </c>
      <c r="AB31">
        <f>HYPERLINK("https://klasma.github.io/Logging_2463/tillsynsmail/A 19705-2022 tillsynsbegäran mail.docx", "A 19705-2022")</f>
        <v/>
      </c>
      <c r="AC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46216</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s="2" t="inlineStr">
        <is>
          <t>Garnlav
Dvärgbägarlav
Tretåig hackspett</t>
        </is>
      </c>
      <c r="V32">
        <f>HYPERLINK("https://klasma.github.io/Logging_2463/artfynd/A 61398-2022 artfynd.xlsx", "A 61398-2022")</f>
        <v/>
      </c>
      <c r="W32">
        <f>HYPERLINK("https://klasma.github.io/Logging_2463/kartor/A 61398-2022 karta.png", "A 61398-2022")</f>
        <v/>
      </c>
      <c r="Y32">
        <f>HYPERLINK("https://klasma.github.io/Logging_2463/klagomål/A 61398-2022 FSC-klagomål.docx", "A 61398-2022")</f>
        <v/>
      </c>
      <c r="Z32">
        <f>HYPERLINK("https://klasma.github.io/Logging_2463/klagomålsmail/A 61398-2022 FSC-klagomål mail.docx", "A 61398-2022")</f>
        <v/>
      </c>
      <c r="AA32">
        <f>HYPERLINK("https://klasma.github.io/Logging_2463/tillsyn/A 61398-2022 tillsynsbegäran.docx", "A 61398-2022")</f>
        <v/>
      </c>
      <c r="AB32">
        <f>HYPERLINK("https://klasma.github.io/Logging_2463/tillsynsmail/A 61398-2022 tillsynsbegäran mail.docx", "A 61398-2022")</f>
        <v/>
      </c>
      <c r="AC32">
        <f>HYPERLINK("https://klasma.github.io/Logging_2463/fåglar/A 61398-2022 prioriterade fågelarter.docx", "A 61398-2022")</f>
        <v/>
      </c>
    </row>
    <row r="33" ht="15" customHeight="1">
      <c r="A33" t="inlineStr">
        <is>
          <t>A 39978-2025</t>
        </is>
      </c>
      <c r="B33" t="inlineStr">
        <is>
          <t>avverkningsanmälan</t>
        </is>
      </c>
      <c r="C33" t="inlineStr">
        <is>
          <t>Föryngringsavverkning</t>
        </is>
      </c>
      <c r="D33" s="1" t="n">
        <v>45893</v>
      </c>
      <c r="E33" s="1" t="n">
        <v>46216</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s="2" t="inlineStr">
        <is>
          <t>Garnlav
Tretåig hackspett
Spindelblomster</t>
        </is>
      </c>
      <c r="V33">
        <f>HYPERLINK("https://klasma.github.io/Logging_2463/artfynd/A 39978-2025 artfynd.xlsx", "A 39978-2025")</f>
        <v/>
      </c>
      <c r="W33">
        <f>HYPERLINK("https://klasma.github.io/Logging_2463/kartor/A 39978-2025 karta.png", "A 39978-2025")</f>
        <v/>
      </c>
      <c r="Y33">
        <f>HYPERLINK("https://klasma.github.io/Logging_2463/klagomål/A 39978-2025 FSC-klagomål.docx", "A 39978-2025")</f>
        <v/>
      </c>
      <c r="Z33">
        <f>HYPERLINK("https://klasma.github.io/Logging_2463/klagomålsmail/A 39978-2025 FSC-klagomål mail.docx", "A 39978-2025")</f>
        <v/>
      </c>
      <c r="AA33">
        <f>HYPERLINK("https://klasma.github.io/Logging_2463/tillsyn/A 39978-2025 tillsynsbegäran.docx", "A 39978-2025")</f>
        <v/>
      </c>
      <c r="AB33">
        <f>HYPERLINK("https://klasma.github.io/Logging_2463/tillsynsmail/A 39978-2025 tillsynsbegäran mail.docx", "A 39978-2025")</f>
        <v/>
      </c>
      <c r="AC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46216</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s="2" t="inlineStr">
        <is>
          <t>Sprickporing
Doftskinn
Harticka</t>
        </is>
      </c>
      <c r="V34">
        <f>HYPERLINK("https://klasma.github.io/Logging_2463/artfynd/A 50419-2024 artfynd.xlsx", "A 50419-2024")</f>
        <v/>
      </c>
      <c r="W34">
        <f>HYPERLINK("https://klasma.github.io/Logging_2463/kartor/A 50419-2024 karta.png", "A 50419-2024")</f>
        <v/>
      </c>
      <c r="Y34">
        <f>HYPERLINK("https://klasma.github.io/Logging_2463/klagomål/A 50419-2024 FSC-klagomål.docx", "A 50419-2024")</f>
        <v/>
      </c>
      <c r="Z34">
        <f>HYPERLINK("https://klasma.github.io/Logging_2463/klagomålsmail/A 50419-2024 FSC-klagomål mail.docx", "A 50419-2024")</f>
        <v/>
      </c>
      <c r="AA34">
        <f>HYPERLINK("https://klasma.github.io/Logging_2463/tillsyn/A 50419-2024 tillsynsbegäran.docx", "A 50419-2024")</f>
        <v/>
      </c>
      <c r="AB34">
        <f>HYPERLINK("https://klasma.github.io/Logging_2463/tillsynsmail/A 50419-2024 tillsynsbegäran mail.docx", "A 50419-2024")</f>
        <v/>
      </c>
    </row>
    <row r="35" ht="15" customHeight="1">
      <c r="A35" t="inlineStr">
        <is>
          <t>A 26897-2023</t>
        </is>
      </c>
      <c r="B35" t="inlineStr">
        <is>
          <t>avverkningsanmälan</t>
        </is>
      </c>
      <c r="C35" t="inlineStr">
        <is>
          <t>Föryngringsavverkning</t>
        </is>
      </c>
      <c r="D35" s="1" t="n">
        <v>45093</v>
      </c>
      <c r="E35" s="1" t="n">
        <v>46216</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s="2" t="inlineStr">
        <is>
          <t>Rödvingetrast
Talltita
Grönsiska</t>
        </is>
      </c>
      <c r="V35">
        <f>HYPERLINK("https://klasma.github.io/Logging_2463/artfynd/A 26897-2023 artfynd.xlsx", "A 26897-2023")</f>
        <v/>
      </c>
      <c r="W35">
        <f>HYPERLINK("https://klasma.github.io/Logging_2463/kartor/A 26897-2023 karta.png", "A 26897-2023")</f>
        <v/>
      </c>
      <c r="Y35">
        <f>HYPERLINK("https://klasma.github.io/Logging_2463/klagomål/A 26897-2023 FSC-klagomål.docx", "A 26897-2023")</f>
        <v/>
      </c>
      <c r="Z35">
        <f>HYPERLINK("https://klasma.github.io/Logging_2463/klagomålsmail/A 26897-2023 FSC-klagomål mail.docx", "A 26897-2023")</f>
        <v/>
      </c>
      <c r="AA35">
        <f>HYPERLINK("https://klasma.github.io/Logging_2463/tillsyn/A 26897-2023 tillsynsbegäran.docx", "A 26897-2023")</f>
        <v/>
      </c>
      <c r="AB35">
        <f>HYPERLINK("https://klasma.github.io/Logging_2463/tillsynsmail/A 26897-2023 tillsynsbegäran mail.docx", "A 26897-2023")</f>
        <v/>
      </c>
      <c r="AC35">
        <f>HYPERLINK("https://klasma.github.io/Logging_2463/fåglar/A 26897-2023 prioriterade fågelarter.docx", "A 26897-2023")</f>
        <v/>
      </c>
    </row>
    <row r="36" ht="15" customHeight="1">
      <c r="A36" t="inlineStr">
        <is>
          <t>A 22110-2024</t>
        </is>
      </c>
      <c r="B36" t="inlineStr">
        <is>
          <t>avverkningsanmälan</t>
        </is>
      </c>
      <c r="C36" t="inlineStr">
        <is>
          <t>Föryngringsavverkning</t>
        </is>
      </c>
      <c r="D36" s="1" t="n">
        <v>45443</v>
      </c>
      <c r="E36" s="1" t="n">
        <v>46216</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s="2" t="inlineStr">
        <is>
          <t>Gammelgransskål
Lunglav
Trådticka</t>
        </is>
      </c>
      <c r="V36">
        <f>HYPERLINK("https://klasma.github.io/Logging_2463/artfynd/A 22110-2024 artfynd.xlsx", "A 22110-2024")</f>
        <v/>
      </c>
      <c r="W36">
        <f>HYPERLINK("https://klasma.github.io/Logging_2463/kartor/A 22110-2024 karta.png", "A 22110-2024")</f>
        <v/>
      </c>
      <c r="Y36">
        <f>HYPERLINK("https://klasma.github.io/Logging_2463/klagomål/A 22110-2024 FSC-klagomål.docx", "A 22110-2024")</f>
        <v/>
      </c>
      <c r="Z36">
        <f>HYPERLINK("https://klasma.github.io/Logging_2463/klagomålsmail/A 22110-2024 FSC-klagomål mail.docx", "A 22110-2024")</f>
        <v/>
      </c>
      <c r="AA36">
        <f>HYPERLINK("https://klasma.github.io/Logging_2463/tillsyn/A 22110-2024 tillsynsbegäran.docx", "A 22110-2024")</f>
        <v/>
      </c>
      <c r="AB36">
        <f>HYPERLINK("https://klasma.github.io/Logging_2463/tillsynsmail/A 22110-2024 tillsynsbegäran mail.docx", "A 22110-2024")</f>
        <v/>
      </c>
    </row>
    <row r="37" ht="15" customHeight="1">
      <c r="A37" t="inlineStr">
        <is>
          <t>A 5700-2023</t>
        </is>
      </c>
      <c r="B37" t="inlineStr">
        <is>
          <t>avverkningsanmälan</t>
        </is>
      </c>
      <c r="C37" t="inlineStr">
        <is>
          <t>Föryngringsavverkning</t>
        </is>
      </c>
      <c r="D37" s="1" t="n">
        <v>44960</v>
      </c>
      <c r="E37" s="1" t="n">
        <v>46216</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s="2" t="inlineStr">
        <is>
          <t>Garnlav
Gammelgransskål
Lunglav</t>
        </is>
      </c>
      <c r="V37">
        <f>HYPERLINK("https://klasma.github.io/Logging_2463/artfynd/A 5700-2023 artfynd.xlsx", "A 5700-2023")</f>
        <v/>
      </c>
      <c r="W37">
        <f>HYPERLINK("https://klasma.github.io/Logging_2463/kartor/A 5700-2023 karta.png", "A 5700-2023")</f>
        <v/>
      </c>
      <c r="Y37">
        <f>HYPERLINK("https://klasma.github.io/Logging_2463/klagomål/A 5700-2023 FSC-klagomål.docx", "A 5700-2023")</f>
        <v/>
      </c>
      <c r="Z37">
        <f>HYPERLINK("https://klasma.github.io/Logging_2463/klagomålsmail/A 5700-2023 FSC-klagomål mail.docx", "A 5700-2023")</f>
        <v/>
      </c>
      <c r="AA37">
        <f>HYPERLINK("https://klasma.github.io/Logging_2463/tillsyn/A 5700-2023 tillsynsbegäran.docx", "A 5700-2023")</f>
        <v/>
      </c>
      <c r="AB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46216</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s="2" t="inlineStr">
        <is>
          <t>Garnlav
Tajgaskinn
Gammelgransskål</t>
        </is>
      </c>
      <c r="V38">
        <f>HYPERLINK("https://klasma.github.io/Logging_2463/artfynd/A 30659-2026 artfynd.xlsx", "A 30659-2026")</f>
        <v/>
      </c>
      <c r="W38">
        <f>HYPERLINK("https://klasma.github.io/Logging_2463/kartor/A 30659-2026 karta.png", "A 30659-2026")</f>
        <v/>
      </c>
      <c r="Y38">
        <f>HYPERLINK("https://klasma.github.io/Logging_2463/klagomål/A 30659-2026 FSC-klagomål.docx", "A 30659-2026")</f>
        <v/>
      </c>
      <c r="Z38">
        <f>HYPERLINK("https://klasma.github.io/Logging_2463/klagomålsmail/A 30659-2026 FSC-klagomål mail.docx", "A 30659-2026")</f>
        <v/>
      </c>
      <c r="AA38">
        <f>HYPERLINK("https://klasma.github.io/Logging_2463/tillsyn/A 30659-2026 tillsynsbegäran.docx", "A 30659-2026")</f>
        <v/>
      </c>
      <c r="AB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46216</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s="2" t="inlineStr">
        <is>
          <t>Harticka
Lunglav
Skrovellav</t>
        </is>
      </c>
      <c r="V39">
        <f>HYPERLINK("https://klasma.github.io/Logging_2463/artfynd/A 30474-2026 artfynd.xlsx", "A 30474-2026")</f>
        <v/>
      </c>
      <c r="W39">
        <f>HYPERLINK("https://klasma.github.io/Logging_2463/kartor/A 30474-2026 karta.png", "A 30474-2026")</f>
        <v/>
      </c>
      <c r="Y39">
        <f>HYPERLINK("https://klasma.github.io/Logging_2463/klagomål/A 30474-2026 FSC-klagomål.docx", "A 30474-2026")</f>
        <v/>
      </c>
      <c r="Z39">
        <f>HYPERLINK("https://klasma.github.io/Logging_2463/klagomålsmail/A 30474-2026 FSC-klagomål mail.docx", "A 30474-2026")</f>
        <v/>
      </c>
      <c r="AA39">
        <f>HYPERLINK("https://klasma.github.io/Logging_2463/tillsyn/A 30474-2026 tillsynsbegäran.docx", "A 30474-2026")</f>
        <v/>
      </c>
      <c r="AB39">
        <f>HYPERLINK("https://klasma.github.io/Logging_2463/tillsynsmail/A 30474-2026 tillsynsbegäran mail.docx", "A 30474-2026")</f>
        <v/>
      </c>
    </row>
    <row r="40" ht="15" customHeight="1">
      <c r="A40" t="inlineStr">
        <is>
          <t>S 24-2022</t>
        </is>
      </c>
      <c r="B40" t="inlineStr">
        <is>
          <t>samrådsanmälan</t>
        </is>
      </c>
      <c r="C40" t="inlineStr">
        <is>
          <t>Skogsgödsling</t>
        </is>
      </c>
      <c r="D40" s="1" t="n">
        <v>44559</v>
      </c>
      <c r="E40" s="1" t="n">
        <v>46216</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s="2" t="inlineStr">
        <is>
          <t>Plattlummer
Mattlummer
Revlummer</t>
        </is>
      </c>
      <c r="V40">
        <f>HYPERLINK("https://klasma.github.io/Logging_2463/artfynd/S 24-2022 artfynd.xlsx", "S 24-2022")</f>
        <v/>
      </c>
      <c r="W40">
        <f>HYPERLINK("https://klasma.github.io/Logging_2463/kartor/S 24-2022 karta.png", "S 24-2022")</f>
        <v/>
      </c>
      <c r="Y40">
        <f>HYPERLINK("https://klasma.github.io/Logging_2463/klagomål/S 24-2022 FSC-klagomål.docx", "S 24-2022")</f>
        <v/>
      </c>
      <c r="Z40">
        <f>HYPERLINK("https://klasma.github.io/Logging_2463/klagomålsmail/S 24-2022 FSC-klagomål mail.docx", "S 24-2022")</f>
        <v/>
      </c>
      <c r="AA40">
        <f>HYPERLINK("https://klasma.github.io/Logging_2463/tillsyn/S 24-2022 tillsynsbegäran.docx", "S 24-2022")</f>
        <v/>
      </c>
      <c r="AB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46216</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s="2" t="inlineStr">
        <is>
          <t>Gränsticka
Koralltaggsvamp</t>
        </is>
      </c>
      <c r="V41">
        <f>HYPERLINK("https://klasma.github.io/Logging_2463/artfynd/A 15081-2023 artfynd.xlsx", "A 15081-2023")</f>
        <v/>
      </c>
      <c r="W41">
        <f>HYPERLINK("https://klasma.github.io/Logging_2463/kartor/A 15081-2023 karta.png", "A 15081-2023")</f>
        <v/>
      </c>
      <c r="Y41">
        <f>HYPERLINK("https://klasma.github.io/Logging_2463/klagomål/A 15081-2023 FSC-klagomål.docx", "A 15081-2023")</f>
        <v/>
      </c>
      <c r="Z41">
        <f>HYPERLINK("https://klasma.github.io/Logging_2463/klagomålsmail/A 15081-2023 FSC-klagomål mail.docx", "A 15081-2023")</f>
        <v/>
      </c>
      <c r="AA41">
        <f>HYPERLINK("https://klasma.github.io/Logging_2463/tillsyn/A 15081-2023 tillsynsbegäran.docx", "A 15081-2023")</f>
        <v/>
      </c>
      <c r="AB41">
        <f>HYPERLINK("https://klasma.github.io/Logging_2463/tillsynsmail/A 15081-2023 tillsynsbegäran mail.docx", "A 15081-2023")</f>
        <v/>
      </c>
    </row>
    <row r="42" ht="15" customHeight="1">
      <c r="A42" t="inlineStr">
        <is>
          <t>A 46249-2025</t>
        </is>
      </c>
      <c r="B42" t="inlineStr">
        <is>
          <t>avverkningsanmälan</t>
        </is>
      </c>
      <c r="C42" t="inlineStr">
        <is>
          <t>Föryngringsavverkning</t>
        </is>
      </c>
      <c r="D42" s="1" t="n">
        <v>45925</v>
      </c>
      <c r="E42" s="1" t="n">
        <v>46216</v>
      </c>
      <c r="F42" t="inlineStr">
        <is>
          <t>VÄSTERBOTTENS LÄN</t>
        </is>
      </c>
      <c r="G42" t="inlineStr">
        <is>
          <t>ÅSELE</t>
        </is>
      </c>
      <c r="H42" t="inlineStr">
        <is>
          <t>SCA</t>
        </is>
      </c>
      <c r="I42" t="n">
        <v>16.1</v>
      </c>
      <c r="J42" t="n">
        <v>0</v>
      </c>
      <c r="K42" t="n">
        <v>0</v>
      </c>
      <c r="L42" t="n">
        <v>2</v>
      </c>
      <c r="M42" t="n">
        <v>0</v>
      </c>
      <c r="N42" t="n">
        <v>0</v>
      </c>
      <c r="O42" t="n">
        <v>0</v>
      </c>
      <c r="P42" t="n">
        <v>0</v>
      </c>
      <c r="Q42" t="n">
        <v>2</v>
      </c>
      <c r="R42" t="n">
        <v>0</v>
      </c>
      <c r="S42" t="n">
        <v>2</v>
      </c>
      <c r="T42" t="n">
        <v>3</v>
      </c>
      <c r="U42" s="2" t="inlineStr">
        <is>
          <t>Gammelgransskål
Lunglav</t>
        </is>
      </c>
      <c r="V42">
        <f>HYPERLINK("https://klasma.github.io/Logging_2463/artfynd/A 46249-2025 artfynd.xlsx", "A 46249-2025")</f>
        <v/>
      </c>
      <c r="W42">
        <f>HYPERLINK("https://klasma.github.io/Logging_2463/kartor/A 46249-2025 karta.png", "A 46249-2025")</f>
        <v/>
      </c>
      <c r="Y42">
        <f>HYPERLINK("https://klasma.github.io/Logging_2463/klagomål/A 46249-2025 FSC-klagomål.docx", "A 46249-2025")</f>
        <v/>
      </c>
      <c r="Z42">
        <f>HYPERLINK("https://klasma.github.io/Logging_2463/klagomålsmail/A 46249-2025 FSC-klagomål mail.docx", "A 46249-2025")</f>
        <v/>
      </c>
      <c r="AA42">
        <f>HYPERLINK("https://klasma.github.io/Logging_2463/tillsyn/A 46249-2025 tillsynsbegäran.docx", "A 46249-2025")</f>
        <v/>
      </c>
      <c r="AB42">
        <f>HYPERLINK("https://klasma.github.io/Logging_2463/tillsynsmail/A 46249-2025 tillsynsbegäran mail.docx", "A 46249-2025")</f>
        <v/>
      </c>
    </row>
    <row r="43" ht="15" customHeight="1">
      <c r="A43" t="inlineStr">
        <is>
          <t>A 8880-2024</t>
        </is>
      </c>
      <c r="B43" t="inlineStr">
        <is>
          <t>avverkningsanmälan</t>
        </is>
      </c>
      <c r="C43" t="inlineStr">
        <is>
          <t>Föryngringsavverkning</t>
        </is>
      </c>
      <c r="D43" s="1" t="n">
        <v>45357</v>
      </c>
      <c r="E43" s="1" t="n">
        <v>46216</v>
      </c>
      <c r="F43" t="inlineStr">
        <is>
          <t>VÄSTERBOTTENS LÄN</t>
        </is>
      </c>
      <c r="G43" t="inlineStr">
        <is>
          <t>ÅSELE</t>
        </is>
      </c>
      <c r="H43" t="inlineStr">
        <is>
          <t>SCA</t>
        </is>
      </c>
      <c r="I43" t="n">
        <v>10.8</v>
      </c>
      <c r="J43" t="n">
        <v>0</v>
      </c>
      <c r="K43" t="n">
        <v>0</v>
      </c>
      <c r="L43" t="n">
        <v>1</v>
      </c>
      <c r="M43" t="n">
        <v>1</v>
      </c>
      <c r="N43" t="n">
        <v>0</v>
      </c>
      <c r="O43" t="n">
        <v>0</v>
      </c>
      <c r="P43" t="n">
        <v>0</v>
      </c>
      <c r="Q43" t="n">
        <v>2</v>
      </c>
      <c r="R43" t="n">
        <v>1</v>
      </c>
      <c r="S43" t="n">
        <v>2</v>
      </c>
      <c r="T43" t="n">
        <v>2</v>
      </c>
      <c r="U43" s="2" t="inlineStr">
        <is>
          <t>Garnlav
Dvärgbägarlav</t>
        </is>
      </c>
      <c r="V43">
        <f>HYPERLINK("https://klasma.github.io/Logging_2463/artfynd/A 8880-2024 artfynd.xlsx", "A 8880-2024")</f>
        <v/>
      </c>
      <c r="W43">
        <f>HYPERLINK("https://klasma.github.io/Logging_2463/kartor/A 8880-2024 karta.png", "A 8880-2024")</f>
        <v/>
      </c>
      <c r="Y43">
        <f>HYPERLINK("https://klasma.github.io/Logging_2463/klagomål/A 8880-2024 FSC-klagomål.docx", "A 8880-2024")</f>
        <v/>
      </c>
      <c r="Z43">
        <f>HYPERLINK("https://klasma.github.io/Logging_2463/klagomålsmail/A 8880-2024 FSC-klagomål mail.docx", "A 8880-2024")</f>
        <v/>
      </c>
      <c r="AA43">
        <f>HYPERLINK("https://klasma.github.io/Logging_2463/tillsyn/A 8880-2024 tillsynsbegäran.docx", "A 8880-2024")</f>
        <v/>
      </c>
      <c r="AB43">
        <f>HYPERLINK("https://klasma.github.io/Logging_2463/tillsynsmail/A 8880-2024 tillsynsbegäran mail.docx", "A 8880-2024")</f>
        <v/>
      </c>
    </row>
    <row r="44" ht="15" customHeight="1">
      <c r="A44" t="inlineStr">
        <is>
          <t>A 53238-2024</t>
        </is>
      </c>
      <c r="B44" t="inlineStr">
        <is>
          <t>avverkningsanmälan</t>
        </is>
      </c>
      <c r="C44" t="inlineStr">
        <is>
          <t>Föryngringsavverkning</t>
        </is>
      </c>
      <c r="D44" s="1" t="n">
        <v>45613</v>
      </c>
      <c r="E44" s="1" t="n">
        <v>46216</v>
      </c>
      <c r="F44" t="inlineStr">
        <is>
          <t>VÄSTERBOTTENS LÄN</t>
        </is>
      </c>
      <c r="G44" t="inlineStr">
        <is>
          <t>ÅSELE</t>
        </is>
      </c>
      <c r="H44" t="inlineStr">
        <is>
          <t>Naturvårdsverket</t>
        </is>
      </c>
      <c r="I44" t="n">
        <v>1.2</v>
      </c>
      <c r="J44" t="n">
        <v>0</v>
      </c>
      <c r="K44" t="n">
        <v>0</v>
      </c>
      <c r="L44" t="n">
        <v>2</v>
      </c>
      <c r="M44" t="n">
        <v>0</v>
      </c>
      <c r="N44" t="n">
        <v>0</v>
      </c>
      <c r="O44" t="n">
        <v>0</v>
      </c>
      <c r="P44" t="n">
        <v>0</v>
      </c>
      <c r="Q44" t="n">
        <v>2</v>
      </c>
      <c r="R44" t="n">
        <v>0</v>
      </c>
      <c r="S44" t="n">
        <v>2</v>
      </c>
      <c r="T44" t="n">
        <v>3</v>
      </c>
      <c r="U44" s="2" t="inlineStr">
        <is>
          <t>Gammelgransskål
Vitgrynig nållav</t>
        </is>
      </c>
      <c r="V44">
        <f>HYPERLINK("https://klasma.github.io/Logging_2463/artfynd/A 53238-2024 artfynd.xlsx", "A 53238-2024")</f>
        <v/>
      </c>
      <c r="W44">
        <f>HYPERLINK("https://klasma.github.io/Logging_2463/kartor/A 53238-2024 karta.png", "A 53238-2024")</f>
        <v/>
      </c>
      <c r="Y44">
        <f>HYPERLINK("https://klasma.github.io/Logging_2463/klagomål/A 53238-2024 FSC-klagomål.docx", "A 53238-2024")</f>
        <v/>
      </c>
      <c r="Z44">
        <f>HYPERLINK("https://klasma.github.io/Logging_2463/klagomålsmail/A 53238-2024 FSC-klagomål mail.docx", "A 53238-2024")</f>
        <v/>
      </c>
      <c r="AA44">
        <f>HYPERLINK("https://klasma.github.io/Logging_2463/tillsyn/A 53238-2024 tillsynsbegäran.docx", "A 53238-2024")</f>
        <v/>
      </c>
      <c r="AB44">
        <f>HYPERLINK("https://klasma.github.io/Logging_2463/tillsynsmail/A 53238-2024 tillsynsbegäran mail.docx", "A 53238-2024")</f>
        <v/>
      </c>
    </row>
    <row r="45" ht="15" customHeight="1">
      <c r="A45" t="inlineStr">
        <is>
          <t>A 2761-2026</t>
        </is>
      </c>
      <c r="B45" t="inlineStr">
        <is>
          <t>avverkningsanmälan</t>
        </is>
      </c>
      <c r="C45" t="inlineStr">
        <is>
          <t>Föryngringsavverkning</t>
        </is>
      </c>
      <c r="D45" s="1" t="n">
        <v>46038</v>
      </c>
      <c r="E45" s="1" t="n">
        <v>46216</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s="2" t="inlineStr">
        <is>
          <t>Blanksvart spiklav
Tretåig hackspett</t>
        </is>
      </c>
      <c r="V45">
        <f>HYPERLINK("https://klasma.github.io/Logging_2463/artfynd/A 2761-2026 artfynd.xlsx", "A 2761-2026")</f>
        <v/>
      </c>
      <c r="W45">
        <f>HYPERLINK("https://klasma.github.io/Logging_2463/kartor/A 2761-2026 karta.png", "A 2761-2026")</f>
        <v/>
      </c>
      <c r="Y45">
        <f>HYPERLINK("https://klasma.github.io/Logging_2463/klagomål/A 2761-2026 FSC-klagomål.docx", "A 2761-2026")</f>
        <v/>
      </c>
      <c r="Z45">
        <f>HYPERLINK("https://klasma.github.io/Logging_2463/klagomålsmail/A 2761-2026 FSC-klagomål mail.docx", "A 2761-2026")</f>
        <v/>
      </c>
      <c r="AA45">
        <f>HYPERLINK("https://klasma.github.io/Logging_2463/tillsyn/A 2761-2026 tillsynsbegäran.docx", "A 2761-2026")</f>
        <v/>
      </c>
      <c r="AB45">
        <f>HYPERLINK("https://klasma.github.io/Logging_2463/tillsynsmail/A 2761-2026 tillsynsbegäran mail.docx", "A 2761-2026")</f>
        <v/>
      </c>
      <c r="AC45">
        <f>HYPERLINK("https://klasma.github.io/Logging_2463/fåglar/A 2761-2026 prioriterade fågelarter.docx", "A 2761-2026")</f>
        <v/>
      </c>
    </row>
    <row r="46" ht="15" customHeight="1">
      <c r="A46" t="inlineStr">
        <is>
          <t>A 41694-2023</t>
        </is>
      </c>
      <c r="B46" t="inlineStr">
        <is>
          <t>avverkningsanmälan</t>
        </is>
      </c>
      <c r="C46" t="inlineStr">
        <is>
          <t>Föryngringsavverkning</t>
        </is>
      </c>
      <c r="D46" s="1" t="n">
        <v>45176</v>
      </c>
      <c r="E46" s="1" t="n">
        <v>46216</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s="2" t="inlineStr">
        <is>
          <t>Gränsticka
Vitgrynig nållav</t>
        </is>
      </c>
      <c r="V46">
        <f>HYPERLINK("https://klasma.github.io/Logging_2463/artfynd/A 41694-2023 artfynd.xlsx", "A 41694-2023")</f>
        <v/>
      </c>
      <c r="W46">
        <f>HYPERLINK("https://klasma.github.io/Logging_2463/kartor/A 41694-2023 karta.png", "A 41694-2023")</f>
        <v/>
      </c>
      <c r="Y46">
        <f>HYPERLINK("https://klasma.github.io/Logging_2463/klagomål/A 41694-2023 FSC-klagomål.docx", "A 41694-2023")</f>
        <v/>
      </c>
      <c r="Z46">
        <f>HYPERLINK("https://klasma.github.io/Logging_2463/klagomålsmail/A 41694-2023 FSC-klagomål mail.docx", "A 41694-2023")</f>
        <v/>
      </c>
      <c r="AA46">
        <f>HYPERLINK("https://klasma.github.io/Logging_2463/tillsyn/A 41694-2023 tillsynsbegäran.docx", "A 41694-2023")</f>
        <v/>
      </c>
      <c r="AB46">
        <f>HYPERLINK("https://klasma.github.io/Logging_2463/tillsynsmail/A 41694-2023 tillsynsbegäran mail.docx", "A 41694-2023")</f>
        <v/>
      </c>
    </row>
    <row r="47" ht="15" customHeight="1">
      <c r="A47" t="inlineStr">
        <is>
          <t>A 50420-2024</t>
        </is>
      </c>
      <c r="B47" t="inlineStr">
        <is>
          <t>avverkningsanmälan</t>
        </is>
      </c>
      <c r="C47" t="inlineStr">
        <is>
          <t>Föryngringsavverkning</t>
        </is>
      </c>
      <c r="D47" s="1" t="n">
        <v>45601</v>
      </c>
      <c r="E47" s="1" t="n">
        <v>46216</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s="2" t="inlineStr">
        <is>
          <t>Sprickporing
Skör kvastmossa</t>
        </is>
      </c>
      <c r="V47">
        <f>HYPERLINK("https://klasma.github.io/Logging_2463/artfynd/A 50420-2024 artfynd.xlsx", "A 50420-2024")</f>
        <v/>
      </c>
      <c r="W47">
        <f>HYPERLINK("https://klasma.github.io/Logging_2463/kartor/A 50420-2024 karta.png", "A 50420-2024")</f>
        <v/>
      </c>
      <c r="Y47">
        <f>HYPERLINK("https://klasma.github.io/Logging_2463/klagomål/A 50420-2024 FSC-klagomål.docx", "A 50420-2024")</f>
        <v/>
      </c>
      <c r="Z47">
        <f>HYPERLINK("https://klasma.github.io/Logging_2463/klagomålsmail/A 50420-2024 FSC-klagomål mail.docx", "A 50420-2024")</f>
        <v/>
      </c>
      <c r="AA47">
        <f>HYPERLINK("https://klasma.github.io/Logging_2463/tillsyn/A 50420-2024 tillsynsbegäran.docx", "A 50420-2024")</f>
        <v/>
      </c>
      <c r="AB47">
        <f>HYPERLINK("https://klasma.github.io/Logging_2463/tillsynsmail/A 50420-2024 tillsynsbegäran mail.docx", "A 50420-2024")</f>
        <v/>
      </c>
    </row>
    <row r="48" ht="15" customHeight="1">
      <c r="A48" t="inlineStr">
        <is>
          <t>A 53682-2025</t>
        </is>
      </c>
      <c r="B48" t="inlineStr">
        <is>
          <t>avverkningsanmälan</t>
        </is>
      </c>
      <c r="C48" t="inlineStr">
        <is>
          <t>Föryngringsavverkning</t>
        </is>
      </c>
      <c r="D48" s="1" t="n">
        <v>45960</v>
      </c>
      <c r="E48" s="1" t="n">
        <v>46216</v>
      </c>
      <c r="F48" t="inlineStr">
        <is>
          <t>VÄSTERBOTTENS LÄN</t>
        </is>
      </c>
      <c r="G48" t="inlineStr">
        <is>
          <t>ÅSELE</t>
        </is>
      </c>
      <c r="H48" t="inlineStr">
        <is>
          <t>SCA</t>
        </is>
      </c>
      <c r="I48" t="n">
        <v>10.2</v>
      </c>
      <c r="J48" t="n">
        <v>0</v>
      </c>
      <c r="K48" t="n">
        <v>0</v>
      </c>
      <c r="L48" t="n">
        <v>2</v>
      </c>
      <c r="M48" t="n">
        <v>0</v>
      </c>
      <c r="N48" t="n">
        <v>0</v>
      </c>
      <c r="O48" t="n">
        <v>0</v>
      </c>
      <c r="P48" t="n">
        <v>0</v>
      </c>
      <c r="Q48" t="n">
        <v>2</v>
      </c>
      <c r="R48" t="n">
        <v>0</v>
      </c>
      <c r="S48" t="n">
        <v>2</v>
      </c>
      <c r="T48" t="n">
        <v>2</v>
      </c>
      <c r="U48" s="2" t="inlineStr">
        <is>
          <t>Vedflamlav
Vedskivlav</t>
        </is>
      </c>
      <c r="V48">
        <f>HYPERLINK("https://klasma.github.io/Logging_2463/artfynd/A 53682-2025 artfynd.xlsx", "A 53682-2025")</f>
        <v/>
      </c>
      <c r="W48">
        <f>HYPERLINK("https://klasma.github.io/Logging_2463/kartor/A 53682-2025 karta.png", "A 53682-2025")</f>
        <v/>
      </c>
      <c r="Y48">
        <f>HYPERLINK("https://klasma.github.io/Logging_2463/klagomål/A 53682-2025 FSC-klagomål.docx", "A 53682-2025")</f>
        <v/>
      </c>
      <c r="Z48">
        <f>HYPERLINK("https://klasma.github.io/Logging_2463/klagomålsmail/A 53682-2025 FSC-klagomål mail.docx", "A 53682-2025")</f>
        <v/>
      </c>
      <c r="AA48">
        <f>HYPERLINK("https://klasma.github.io/Logging_2463/tillsyn/A 53682-2025 tillsynsbegäran.docx", "A 53682-2025")</f>
        <v/>
      </c>
      <c r="AB48">
        <f>HYPERLINK("https://klasma.github.io/Logging_2463/tillsynsmail/A 53682-2025 tillsynsbegäran mail.docx", "A 53682-2025")</f>
        <v/>
      </c>
    </row>
    <row r="49" ht="15" customHeight="1">
      <c r="A49" t="inlineStr">
        <is>
          <t>A 21107-2023</t>
        </is>
      </c>
      <c r="B49" t="inlineStr">
        <is>
          <t>avverkningsanmälan</t>
        </is>
      </c>
      <c r="C49" t="inlineStr">
        <is>
          <t>Avverkning för att bevara och utveckla /försöksver</t>
        </is>
      </c>
      <c r="D49" s="1" t="n">
        <v>45061</v>
      </c>
      <c r="E49" s="1" t="n">
        <v>46216</v>
      </c>
      <c r="F49" t="inlineStr">
        <is>
          <t>VÄSTERBOTTENS LÄN</t>
        </is>
      </c>
      <c r="G49" t="inlineStr">
        <is>
          <t>ÅSELE</t>
        </is>
      </c>
      <c r="H49" t="inlineStr">
        <is>
          <t>SCA</t>
        </is>
      </c>
      <c r="I49" t="n">
        <v>1.9</v>
      </c>
      <c r="J49" t="n">
        <v>1</v>
      </c>
      <c r="K49" t="n">
        <v>0</v>
      </c>
      <c r="L49" t="n">
        <v>0</v>
      </c>
      <c r="M49" t="n">
        <v>2</v>
      </c>
      <c r="N49" t="n">
        <v>0</v>
      </c>
      <c r="O49" t="n">
        <v>0</v>
      </c>
      <c r="P49" t="n">
        <v>0</v>
      </c>
      <c r="Q49" t="n">
        <v>2</v>
      </c>
      <c r="R49" t="n">
        <v>2</v>
      </c>
      <c r="S49" t="n">
        <v>2</v>
      </c>
      <c r="T49" t="n">
        <v>4</v>
      </c>
      <c r="U49" s="2" t="inlineStr">
        <is>
          <t>Garnlav
Knärot</t>
        </is>
      </c>
      <c r="V49">
        <f>HYPERLINK("https://klasma.github.io/Logging_2463/artfynd/A 21107-2023 artfynd.xlsx", "A 21107-2023")</f>
        <v/>
      </c>
      <c r="W49">
        <f>HYPERLINK("https://klasma.github.io/Logging_2463/kartor/A 21107-2023 karta.png", "A 21107-2023")</f>
        <v/>
      </c>
      <c r="X49">
        <f>HYPERLINK("https://klasma.github.io/Logging_2463/knärot/A 21107-2023 karta knärot.png", "A 21107-2023")</f>
        <v/>
      </c>
      <c r="Y49">
        <f>HYPERLINK("https://klasma.github.io/Logging_2463/klagomål/A 21107-2023 FSC-klagomål.docx", "A 21107-2023")</f>
        <v/>
      </c>
      <c r="Z49">
        <f>HYPERLINK("https://klasma.github.io/Logging_2463/klagomålsmail/A 21107-2023 FSC-klagomål mail.docx", "A 21107-2023")</f>
        <v/>
      </c>
      <c r="AA49">
        <f>HYPERLINK("https://klasma.github.io/Logging_2463/tillsyn/A 21107-2023 tillsynsbegäran.docx", "A 21107-2023")</f>
        <v/>
      </c>
      <c r="AB49">
        <f>HYPERLINK("https://klasma.github.io/Logging_2463/tillsynsmail/A 21107-2023 tillsynsbegäran mail.docx", "A 21107-2023")</f>
        <v/>
      </c>
    </row>
    <row r="50" ht="15" customHeight="1">
      <c r="A50" t="inlineStr">
        <is>
          <t>A 42132-2024</t>
        </is>
      </c>
      <c r="B50" t="inlineStr">
        <is>
          <t>avverkningsanmälan</t>
        </is>
      </c>
      <c r="C50" t="inlineStr">
        <is>
          <t>Föryngringsavverkning</t>
        </is>
      </c>
      <c r="D50" s="1" t="n">
        <v>45562</v>
      </c>
      <c r="E50" s="1" t="n">
        <v>46216</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s="2" t="inlineStr">
        <is>
          <t>Kolflarnlav
Nordtagging</t>
        </is>
      </c>
      <c r="V50">
        <f>HYPERLINK("https://klasma.github.io/Logging_2463/artfynd/A 42132-2024 artfynd.xlsx", "A 42132-2024")</f>
        <v/>
      </c>
      <c r="W50">
        <f>HYPERLINK("https://klasma.github.io/Logging_2463/kartor/A 42132-2024 karta.png", "A 42132-2024")</f>
        <v/>
      </c>
      <c r="Y50">
        <f>HYPERLINK("https://klasma.github.io/Logging_2463/klagomål/A 42132-2024 FSC-klagomål.docx", "A 42132-2024")</f>
        <v/>
      </c>
      <c r="Z50">
        <f>HYPERLINK("https://klasma.github.io/Logging_2463/klagomålsmail/A 42132-2024 FSC-klagomål mail.docx", "A 42132-2024")</f>
        <v/>
      </c>
      <c r="AA50">
        <f>HYPERLINK("https://klasma.github.io/Logging_2463/tillsyn/A 42132-2024 tillsynsbegäran.docx", "A 42132-2024")</f>
        <v/>
      </c>
      <c r="AB50">
        <f>HYPERLINK("https://klasma.github.io/Logging_2463/tillsynsmail/A 42132-2024 tillsynsbegäran mail.docx", "A 42132-2024")</f>
        <v/>
      </c>
    </row>
    <row r="51" ht="15" customHeight="1">
      <c r="A51" t="inlineStr">
        <is>
          <t>A 64497-2023</t>
        </is>
      </c>
      <c r="B51" t="inlineStr">
        <is>
          <t>avverkningsanmälan</t>
        </is>
      </c>
      <c r="C51" t="inlineStr">
        <is>
          <t>Avverkning för att bevara och utveckla /försöksver</t>
        </is>
      </c>
      <c r="D51" s="1" t="n">
        <v>45280</v>
      </c>
      <c r="E51" s="1" t="n">
        <v>46216</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s="2" t="inlineStr">
        <is>
          <t>Harticka
Ullticka</t>
        </is>
      </c>
      <c r="V51">
        <f>HYPERLINK("https://klasma.github.io/Logging_2463/artfynd/A 64497-2023 artfynd.xlsx", "A 64497-2023")</f>
        <v/>
      </c>
      <c r="W51">
        <f>HYPERLINK("https://klasma.github.io/Logging_2463/kartor/A 64497-2023 karta.png", "A 64497-2023")</f>
        <v/>
      </c>
      <c r="Y51">
        <f>HYPERLINK("https://klasma.github.io/Logging_2463/klagomål/A 64497-2023 FSC-klagomål.docx", "A 64497-2023")</f>
        <v/>
      </c>
      <c r="Z51">
        <f>HYPERLINK("https://klasma.github.io/Logging_2463/klagomålsmail/A 64497-2023 FSC-klagomål mail.docx", "A 64497-2023")</f>
        <v/>
      </c>
      <c r="AA51">
        <f>HYPERLINK("https://klasma.github.io/Logging_2463/tillsyn/A 64497-2023 tillsynsbegäran.docx", "A 64497-2023")</f>
        <v/>
      </c>
      <c r="AB51">
        <f>HYPERLINK("https://klasma.github.io/Logging_2463/tillsynsmail/A 64497-2023 tillsynsbegäran mail.docx", "A 64497-2023")</f>
        <v/>
      </c>
    </row>
    <row r="52" ht="15" customHeight="1">
      <c r="A52" t="inlineStr">
        <is>
          <t>A 25712-2024</t>
        </is>
      </c>
      <c r="B52" t="inlineStr">
        <is>
          <t>avverkningsanmälan</t>
        </is>
      </c>
      <c r="C52" t="inlineStr">
        <is>
          <t>Föryngringsavverkning</t>
        </is>
      </c>
      <c r="D52" s="1" t="n">
        <v>45463</v>
      </c>
      <c r="E52" s="1" t="n">
        <v>46216</v>
      </c>
      <c r="F52" t="inlineStr">
        <is>
          <t>VÄSTERBOTTENS LÄN</t>
        </is>
      </c>
      <c r="G52" t="inlineStr">
        <is>
          <t>ÅSELE</t>
        </is>
      </c>
      <c r="H52" t="inlineStr">
        <is>
          <t>SCA</t>
        </is>
      </c>
      <c r="I52" t="n">
        <v>3.3</v>
      </c>
      <c r="J52" t="n">
        <v>0</v>
      </c>
      <c r="K52" t="n">
        <v>1</v>
      </c>
      <c r="L52" t="n">
        <v>1</v>
      </c>
      <c r="M52" t="n">
        <v>0</v>
      </c>
      <c r="N52" t="n">
        <v>0</v>
      </c>
      <c r="O52" t="n">
        <v>0</v>
      </c>
      <c r="P52" t="n">
        <v>0</v>
      </c>
      <c r="Q52" t="n">
        <v>1</v>
      </c>
      <c r="R52" t="n">
        <v>0</v>
      </c>
      <c r="S52" t="n">
        <v>2</v>
      </c>
      <c r="T52" t="n">
        <v>2</v>
      </c>
      <c r="U52" s="2" t="inlineStr">
        <is>
          <t>Lunglav
Stuplav</t>
        </is>
      </c>
      <c r="V52">
        <f>HYPERLINK("https://klasma.github.io/Logging_2463/artfynd/A 25712-2024 artfynd.xlsx", "A 25712-2024")</f>
        <v/>
      </c>
      <c r="W52">
        <f>HYPERLINK("https://klasma.github.io/Logging_2463/kartor/A 25712-2024 karta.png", "A 25712-2024")</f>
        <v/>
      </c>
      <c r="Y52">
        <f>HYPERLINK("https://klasma.github.io/Logging_2463/klagomål/A 25712-2024 FSC-klagomål.docx", "A 25712-2024")</f>
        <v/>
      </c>
      <c r="Z52">
        <f>HYPERLINK("https://klasma.github.io/Logging_2463/klagomålsmail/A 25712-2024 FSC-klagomål mail.docx", "A 25712-2024")</f>
        <v/>
      </c>
      <c r="AA52">
        <f>HYPERLINK("https://klasma.github.io/Logging_2463/tillsyn/A 25712-2024 tillsynsbegäran.docx", "A 25712-2024")</f>
        <v/>
      </c>
      <c r="AB52">
        <f>HYPERLINK("https://klasma.github.io/Logging_2463/tillsynsmail/A 25712-2024 tillsynsbegäran mail.docx", "A 25712-2024")</f>
        <v/>
      </c>
    </row>
    <row r="53" ht="15" customHeight="1">
      <c r="A53" t="inlineStr">
        <is>
          <t>A 1733-2025</t>
        </is>
      </c>
      <c r="B53" t="inlineStr">
        <is>
          <t>avverkningsanmälan</t>
        </is>
      </c>
      <c r="C53" t="inlineStr">
        <is>
          <t>Föryngringsavverkning</t>
        </is>
      </c>
      <c r="D53" s="1" t="n">
        <v>45671</v>
      </c>
      <c r="E53" s="1" t="n">
        <v>46216</v>
      </c>
      <c r="F53" t="inlineStr">
        <is>
          <t>VÄSTERBOTTENS LÄN</t>
        </is>
      </c>
      <c r="G53" t="inlineStr">
        <is>
          <t>ÅSELE</t>
        </is>
      </c>
      <c r="H53" t="inlineStr">
        <is>
          <t>Sveaskog</t>
        </is>
      </c>
      <c r="I53" t="n">
        <v>18.2</v>
      </c>
      <c r="J53" t="n">
        <v>0</v>
      </c>
      <c r="K53" t="n">
        <v>2</v>
      </c>
      <c r="L53" t="n">
        <v>0</v>
      </c>
      <c r="M53" t="n">
        <v>0</v>
      </c>
      <c r="N53" t="n">
        <v>0</v>
      </c>
      <c r="O53" t="n">
        <v>0</v>
      </c>
      <c r="P53" t="n">
        <v>0</v>
      </c>
      <c r="Q53" t="n">
        <v>0</v>
      </c>
      <c r="R53" t="n">
        <v>0</v>
      </c>
      <c r="S53" t="n">
        <v>2</v>
      </c>
      <c r="T53" t="n">
        <v>2</v>
      </c>
      <c r="U53" s="2" t="inlineStr">
        <is>
          <t>Skruvkällmossa
Stor aspticka</t>
        </is>
      </c>
      <c r="V53">
        <f>HYPERLINK("https://klasma.github.io/Logging_2463/artfynd/A 1733-2025 artfynd.xlsx", "A 1733-2025")</f>
        <v/>
      </c>
      <c r="W53">
        <f>HYPERLINK("https://klasma.github.io/Logging_2463/kartor/A 1733-2025 karta.png", "A 1733-2025")</f>
        <v/>
      </c>
      <c r="Y53">
        <f>HYPERLINK("https://klasma.github.io/Logging_2463/klagomål/A 1733-2025 FSC-klagomål.docx", "A 1733-2025")</f>
        <v/>
      </c>
      <c r="Z53">
        <f>HYPERLINK("https://klasma.github.io/Logging_2463/klagomålsmail/A 1733-2025 FSC-klagomål mail.docx", "A 1733-2025")</f>
        <v/>
      </c>
      <c r="AA53">
        <f>HYPERLINK("https://klasma.github.io/Logging_2463/tillsyn/A 1733-2025 tillsynsbegäran.docx", "A 1733-2025")</f>
        <v/>
      </c>
      <c r="AB53">
        <f>HYPERLINK("https://klasma.github.io/Logging_2463/tillsynsmail/A 1733-2025 tillsynsbegäran mail.docx", "A 1733-2025")</f>
        <v/>
      </c>
    </row>
    <row r="54" ht="15" customHeight="1">
      <c r="A54" t="inlineStr">
        <is>
          <t>A 27247-2026</t>
        </is>
      </c>
      <c r="B54" t="inlineStr">
        <is>
          <t>avverkningsanmälan</t>
        </is>
      </c>
      <c r="C54" t="inlineStr">
        <is>
          <t>Föryngringsavverkning</t>
        </is>
      </c>
      <c r="D54" s="1" t="n">
        <v>46188</v>
      </c>
      <c r="E54" s="1" t="n">
        <v>46216</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s="2" t="inlineStr">
        <is>
          <t>Garnlav
Tretåig hackspett</t>
        </is>
      </c>
      <c r="V54">
        <f>HYPERLINK("https://klasma.github.io/Logging_2463/artfynd/A 27247-2026 artfynd.xlsx", "A 27247-2026")</f>
        <v/>
      </c>
      <c r="W54">
        <f>HYPERLINK("https://klasma.github.io/Logging_2463/kartor/A 27247-2026 karta.png", "A 27247-2026")</f>
        <v/>
      </c>
      <c r="Y54">
        <f>HYPERLINK("https://klasma.github.io/Logging_2463/klagomål/A 27247-2026 FSC-klagomål.docx", "A 27247-2026")</f>
        <v/>
      </c>
      <c r="Z54">
        <f>HYPERLINK("https://klasma.github.io/Logging_2463/klagomålsmail/A 27247-2026 FSC-klagomål mail.docx", "A 27247-2026")</f>
        <v/>
      </c>
      <c r="AA54">
        <f>HYPERLINK("https://klasma.github.io/Logging_2463/tillsyn/A 27247-2026 tillsynsbegäran.docx", "A 27247-2026")</f>
        <v/>
      </c>
      <c r="AB54">
        <f>HYPERLINK("https://klasma.github.io/Logging_2463/tillsynsmail/A 27247-2026 tillsynsbegäran mail.docx", "A 27247-2026")</f>
        <v/>
      </c>
      <c r="AC54">
        <f>HYPERLINK("https://klasma.github.io/Logging_2463/fåglar/A 27247-2026 prioriterade fågelarter.docx", "A 27247-2026")</f>
        <v/>
      </c>
    </row>
    <row r="55" ht="15" customHeight="1">
      <c r="A55" t="inlineStr">
        <is>
          <t>A 20617-2024</t>
        </is>
      </c>
      <c r="B55" t="inlineStr">
        <is>
          <t>avverkningsanmälan</t>
        </is>
      </c>
      <c r="C55" t="inlineStr">
        <is>
          <t>Föryngringsavverkning</t>
        </is>
      </c>
      <c r="D55" s="1" t="n">
        <v>45436</v>
      </c>
      <c r="E55" s="1" t="n">
        <v>46216</v>
      </c>
      <c r="F55" t="inlineStr">
        <is>
          <t>VÄSTERBOTTENS LÄN</t>
        </is>
      </c>
      <c r="G55" t="inlineStr">
        <is>
          <t>ÅSELE</t>
        </is>
      </c>
      <c r="H55" t="inlineStr">
        <is>
          <t>Holmen skog AB</t>
        </is>
      </c>
      <c r="I55" t="n">
        <v>2.6</v>
      </c>
      <c r="J55" t="n">
        <v>0</v>
      </c>
      <c r="K55" t="n">
        <v>0</v>
      </c>
      <c r="L55" t="n">
        <v>1</v>
      </c>
      <c r="M55" t="n">
        <v>1</v>
      </c>
      <c r="N55" t="n">
        <v>0</v>
      </c>
      <c r="O55" t="n">
        <v>0</v>
      </c>
      <c r="P55" t="n">
        <v>0</v>
      </c>
      <c r="Q55" t="n">
        <v>2</v>
      </c>
      <c r="R55" t="n">
        <v>1</v>
      </c>
      <c r="S55" t="n">
        <v>2</v>
      </c>
      <c r="T55" t="n">
        <v>3</v>
      </c>
      <c r="U55" s="2" t="inlineStr">
        <is>
          <t>Garnlav
Gammelgransskål</t>
        </is>
      </c>
      <c r="V55">
        <f>HYPERLINK("https://klasma.github.io/Logging_2463/artfynd/A 20617-2024 artfynd.xlsx", "A 20617-2024")</f>
        <v/>
      </c>
      <c r="W55">
        <f>HYPERLINK("https://klasma.github.io/Logging_2463/kartor/A 20617-2024 karta.png", "A 20617-2024")</f>
        <v/>
      </c>
      <c r="Y55">
        <f>HYPERLINK("https://klasma.github.io/Logging_2463/klagomål/A 20617-2024 FSC-klagomål.docx", "A 20617-2024")</f>
        <v/>
      </c>
      <c r="Z55">
        <f>HYPERLINK("https://klasma.github.io/Logging_2463/klagomålsmail/A 20617-2024 FSC-klagomål mail.docx", "A 20617-2024")</f>
        <v/>
      </c>
      <c r="AA55">
        <f>HYPERLINK("https://klasma.github.io/Logging_2463/tillsyn/A 20617-2024 tillsynsbegäran.docx", "A 20617-2024")</f>
        <v/>
      </c>
      <c r="AB55">
        <f>HYPERLINK("https://klasma.github.io/Logging_2463/tillsynsmail/A 20617-2024 tillsynsbegäran mail.docx", "A 20617-2024")</f>
        <v/>
      </c>
    </row>
    <row r="56" ht="15" customHeight="1">
      <c r="A56" t="inlineStr">
        <is>
          <t>A 40328-2022</t>
        </is>
      </c>
      <c r="B56" t="inlineStr">
        <is>
          <t>avverkningsanmälan</t>
        </is>
      </c>
      <c r="C56" t="inlineStr">
        <is>
          <t>Föryngringsavverkning</t>
        </is>
      </c>
      <c r="D56" s="1" t="n">
        <v>44823</v>
      </c>
      <c r="E56" s="1" t="n">
        <v>46216</v>
      </c>
      <c r="F56" t="inlineStr">
        <is>
          <t>VÄSTERBOTTENS LÄN</t>
        </is>
      </c>
      <c r="G56" t="inlineStr">
        <is>
          <t>ÅSELE</t>
        </is>
      </c>
      <c r="I56" t="n">
        <v>5</v>
      </c>
      <c r="J56" t="n">
        <v>1</v>
      </c>
      <c r="K56" t="n">
        <v>0</v>
      </c>
      <c r="L56" t="n">
        <v>0</v>
      </c>
      <c r="M56" t="n">
        <v>0</v>
      </c>
      <c r="N56" t="n">
        <v>0</v>
      </c>
      <c r="O56" t="n">
        <v>0</v>
      </c>
      <c r="P56" t="n">
        <v>0</v>
      </c>
      <c r="Q56" t="n">
        <v>0</v>
      </c>
      <c r="R56" t="n">
        <v>0</v>
      </c>
      <c r="S56" t="n">
        <v>1</v>
      </c>
      <c r="T56" t="n">
        <v>1</v>
      </c>
      <c r="U56" s="2" t="inlineStr">
        <is>
          <t>Utter</t>
        </is>
      </c>
      <c r="V56">
        <f>HYPERLINK("https://klasma.github.io/Logging_2463/artfynd/A 40328-2022 artfynd.xlsx", "A 40328-2022")</f>
        <v/>
      </c>
      <c r="W56">
        <f>HYPERLINK("https://klasma.github.io/Logging_2463/kartor/A 40328-2022 karta.png", "A 40328-2022")</f>
        <v/>
      </c>
      <c r="Y56">
        <f>HYPERLINK("https://klasma.github.io/Logging_2463/klagomål/A 40328-2022 FSC-klagomål.docx", "A 40328-2022")</f>
        <v/>
      </c>
      <c r="Z56">
        <f>HYPERLINK("https://klasma.github.io/Logging_2463/klagomålsmail/A 40328-2022 FSC-klagomål mail.docx", "A 40328-2022")</f>
        <v/>
      </c>
      <c r="AA56">
        <f>HYPERLINK("https://klasma.github.io/Logging_2463/tillsyn/A 40328-2022 tillsynsbegäran.docx", "A 40328-2022")</f>
        <v/>
      </c>
      <c r="AB56">
        <f>HYPERLINK("https://klasma.github.io/Logging_2463/tillsynsmail/A 40328-2022 tillsynsbegäran mail.docx", "A 40328-2022")</f>
        <v/>
      </c>
    </row>
    <row r="57" ht="15" customHeight="1">
      <c r="A57" t="inlineStr">
        <is>
          <t>A 27106-2025</t>
        </is>
      </c>
      <c r="B57" t="inlineStr">
        <is>
          <t>avverkningsanmälan</t>
        </is>
      </c>
      <c r="C57" t="inlineStr">
        <is>
          <t>Föryngringsavverkning</t>
        </is>
      </c>
      <c r="D57" s="1" t="n">
        <v>45811</v>
      </c>
      <c r="E57" s="1" t="n">
        <v>46216</v>
      </c>
      <c r="F57" t="inlineStr">
        <is>
          <t>VÄSTERBOTTENS LÄN</t>
        </is>
      </c>
      <c r="G57" t="inlineStr">
        <is>
          <t>ÅSELE</t>
        </is>
      </c>
      <c r="H57" t="inlineStr">
        <is>
          <t>SCA</t>
        </is>
      </c>
      <c r="I57" t="n">
        <v>8.300000000000001</v>
      </c>
      <c r="J57" t="n">
        <v>0</v>
      </c>
      <c r="K57" t="n">
        <v>0</v>
      </c>
      <c r="L57" t="n">
        <v>1</v>
      </c>
      <c r="M57" t="n">
        <v>0</v>
      </c>
      <c r="N57" t="n">
        <v>0</v>
      </c>
      <c r="O57" t="n">
        <v>0</v>
      </c>
      <c r="P57" t="n">
        <v>0</v>
      </c>
      <c r="Q57" t="n">
        <v>1</v>
      </c>
      <c r="R57" t="n">
        <v>0</v>
      </c>
      <c r="S57" t="n">
        <v>1</v>
      </c>
      <c r="T57" t="n">
        <v>1</v>
      </c>
      <c r="U57" s="2" t="inlineStr">
        <is>
          <t>Tallticka</t>
        </is>
      </c>
      <c r="V57">
        <f>HYPERLINK("https://klasma.github.io/Logging_2463/artfynd/A 27106-2025 artfynd.xlsx", "A 27106-2025")</f>
        <v/>
      </c>
      <c r="W57">
        <f>HYPERLINK("https://klasma.github.io/Logging_2463/kartor/A 27106-2025 karta.png", "A 27106-2025")</f>
        <v/>
      </c>
      <c r="Y57">
        <f>HYPERLINK("https://klasma.github.io/Logging_2463/klagomål/A 27106-2025 FSC-klagomål.docx", "A 27106-2025")</f>
        <v/>
      </c>
      <c r="Z57">
        <f>HYPERLINK("https://klasma.github.io/Logging_2463/klagomålsmail/A 27106-2025 FSC-klagomål mail.docx", "A 27106-2025")</f>
        <v/>
      </c>
      <c r="AA57">
        <f>HYPERLINK("https://klasma.github.io/Logging_2463/tillsyn/A 27106-2025 tillsynsbegäran.docx", "A 27106-2025")</f>
        <v/>
      </c>
      <c r="AB57">
        <f>HYPERLINK("https://klasma.github.io/Logging_2463/tillsynsmail/A 27106-2025 tillsynsbegäran mail.docx", "A 27106-2025")</f>
        <v/>
      </c>
    </row>
    <row r="58" ht="15" customHeight="1">
      <c r="A58" t="inlineStr">
        <is>
          <t>A 41018-2025</t>
        </is>
      </c>
      <c r="B58" t="inlineStr">
        <is>
          <t>avverkningsanmälan</t>
        </is>
      </c>
      <c r="C58" t="inlineStr">
        <is>
          <t>Föryngringsavverkning</t>
        </is>
      </c>
      <c r="D58" s="1" t="n">
        <v>45898</v>
      </c>
      <c r="E58" s="1" t="n">
        <v>46216</v>
      </c>
      <c r="F58" t="inlineStr">
        <is>
          <t>VÄSTERBOTTENS LÄN</t>
        </is>
      </c>
      <c r="G58" t="inlineStr">
        <is>
          <t>ÅSELE</t>
        </is>
      </c>
      <c r="H58" t="inlineStr">
        <is>
          <t>SCA</t>
        </is>
      </c>
      <c r="I58" t="n">
        <v>13.4</v>
      </c>
      <c r="J58" t="n">
        <v>0</v>
      </c>
      <c r="K58" t="n">
        <v>0</v>
      </c>
      <c r="L58" t="n">
        <v>1</v>
      </c>
      <c r="M58" t="n">
        <v>0</v>
      </c>
      <c r="N58" t="n">
        <v>0</v>
      </c>
      <c r="O58" t="n">
        <v>0</v>
      </c>
      <c r="P58" t="n">
        <v>0</v>
      </c>
      <c r="Q58" t="n">
        <v>1</v>
      </c>
      <c r="R58" t="n">
        <v>0</v>
      </c>
      <c r="S58" t="n">
        <v>1</v>
      </c>
      <c r="T58" t="n">
        <v>2</v>
      </c>
      <c r="U58" s="2" t="inlineStr">
        <is>
          <t>Ullticka</t>
        </is>
      </c>
      <c r="V58">
        <f>HYPERLINK("https://klasma.github.io/Logging_2463/artfynd/A 41018-2025 artfynd.xlsx", "A 41018-2025")</f>
        <v/>
      </c>
      <c r="W58">
        <f>HYPERLINK("https://klasma.github.io/Logging_2463/kartor/A 41018-2025 karta.png", "A 41018-2025")</f>
        <v/>
      </c>
      <c r="Y58">
        <f>HYPERLINK("https://klasma.github.io/Logging_2463/klagomål/A 41018-2025 FSC-klagomål.docx", "A 41018-2025")</f>
        <v/>
      </c>
      <c r="Z58">
        <f>HYPERLINK("https://klasma.github.io/Logging_2463/klagomålsmail/A 41018-2025 FSC-klagomål mail.docx", "A 41018-2025")</f>
        <v/>
      </c>
      <c r="AA58">
        <f>HYPERLINK("https://klasma.github.io/Logging_2463/tillsyn/A 41018-2025 tillsynsbegäran.docx", "A 41018-2025")</f>
        <v/>
      </c>
      <c r="AB58">
        <f>HYPERLINK("https://klasma.github.io/Logging_2463/tillsynsmail/A 41018-2025 tillsynsbegäran mail.docx", "A 41018-2025")</f>
        <v/>
      </c>
    </row>
    <row r="59" ht="15" customHeight="1">
      <c r="A59" t="inlineStr">
        <is>
          <t>A 29850-2025</t>
        </is>
      </c>
      <c r="B59" t="inlineStr">
        <is>
          <t>avverkningsanmälan</t>
        </is>
      </c>
      <c r="C59" t="inlineStr">
        <is>
          <t>Föryngringsavverkning</t>
        </is>
      </c>
      <c r="D59" s="1" t="n">
        <v>45826</v>
      </c>
      <c r="E59" s="1" t="n">
        <v>46216</v>
      </c>
      <c r="F59" t="inlineStr">
        <is>
          <t>VÄSTERBOTTENS LÄN</t>
        </is>
      </c>
      <c r="G59" t="inlineStr">
        <is>
          <t>ÅSELE</t>
        </is>
      </c>
      <c r="H59" t="inlineStr">
        <is>
          <t>Sveaskog</t>
        </is>
      </c>
      <c r="I59" t="n">
        <v>7.1</v>
      </c>
      <c r="J59" t="n">
        <v>0</v>
      </c>
      <c r="K59" t="n">
        <v>0</v>
      </c>
      <c r="L59" t="n">
        <v>1</v>
      </c>
      <c r="M59" t="n">
        <v>0</v>
      </c>
      <c r="N59" t="n">
        <v>0</v>
      </c>
      <c r="O59" t="n">
        <v>0</v>
      </c>
      <c r="P59" t="n">
        <v>0</v>
      </c>
      <c r="Q59" t="n">
        <v>1</v>
      </c>
      <c r="R59" t="n">
        <v>0</v>
      </c>
      <c r="S59" t="n">
        <v>1</v>
      </c>
      <c r="T59" t="n">
        <v>1</v>
      </c>
      <c r="U59" s="2" t="inlineStr">
        <is>
          <t>Lunglav</t>
        </is>
      </c>
      <c r="V59">
        <f>HYPERLINK("https://klasma.github.io/Logging_2463/artfynd/A 29850-2025 artfynd.xlsx", "A 29850-2025")</f>
        <v/>
      </c>
      <c r="W59">
        <f>HYPERLINK("https://klasma.github.io/Logging_2463/kartor/A 29850-2025 karta.png", "A 29850-2025")</f>
        <v/>
      </c>
      <c r="Y59">
        <f>HYPERLINK("https://klasma.github.io/Logging_2463/klagomål/A 29850-2025 FSC-klagomål.docx", "A 29850-2025")</f>
        <v/>
      </c>
      <c r="Z59">
        <f>HYPERLINK("https://klasma.github.io/Logging_2463/klagomålsmail/A 29850-2025 FSC-klagomål mail.docx", "A 29850-2025")</f>
        <v/>
      </c>
      <c r="AA59">
        <f>HYPERLINK("https://klasma.github.io/Logging_2463/tillsyn/A 29850-2025 tillsynsbegäran.docx", "A 29850-2025")</f>
        <v/>
      </c>
      <c r="AB59">
        <f>HYPERLINK("https://klasma.github.io/Logging_2463/tillsynsmail/A 29850-2025 tillsynsbegäran mail.docx", "A 29850-2025")</f>
        <v/>
      </c>
    </row>
    <row r="60" ht="15" customHeight="1">
      <c r="A60" t="inlineStr">
        <is>
          <t>A 32976-2025</t>
        </is>
      </c>
      <c r="B60" t="inlineStr">
        <is>
          <t>avverkningsanmälan</t>
        </is>
      </c>
      <c r="C60" t="inlineStr">
        <is>
          <t>Föryngringsavverkning</t>
        </is>
      </c>
      <c r="D60" s="1" t="n">
        <v>45839</v>
      </c>
      <c r="E60" s="1" t="n">
        <v>46216</v>
      </c>
      <c r="F60" t="inlineStr">
        <is>
          <t>VÄSTERBOTTENS LÄN</t>
        </is>
      </c>
      <c r="G60" t="inlineStr">
        <is>
          <t>ÅSELE</t>
        </is>
      </c>
      <c r="H60" t="inlineStr">
        <is>
          <t>Holmen skog AB</t>
        </is>
      </c>
      <c r="I60" t="n">
        <v>5.2</v>
      </c>
      <c r="J60" t="n">
        <v>1</v>
      </c>
      <c r="K60" t="n">
        <v>0</v>
      </c>
      <c r="L60" t="n">
        <v>0</v>
      </c>
      <c r="M60" t="n">
        <v>0</v>
      </c>
      <c r="N60" t="n">
        <v>0</v>
      </c>
      <c r="O60" t="n">
        <v>0</v>
      </c>
      <c r="P60" t="n">
        <v>0</v>
      </c>
      <c r="Q60" t="n">
        <v>0</v>
      </c>
      <c r="R60" t="n">
        <v>0</v>
      </c>
      <c r="S60" t="n">
        <v>1</v>
      </c>
      <c r="T60" t="n">
        <v>1</v>
      </c>
      <c r="U60" s="2" t="inlineStr">
        <is>
          <t>Järpe</t>
        </is>
      </c>
      <c r="V60">
        <f>HYPERLINK("https://klasma.github.io/Logging_2463/artfynd/A 32976-2025 artfynd.xlsx", "A 32976-2025")</f>
        <v/>
      </c>
      <c r="W60">
        <f>HYPERLINK("https://klasma.github.io/Logging_2463/kartor/A 32976-2025 karta.png", "A 32976-2025")</f>
        <v/>
      </c>
      <c r="Y60">
        <f>HYPERLINK("https://klasma.github.io/Logging_2463/klagomål/A 32976-2025 FSC-klagomål.docx", "A 32976-2025")</f>
        <v/>
      </c>
      <c r="Z60">
        <f>HYPERLINK("https://klasma.github.io/Logging_2463/klagomålsmail/A 32976-2025 FSC-klagomål mail.docx", "A 32976-2025")</f>
        <v/>
      </c>
      <c r="AA60">
        <f>HYPERLINK("https://klasma.github.io/Logging_2463/tillsyn/A 32976-2025 tillsynsbegäran.docx", "A 32976-2025")</f>
        <v/>
      </c>
      <c r="AB60">
        <f>HYPERLINK("https://klasma.github.io/Logging_2463/tillsynsmail/A 32976-2025 tillsynsbegäran mail.docx", "A 32976-2025")</f>
        <v/>
      </c>
      <c r="AC60">
        <f>HYPERLINK("https://klasma.github.io/Logging_2463/fåglar/A 32976-2025 prioriterade fågelarter.docx", "A 32976-2025")</f>
        <v/>
      </c>
    </row>
    <row r="61" ht="15" customHeight="1">
      <c r="A61" t="inlineStr">
        <is>
          <t>A 48594-2025</t>
        </is>
      </c>
      <c r="B61" t="inlineStr">
        <is>
          <t>avverkningsanmälan</t>
        </is>
      </c>
      <c r="C61" t="inlineStr">
        <is>
          <t>Föryngringsavverkning</t>
        </is>
      </c>
      <c r="D61" s="1" t="n">
        <v>45936</v>
      </c>
      <c r="E61" s="1" t="n">
        <v>46216</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s="2" t="inlineStr">
        <is>
          <t>Igelkott</t>
        </is>
      </c>
      <c r="V61">
        <f>HYPERLINK("https://klasma.github.io/Logging_2463/artfynd/A 48594-2025 artfynd.xlsx", "A 48594-2025")</f>
        <v/>
      </c>
      <c r="W61">
        <f>HYPERLINK("https://klasma.github.io/Logging_2463/kartor/A 48594-2025 karta.png", "A 48594-2025")</f>
        <v/>
      </c>
      <c r="Y61">
        <f>HYPERLINK("https://klasma.github.io/Logging_2463/klagomål/A 48594-2025 FSC-klagomål.docx", "A 48594-2025")</f>
        <v/>
      </c>
      <c r="Z61">
        <f>HYPERLINK("https://klasma.github.io/Logging_2463/klagomålsmail/A 48594-2025 FSC-klagomål mail.docx", "A 48594-2025")</f>
        <v/>
      </c>
      <c r="AA61">
        <f>HYPERLINK("https://klasma.github.io/Logging_2463/tillsyn/A 48594-2025 tillsynsbegäran.docx", "A 48594-2025")</f>
        <v/>
      </c>
      <c r="AB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46216</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s="2" t="inlineStr">
        <is>
          <t>Dvärgbägarlav</t>
        </is>
      </c>
      <c r="V62">
        <f>HYPERLINK("https://klasma.github.io/Logging_2463/artfynd/A 49506-2025 artfynd.xlsx", "A 49506-2025")</f>
        <v/>
      </c>
      <c r="W62">
        <f>HYPERLINK("https://klasma.github.io/Logging_2463/kartor/A 49506-2025 karta.png", "A 49506-2025")</f>
        <v/>
      </c>
      <c r="Y62">
        <f>HYPERLINK("https://klasma.github.io/Logging_2463/klagomål/A 49506-2025 FSC-klagomål.docx", "A 49506-2025")</f>
        <v/>
      </c>
      <c r="Z62">
        <f>HYPERLINK("https://klasma.github.io/Logging_2463/klagomålsmail/A 49506-2025 FSC-klagomål mail.docx", "A 49506-2025")</f>
        <v/>
      </c>
      <c r="AA62">
        <f>HYPERLINK("https://klasma.github.io/Logging_2463/tillsyn/A 49506-2025 tillsynsbegäran.docx", "A 49506-2025")</f>
        <v/>
      </c>
      <c r="AB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46216</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s="2" t="inlineStr">
        <is>
          <t>Ullticka</t>
        </is>
      </c>
      <c r="V63">
        <f>HYPERLINK("https://klasma.github.io/Logging_2463/artfynd/A 52664-2025 artfynd.xlsx", "A 52664-2025")</f>
        <v/>
      </c>
      <c r="W63">
        <f>HYPERLINK("https://klasma.github.io/Logging_2463/kartor/A 52664-2025 karta.png", "A 52664-2025")</f>
        <v/>
      </c>
      <c r="Y63">
        <f>HYPERLINK("https://klasma.github.io/Logging_2463/klagomål/A 52664-2025 FSC-klagomål.docx", "A 52664-2025")</f>
        <v/>
      </c>
      <c r="Z63">
        <f>HYPERLINK("https://klasma.github.io/Logging_2463/klagomålsmail/A 52664-2025 FSC-klagomål mail.docx", "A 52664-2025")</f>
        <v/>
      </c>
      <c r="AA63">
        <f>HYPERLINK("https://klasma.github.io/Logging_2463/tillsyn/A 52664-2025 tillsynsbegäran.docx", "A 52664-2025")</f>
        <v/>
      </c>
      <c r="AB63">
        <f>HYPERLINK("https://klasma.github.io/Logging_2463/tillsynsmail/A 52664-2025 tillsynsbegäran mail.docx", "A 52664-2025")</f>
        <v/>
      </c>
    </row>
    <row r="64" ht="15" customHeight="1">
      <c r="A64" t="inlineStr">
        <is>
          <t>A 43459-2024</t>
        </is>
      </c>
      <c r="B64" t="inlineStr">
        <is>
          <t>avverkningsanmälan</t>
        </is>
      </c>
      <c r="C64" t="inlineStr">
        <is>
          <t>Föryngringsavverkning</t>
        </is>
      </c>
      <c r="D64" s="1" t="n">
        <v>45568</v>
      </c>
      <c r="E64" s="1" t="n">
        <v>46216</v>
      </c>
      <c r="F64" t="inlineStr">
        <is>
          <t>VÄSTERBOTTENS LÄN</t>
        </is>
      </c>
      <c r="G64" t="inlineStr">
        <is>
          <t>ÅSELE</t>
        </is>
      </c>
      <c r="H64" t="inlineStr">
        <is>
          <t>SCA</t>
        </is>
      </c>
      <c r="I64" t="n">
        <v>7.9</v>
      </c>
      <c r="J64" t="n">
        <v>0</v>
      </c>
      <c r="K64" t="n">
        <v>0</v>
      </c>
      <c r="L64" t="n">
        <v>1</v>
      </c>
      <c r="M64" t="n">
        <v>0</v>
      </c>
      <c r="N64" t="n">
        <v>0</v>
      </c>
      <c r="O64" t="n">
        <v>0</v>
      </c>
      <c r="P64" t="n">
        <v>0</v>
      </c>
      <c r="Q64" t="n">
        <v>1</v>
      </c>
      <c r="R64" t="n">
        <v>0</v>
      </c>
      <c r="S64" t="n">
        <v>1</v>
      </c>
      <c r="T64" t="n">
        <v>1</v>
      </c>
      <c r="U64" s="2" t="inlineStr">
        <is>
          <t>Gammelgransskål</t>
        </is>
      </c>
      <c r="V64">
        <f>HYPERLINK("https://klasma.github.io/Logging_2463/artfynd/A 43459-2024 artfynd.xlsx", "A 43459-2024")</f>
        <v/>
      </c>
      <c r="W64">
        <f>HYPERLINK("https://klasma.github.io/Logging_2463/kartor/A 43459-2024 karta.png", "A 43459-2024")</f>
        <v/>
      </c>
      <c r="Y64">
        <f>HYPERLINK("https://klasma.github.io/Logging_2463/klagomål/A 43459-2024 FSC-klagomål.docx", "A 43459-2024")</f>
        <v/>
      </c>
      <c r="Z64">
        <f>HYPERLINK("https://klasma.github.io/Logging_2463/klagomålsmail/A 43459-2024 FSC-klagomål mail.docx", "A 43459-2024")</f>
        <v/>
      </c>
      <c r="AA64">
        <f>HYPERLINK("https://klasma.github.io/Logging_2463/tillsyn/A 43459-2024 tillsynsbegäran.docx", "A 43459-2024")</f>
        <v/>
      </c>
      <c r="AB64">
        <f>HYPERLINK("https://klasma.github.io/Logging_2463/tillsynsmail/A 43459-2024 tillsynsbegäran mail.docx", "A 43459-2024")</f>
        <v/>
      </c>
    </row>
    <row r="65" ht="15" customHeight="1">
      <c r="A65" t="inlineStr">
        <is>
          <t>A 5003-2026</t>
        </is>
      </c>
      <c r="B65" t="inlineStr">
        <is>
          <t>avverkningsanmälan</t>
        </is>
      </c>
      <c r="C65" t="inlineStr">
        <is>
          <t>Föryngringsavverkning</t>
        </is>
      </c>
      <c r="D65" s="1" t="n">
        <v>46049</v>
      </c>
      <c r="E65" s="1" t="n">
        <v>46216</v>
      </c>
      <c r="F65" t="inlineStr">
        <is>
          <t>VÄSTERBOTTENS LÄN</t>
        </is>
      </c>
      <c r="G65" t="inlineStr">
        <is>
          <t>ÅSELE</t>
        </is>
      </c>
      <c r="H65" t="inlineStr">
        <is>
          <t>SCA</t>
        </is>
      </c>
      <c r="I65" t="n">
        <v>1.4</v>
      </c>
      <c r="J65" t="n">
        <v>0</v>
      </c>
      <c r="K65" t="n">
        <v>0</v>
      </c>
      <c r="L65" t="n">
        <v>1</v>
      </c>
      <c r="M65" t="n">
        <v>0</v>
      </c>
      <c r="N65" t="n">
        <v>0</v>
      </c>
      <c r="O65" t="n">
        <v>0</v>
      </c>
      <c r="P65" t="n">
        <v>0</v>
      </c>
      <c r="Q65" t="n">
        <v>1</v>
      </c>
      <c r="R65" t="n">
        <v>0</v>
      </c>
      <c r="S65" t="n">
        <v>1</v>
      </c>
      <c r="T65" t="n">
        <v>2</v>
      </c>
      <c r="U65" s="2" t="inlineStr">
        <is>
          <t>Ullticka</t>
        </is>
      </c>
      <c r="V65">
        <f>HYPERLINK("https://klasma.github.io/Logging_2463/artfynd/A 5003-2026 artfynd.xlsx", "A 5003-2026")</f>
        <v/>
      </c>
      <c r="W65">
        <f>HYPERLINK("https://klasma.github.io/Logging_2463/kartor/A 5003-2026 karta.png", "A 5003-2026")</f>
        <v/>
      </c>
      <c r="Y65">
        <f>HYPERLINK("https://klasma.github.io/Logging_2463/klagomål/A 5003-2026 FSC-klagomål.docx", "A 5003-2026")</f>
        <v/>
      </c>
      <c r="Z65">
        <f>HYPERLINK("https://klasma.github.io/Logging_2463/klagomålsmail/A 5003-2026 FSC-klagomål mail.docx", "A 5003-2026")</f>
        <v/>
      </c>
      <c r="AA65">
        <f>HYPERLINK("https://klasma.github.io/Logging_2463/tillsyn/A 5003-2026 tillsynsbegäran.docx", "A 5003-2026")</f>
        <v/>
      </c>
      <c r="AB65">
        <f>HYPERLINK("https://klasma.github.io/Logging_2463/tillsynsmail/A 5003-2026 tillsynsbegäran mail.docx", "A 5003-2026")</f>
        <v/>
      </c>
    </row>
    <row r="66" ht="15" customHeight="1">
      <c r="A66" t="inlineStr">
        <is>
          <t>A 7029-2026</t>
        </is>
      </c>
      <c r="B66" t="inlineStr">
        <is>
          <t>avverkningsanmälan</t>
        </is>
      </c>
      <c r="C66" t="inlineStr">
        <is>
          <t>Föryngringsavverkning</t>
        </is>
      </c>
      <c r="D66" s="1" t="n">
        <v>46057</v>
      </c>
      <c r="E66" s="1" t="n">
        <v>46216</v>
      </c>
      <c r="F66" t="inlineStr">
        <is>
          <t>VÄSTERBOTTENS LÄN</t>
        </is>
      </c>
      <c r="G66" t="inlineStr">
        <is>
          <t>ÅSELE</t>
        </is>
      </c>
      <c r="H66" t="inlineStr">
        <is>
          <t>SCA</t>
        </is>
      </c>
      <c r="I66" t="n">
        <v>3.7</v>
      </c>
      <c r="J66" t="n">
        <v>0</v>
      </c>
      <c r="K66" t="n">
        <v>0</v>
      </c>
      <c r="L66" t="n">
        <v>1</v>
      </c>
      <c r="M66" t="n">
        <v>0</v>
      </c>
      <c r="N66" t="n">
        <v>0</v>
      </c>
      <c r="O66" t="n">
        <v>0</v>
      </c>
      <c r="P66" t="n">
        <v>0</v>
      </c>
      <c r="Q66" t="n">
        <v>1</v>
      </c>
      <c r="R66" t="n">
        <v>0</v>
      </c>
      <c r="S66" t="n">
        <v>1</v>
      </c>
      <c r="T66" t="n">
        <v>2</v>
      </c>
      <c r="U66" s="2" t="inlineStr">
        <is>
          <t>Lunglav</t>
        </is>
      </c>
      <c r="V66">
        <f>HYPERLINK("https://klasma.github.io/Logging_2463/artfynd/A 7029-2026 artfynd.xlsx", "A 7029-2026")</f>
        <v/>
      </c>
      <c r="W66">
        <f>HYPERLINK("https://klasma.github.io/Logging_2463/kartor/A 7029-2026 karta.png", "A 7029-2026")</f>
        <v/>
      </c>
      <c r="Y66">
        <f>HYPERLINK("https://klasma.github.io/Logging_2463/klagomål/A 7029-2026 FSC-klagomål.docx", "A 7029-2026")</f>
        <v/>
      </c>
      <c r="Z66">
        <f>HYPERLINK("https://klasma.github.io/Logging_2463/klagomålsmail/A 7029-2026 FSC-klagomål mail.docx", "A 7029-2026")</f>
        <v/>
      </c>
      <c r="AA66">
        <f>HYPERLINK("https://klasma.github.io/Logging_2463/tillsyn/A 7029-2026 tillsynsbegäran.docx", "A 7029-2026")</f>
        <v/>
      </c>
      <c r="AB66">
        <f>HYPERLINK("https://klasma.github.io/Logging_2463/tillsynsmail/A 7029-2026 tillsynsbegäran mail.docx", "A 7029-2026")</f>
        <v/>
      </c>
    </row>
    <row r="67" ht="15" customHeight="1">
      <c r="A67" t="inlineStr">
        <is>
          <t>A 48743-2023</t>
        </is>
      </c>
      <c r="B67" t="inlineStr">
        <is>
          <t>avverkningsanmälan</t>
        </is>
      </c>
      <c r="C67" t="inlineStr">
        <is>
          <t>Föryngringsavverkning</t>
        </is>
      </c>
      <c r="D67" s="1" t="n">
        <v>45208</v>
      </c>
      <c r="E67" s="1" t="n">
        <v>46216</v>
      </c>
      <c r="F67" t="inlineStr">
        <is>
          <t>VÄSTERBOTTENS LÄN</t>
        </is>
      </c>
      <c r="G67" t="inlineStr">
        <is>
          <t>ÅSELE</t>
        </is>
      </c>
      <c r="I67" t="n">
        <v>18.5</v>
      </c>
      <c r="J67" t="n">
        <v>0</v>
      </c>
      <c r="K67" t="n">
        <v>1</v>
      </c>
      <c r="L67" t="n">
        <v>0</v>
      </c>
      <c r="M67" t="n">
        <v>0</v>
      </c>
      <c r="N67" t="n">
        <v>0</v>
      </c>
      <c r="O67" t="n">
        <v>0</v>
      </c>
      <c r="P67" t="n">
        <v>0</v>
      </c>
      <c r="Q67" t="n">
        <v>0</v>
      </c>
      <c r="R67" t="n">
        <v>0</v>
      </c>
      <c r="S67" t="n">
        <v>1</v>
      </c>
      <c r="T67" t="n">
        <v>1</v>
      </c>
      <c r="U67" s="2" t="inlineStr">
        <is>
          <t>Skinnlav</t>
        </is>
      </c>
      <c r="V67">
        <f>HYPERLINK("https://klasma.github.io/Logging_2463/artfynd/A 48743-2023 artfynd.xlsx", "A 48743-2023")</f>
        <v/>
      </c>
      <c r="W67">
        <f>HYPERLINK("https://klasma.github.io/Logging_2463/kartor/A 48743-2023 karta.png", "A 48743-2023")</f>
        <v/>
      </c>
      <c r="Y67">
        <f>HYPERLINK("https://klasma.github.io/Logging_2463/klagomål/A 48743-2023 FSC-klagomål.docx", "A 48743-2023")</f>
        <v/>
      </c>
      <c r="Z67">
        <f>HYPERLINK("https://klasma.github.io/Logging_2463/klagomålsmail/A 48743-2023 FSC-klagomål mail.docx", "A 48743-2023")</f>
        <v/>
      </c>
      <c r="AA67">
        <f>HYPERLINK("https://klasma.github.io/Logging_2463/tillsyn/A 48743-2023 tillsynsbegäran.docx", "A 48743-2023")</f>
        <v/>
      </c>
      <c r="AB67">
        <f>HYPERLINK("https://klasma.github.io/Logging_2463/tillsynsmail/A 48743-2023 tillsynsbegäran mail.docx", "A 48743-2023")</f>
        <v/>
      </c>
    </row>
    <row r="68" ht="15" customHeight="1">
      <c r="A68" t="inlineStr">
        <is>
          <t>A 62179-2025</t>
        </is>
      </c>
      <c r="B68" t="inlineStr">
        <is>
          <t>avverkningsanmälan</t>
        </is>
      </c>
      <c r="C68" t="inlineStr">
        <is>
          <t>Föryngringsavverkning</t>
        </is>
      </c>
      <c r="D68" s="1" t="n">
        <v>46006</v>
      </c>
      <c r="E68" s="1" t="n">
        <v>46216</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s="2" t="inlineStr">
        <is>
          <t>Järpe</t>
        </is>
      </c>
      <c r="V68">
        <f>HYPERLINK("https://klasma.github.io/Logging_2463/artfynd/A 62179-2025 artfynd.xlsx", "A 62179-2025")</f>
        <v/>
      </c>
      <c r="W68">
        <f>HYPERLINK("https://klasma.github.io/Logging_2463/kartor/A 62179-2025 karta.png", "A 62179-2025")</f>
        <v/>
      </c>
      <c r="Y68">
        <f>HYPERLINK("https://klasma.github.io/Logging_2463/klagomål/A 62179-2025 FSC-klagomål.docx", "A 62179-2025")</f>
        <v/>
      </c>
      <c r="Z68">
        <f>HYPERLINK("https://klasma.github.io/Logging_2463/klagomålsmail/A 62179-2025 FSC-klagomål mail.docx", "A 62179-2025")</f>
        <v/>
      </c>
      <c r="AA68">
        <f>HYPERLINK("https://klasma.github.io/Logging_2463/tillsyn/A 62179-2025 tillsynsbegäran.docx", "A 62179-2025")</f>
        <v/>
      </c>
      <c r="AB68">
        <f>HYPERLINK("https://klasma.github.io/Logging_2463/tillsynsmail/A 62179-2025 tillsynsbegäran mail.docx", "A 62179-2025")</f>
        <v/>
      </c>
      <c r="AC68">
        <f>HYPERLINK("https://klasma.github.io/Logging_2463/fåglar/A 62179-2025 prioriterade fågelarter.docx", "A 62179-2025")</f>
        <v/>
      </c>
    </row>
    <row r="69" ht="15" customHeight="1">
      <c r="A69" t="inlineStr">
        <is>
          <t>A 48073-2023</t>
        </is>
      </c>
      <c r="B69" t="inlineStr">
        <is>
          <t>avverkningsanmälan</t>
        </is>
      </c>
      <c r="C69" t="inlineStr">
        <is>
          <t>Föryngringsavverkning</t>
        </is>
      </c>
      <c r="D69" s="1" t="n">
        <v>45204</v>
      </c>
      <c r="E69" s="1" t="n">
        <v>46216</v>
      </c>
      <c r="F69" t="inlineStr">
        <is>
          <t>VÄSTERBOTTENS LÄN</t>
        </is>
      </c>
      <c r="G69" t="inlineStr">
        <is>
          <t>ÅSELE</t>
        </is>
      </c>
      <c r="H69" t="inlineStr">
        <is>
          <t>SCA</t>
        </is>
      </c>
      <c r="I69" t="n">
        <v>5.7</v>
      </c>
      <c r="J69" t="n">
        <v>0</v>
      </c>
      <c r="K69" t="n">
        <v>0</v>
      </c>
      <c r="L69" t="n">
        <v>0</v>
      </c>
      <c r="M69" t="n">
        <v>1</v>
      </c>
      <c r="N69" t="n">
        <v>0</v>
      </c>
      <c r="O69" t="n">
        <v>0</v>
      </c>
      <c r="P69" t="n">
        <v>0</v>
      </c>
      <c r="Q69" t="n">
        <v>1</v>
      </c>
      <c r="R69" t="n">
        <v>1</v>
      </c>
      <c r="S69" t="n">
        <v>1</v>
      </c>
      <c r="T69" t="n">
        <v>1</v>
      </c>
      <c r="U69" s="2" t="inlineStr">
        <is>
          <t>Garnlav</t>
        </is>
      </c>
      <c r="V69">
        <f>HYPERLINK("https://klasma.github.io/Logging_2463/artfynd/A 48073-2023 artfynd.xlsx", "A 48073-2023")</f>
        <v/>
      </c>
      <c r="W69">
        <f>HYPERLINK("https://klasma.github.io/Logging_2463/kartor/A 48073-2023 karta.png", "A 48073-2023")</f>
        <v/>
      </c>
      <c r="Y69">
        <f>HYPERLINK("https://klasma.github.io/Logging_2463/klagomål/A 48073-2023 FSC-klagomål.docx", "A 48073-2023")</f>
        <v/>
      </c>
      <c r="Z69">
        <f>HYPERLINK("https://klasma.github.io/Logging_2463/klagomålsmail/A 48073-2023 FSC-klagomål mail.docx", "A 48073-2023")</f>
        <v/>
      </c>
      <c r="AA69">
        <f>HYPERLINK("https://klasma.github.io/Logging_2463/tillsyn/A 48073-2023 tillsynsbegäran.docx", "A 48073-2023")</f>
        <v/>
      </c>
      <c r="AB69">
        <f>HYPERLINK("https://klasma.github.io/Logging_2463/tillsynsmail/A 48073-2023 tillsynsbegäran mail.docx", "A 48073-2023")</f>
        <v/>
      </c>
    </row>
    <row r="70" ht="15" customHeight="1">
      <c r="A70" t="inlineStr">
        <is>
          <t>A 8094-2023</t>
        </is>
      </c>
      <c r="B70" t="inlineStr">
        <is>
          <t>avverkningsanmälan</t>
        </is>
      </c>
      <c r="C70" t="inlineStr">
        <is>
          <t>Föryngringsavverkning</t>
        </is>
      </c>
      <c r="D70" s="1" t="n">
        <v>44970</v>
      </c>
      <c r="E70" s="1" t="n">
        <v>46216</v>
      </c>
      <c r="F70" t="inlineStr">
        <is>
          <t>VÄSTERBOTTENS LÄN</t>
        </is>
      </c>
      <c r="G70" t="inlineStr">
        <is>
          <t>ÅSELE</t>
        </is>
      </c>
      <c r="I70" t="n">
        <v>3.4</v>
      </c>
      <c r="J70" t="n">
        <v>1</v>
      </c>
      <c r="K70" t="n">
        <v>1</v>
      </c>
      <c r="L70" t="n">
        <v>0</v>
      </c>
      <c r="M70" t="n">
        <v>0</v>
      </c>
      <c r="N70" t="n">
        <v>0</v>
      </c>
      <c r="O70" t="n">
        <v>0</v>
      </c>
      <c r="P70" t="n">
        <v>0</v>
      </c>
      <c r="Q70" t="n">
        <v>0</v>
      </c>
      <c r="R70" t="n">
        <v>0</v>
      </c>
      <c r="S70" t="n">
        <v>1</v>
      </c>
      <c r="T70" t="n">
        <v>1</v>
      </c>
      <c r="U70" s="2" t="inlineStr">
        <is>
          <t>Spindelblomster</t>
        </is>
      </c>
      <c r="V70">
        <f>HYPERLINK("https://klasma.github.io/Logging_2463/artfynd/A 8094-2023 artfynd.xlsx", "A 8094-2023")</f>
        <v/>
      </c>
      <c r="W70">
        <f>HYPERLINK("https://klasma.github.io/Logging_2463/kartor/A 8094-2023 karta.png", "A 8094-2023")</f>
        <v/>
      </c>
      <c r="Y70">
        <f>HYPERLINK("https://klasma.github.io/Logging_2463/klagomål/A 8094-2023 FSC-klagomål.docx", "A 8094-2023")</f>
        <v/>
      </c>
      <c r="Z70">
        <f>HYPERLINK("https://klasma.github.io/Logging_2463/klagomålsmail/A 8094-2023 FSC-klagomål mail.docx", "A 8094-2023")</f>
        <v/>
      </c>
      <c r="AA70">
        <f>HYPERLINK("https://klasma.github.io/Logging_2463/tillsyn/A 8094-2023 tillsynsbegäran.docx", "A 8094-2023")</f>
        <v/>
      </c>
      <c r="AB70">
        <f>HYPERLINK("https://klasma.github.io/Logging_2463/tillsynsmail/A 8094-2023 tillsynsbegäran mail.docx", "A 8094-2023")</f>
        <v/>
      </c>
    </row>
    <row r="71" ht="15" customHeight="1">
      <c r="A71" t="inlineStr">
        <is>
          <t>A 12418-2026</t>
        </is>
      </c>
      <c r="B71" t="inlineStr">
        <is>
          <t>avverkningsanmälan</t>
        </is>
      </c>
      <c r="C71" t="inlineStr">
        <is>
          <t>Föryngringsavverkning</t>
        </is>
      </c>
      <c r="D71" s="1" t="n">
        <v>46090</v>
      </c>
      <c r="E71" s="1" t="n">
        <v>46216</v>
      </c>
      <c r="F71" t="inlineStr">
        <is>
          <t>VÄSTERBOTTENS LÄN</t>
        </is>
      </c>
      <c r="G71" t="inlineStr">
        <is>
          <t>ÅSELE</t>
        </is>
      </c>
      <c r="I71" t="n">
        <v>1.3</v>
      </c>
      <c r="J71" t="n">
        <v>1</v>
      </c>
      <c r="K71" t="n">
        <v>0</v>
      </c>
      <c r="L71" t="n">
        <v>0</v>
      </c>
      <c r="M71" t="n">
        <v>0</v>
      </c>
      <c r="N71" t="n">
        <v>0</v>
      </c>
      <c r="O71" t="n">
        <v>0</v>
      </c>
      <c r="P71" t="n">
        <v>0</v>
      </c>
      <c r="Q71" t="n">
        <v>0</v>
      </c>
      <c r="R71" t="n">
        <v>0</v>
      </c>
      <c r="S71" t="n">
        <v>1</v>
      </c>
      <c r="T71" t="n">
        <v>1</v>
      </c>
      <c r="U71" s="2" t="inlineStr">
        <is>
          <t>Utter</t>
        </is>
      </c>
      <c r="V71">
        <f>HYPERLINK("https://klasma.github.io/Logging_2463/artfynd/A 12418-2026 artfynd.xlsx", "A 12418-2026")</f>
        <v/>
      </c>
      <c r="W71">
        <f>HYPERLINK("https://klasma.github.io/Logging_2463/kartor/A 12418-2026 karta.png", "A 12418-2026")</f>
        <v/>
      </c>
      <c r="Y71">
        <f>HYPERLINK("https://klasma.github.io/Logging_2463/klagomål/A 12418-2026 FSC-klagomål.docx", "A 12418-2026")</f>
        <v/>
      </c>
      <c r="Z71">
        <f>HYPERLINK("https://klasma.github.io/Logging_2463/klagomålsmail/A 12418-2026 FSC-klagomål mail.docx", "A 12418-2026")</f>
        <v/>
      </c>
      <c r="AA71">
        <f>HYPERLINK("https://klasma.github.io/Logging_2463/tillsyn/A 12418-2026 tillsynsbegäran.docx", "A 12418-2026")</f>
        <v/>
      </c>
      <c r="AB71">
        <f>HYPERLINK("https://klasma.github.io/Logging_2463/tillsynsmail/A 12418-2026 tillsynsbegäran mail.docx", "A 12418-2026")</f>
        <v/>
      </c>
    </row>
    <row r="72" ht="15" customHeight="1">
      <c r="A72" t="inlineStr">
        <is>
          <t>A 39380-2022</t>
        </is>
      </c>
      <c r="B72" t="inlineStr">
        <is>
          <t>avverkningsanmälan</t>
        </is>
      </c>
      <c r="C72" t="inlineStr">
        <is>
          <t>Avverkning för att bevara och utveckla /försöksver</t>
        </is>
      </c>
      <c r="D72" s="1" t="n">
        <v>44817</v>
      </c>
      <c r="E72" s="1" t="n">
        <v>46216</v>
      </c>
      <c r="F72" t="inlineStr">
        <is>
          <t>VÄSTERBOTTENS LÄN</t>
        </is>
      </c>
      <c r="G72" t="inlineStr">
        <is>
          <t>ÅSELE</t>
        </is>
      </c>
      <c r="H72" t="inlineStr">
        <is>
          <t>SCA</t>
        </is>
      </c>
      <c r="I72" t="n">
        <v>2.4</v>
      </c>
      <c r="J72" t="n">
        <v>1</v>
      </c>
      <c r="K72" t="n">
        <v>1</v>
      </c>
      <c r="L72" t="n">
        <v>0</v>
      </c>
      <c r="M72" t="n">
        <v>0</v>
      </c>
      <c r="N72" t="n">
        <v>0</v>
      </c>
      <c r="O72" t="n">
        <v>0</v>
      </c>
      <c r="P72" t="n">
        <v>0</v>
      </c>
      <c r="Q72" t="n">
        <v>0</v>
      </c>
      <c r="R72" t="n">
        <v>0</v>
      </c>
      <c r="S72" t="n">
        <v>1</v>
      </c>
      <c r="T72" t="n">
        <v>1</v>
      </c>
      <c r="U72" s="2" t="inlineStr">
        <is>
          <t>Lappranunkel</t>
        </is>
      </c>
      <c r="V72">
        <f>HYPERLINK("https://klasma.github.io/Logging_2463/artfynd/A 39380-2022 artfynd.xlsx", "A 39380-2022")</f>
        <v/>
      </c>
      <c r="W72">
        <f>HYPERLINK("https://klasma.github.io/Logging_2463/kartor/A 39380-2022 karta.png", "A 39380-2022")</f>
        <v/>
      </c>
      <c r="Y72">
        <f>HYPERLINK("https://klasma.github.io/Logging_2463/klagomål/A 39380-2022 FSC-klagomål.docx", "A 39380-2022")</f>
        <v/>
      </c>
      <c r="Z72">
        <f>HYPERLINK("https://klasma.github.io/Logging_2463/klagomålsmail/A 39380-2022 FSC-klagomål mail.docx", "A 39380-2022")</f>
        <v/>
      </c>
      <c r="AA72">
        <f>HYPERLINK("https://klasma.github.io/Logging_2463/tillsyn/A 39380-2022 tillsynsbegäran.docx", "A 39380-2022")</f>
        <v/>
      </c>
      <c r="AB72">
        <f>HYPERLINK("https://klasma.github.io/Logging_2463/tillsynsmail/A 39380-2022 tillsynsbegäran mail.docx", "A 39380-2022")</f>
        <v/>
      </c>
    </row>
    <row r="73" ht="15" customHeight="1">
      <c r="A73" t="inlineStr">
        <is>
          <t>A 20224-2026</t>
        </is>
      </c>
      <c r="B73" t="inlineStr">
        <is>
          <t>avverkningsanmälan</t>
        </is>
      </c>
      <c r="C73" t="inlineStr">
        <is>
          <t>Föryngringsavverkning</t>
        </is>
      </c>
      <c r="D73" s="1" t="n">
        <v>46139</v>
      </c>
      <c r="E73" s="1" t="n">
        <v>46216</v>
      </c>
      <c r="F73" t="inlineStr">
        <is>
          <t>VÄSTERBOTTENS LÄN</t>
        </is>
      </c>
      <c r="G73" t="inlineStr">
        <is>
          <t>ÅSELE</t>
        </is>
      </c>
      <c r="H73" t="inlineStr">
        <is>
          <t>SCA</t>
        </is>
      </c>
      <c r="I73" t="n">
        <v>19.4</v>
      </c>
      <c r="J73" t="n">
        <v>0</v>
      </c>
      <c r="K73" t="n">
        <v>1</v>
      </c>
      <c r="L73" t="n">
        <v>0</v>
      </c>
      <c r="M73" t="n">
        <v>0</v>
      </c>
      <c r="N73" t="n">
        <v>0</v>
      </c>
      <c r="O73" t="n">
        <v>0</v>
      </c>
      <c r="P73" t="n">
        <v>0</v>
      </c>
      <c r="Q73" t="n">
        <v>0</v>
      </c>
      <c r="R73" t="n">
        <v>0</v>
      </c>
      <c r="S73" t="n">
        <v>1</v>
      </c>
      <c r="T73" t="n">
        <v>1</v>
      </c>
      <c r="U73" s="2" t="inlineStr">
        <is>
          <t>Skinnlav</t>
        </is>
      </c>
      <c r="V73">
        <f>HYPERLINK("https://klasma.github.io/Logging_2463/artfynd/A 20224-2026 artfynd.xlsx", "A 20224-2026")</f>
        <v/>
      </c>
      <c r="W73">
        <f>HYPERLINK("https://klasma.github.io/Logging_2463/kartor/A 20224-2026 karta.png", "A 20224-2026")</f>
        <v/>
      </c>
      <c r="Y73">
        <f>HYPERLINK("https://klasma.github.io/Logging_2463/klagomål/A 20224-2026 FSC-klagomål.docx", "A 20224-2026")</f>
        <v/>
      </c>
      <c r="Z73">
        <f>HYPERLINK("https://klasma.github.io/Logging_2463/klagomålsmail/A 20224-2026 FSC-klagomål mail.docx", "A 20224-2026")</f>
        <v/>
      </c>
      <c r="AA73">
        <f>HYPERLINK("https://klasma.github.io/Logging_2463/tillsyn/A 20224-2026 tillsynsbegäran.docx", "A 20224-2026")</f>
        <v/>
      </c>
      <c r="AB73">
        <f>HYPERLINK("https://klasma.github.io/Logging_2463/tillsynsmail/A 20224-2026 tillsynsbegäran mail.docx", "A 20224-2026")</f>
        <v/>
      </c>
    </row>
    <row r="74" ht="15" customHeight="1">
      <c r="A74" t="inlineStr">
        <is>
          <t>A 54741-2023</t>
        </is>
      </c>
      <c r="B74" t="inlineStr">
        <is>
          <t>avverkningsanmälan</t>
        </is>
      </c>
      <c r="C74" t="inlineStr">
        <is>
          <t>Föryngringsavverkning</t>
        </is>
      </c>
      <c r="D74" s="1" t="n">
        <v>45236</v>
      </c>
      <c r="E74" s="1" t="n">
        <v>46216</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s="2" t="inlineStr">
        <is>
          <t>Garnlav</t>
        </is>
      </c>
      <c r="V74">
        <f>HYPERLINK("https://klasma.github.io/Logging_2463/artfynd/A 54741-2023 artfynd.xlsx", "A 54741-2023")</f>
        <v/>
      </c>
      <c r="W74">
        <f>HYPERLINK("https://klasma.github.io/Logging_2463/kartor/A 54741-2023 karta.png", "A 54741-2023")</f>
        <v/>
      </c>
      <c r="Y74">
        <f>HYPERLINK("https://klasma.github.io/Logging_2463/klagomål/A 54741-2023 FSC-klagomål.docx", "A 54741-2023")</f>
        <v/>
      </c>
      <c r="Z74">
        <f>HYPERLINK("https://klasma.github.io/Logging_2463/klagomålsmail/A 54741-2023 FSC-klagomål mail.docx", "A 54741-2023")</f>
        <v/>
      </c>
      <c r="AA74">
        <f>HYPERLINK("https://klasma.github.io/Logging_2463/tillsyn/A 54741-2023 tillsynsbegäran.docx", "A 54741-2023")</f>
        <v/>
      </c>
      <c r="AB74">
        <f>HYPERLINK("https://klasma.github.io/Logging_2463/tillsynsmail/A 54741-2023 tillsynsbegäran mail.docx", "A 54741-2023")</f>
        <v/>
      </c>
    </row>
    <row r="75" ht="15" customHeight="1">
      <c r="A75" t="inlineStr">
        <is>
          <t>A 22267-2023</t>
        </is>
      </c>
      <c r="B75" t="inlineStr">
        <is>
          <t>avverkningsanmälan</t>
        </is>
      </c>
      <c r="C75" t="inlineStr">
        <is>
          <t>Föryngringsavverkning</t>
        </is>
      </c>
      <c r="D75" s="1" t="n">
        <v>45068</v>
      </c>
      <c r="E75" s="1" t="n">
        <v>46216</v>
      </c>
      <c r="F75" t="inlineStr">
        <is>
          <t>VÄSTERBOTTENS LÄN</t>
        </is>
      </c>
      <c r="G75" t="inlineStr">
        <is>
          <t>ÅSELE</t>
        </is>
      </c>
      <c r="I75" t="n">
        <v>2.1</v>
      </c>
      <c r="J75" t="n">
        <v>1</v>
      </c>
      <c r="K75" t="n">
        <v>0</v>
      </c>
      <c r="L75" t="n">
        <v>0</v>
      </c>
      <c r="M75" t="n">
        <v>0</v>
      </c>
      <c r="N75" t="n">
        <v>0</v>
      </c>
      <c r="O75" t="n">
        <v>0</v>
      </c>
      <c r="P75" t="n">
        <v>0</v>
      </c>
      <c r="Q75" t="n">
        <v>0</v>
      </c>
      <c r="R75" t="n">
        <v>0</v>
      </c>
      <c r="S75" t="n">
        <v>1</v>
      </c>
      <c r="T75" t="n">
        <v>1</v>
      </c>
      <c r="U75" s="2" t="inlineStr">
        <is>
          <t>Utter</t>
        </is>
      </c>
      <c r="V75">
        <f>HYPERLINK("https://klasma.github.io/Logging_2463/artfynd/A 22267-2023 artfynd.xlsx", "A 22267-2023")</f>
        <v/>
      </c>
      <c r="W75">
        <f>HYPERLINK("https://klasma.github.io/Logging_2463/kartor/A 22267-2023 karta.png", "A 22267-2023")</f>
        <v/>
      </c>
      <c r="Y75">
        <f>HYPERLINK("https://klasma.github.io/Logging_2463/klagomål/A 22267-2023 FSC-klagomål.docx", "A 22267-2023")</f>
        <v/>
      </c>
      <c r="Z75">
        <f>HYPERLINK("https://klasma.github.io/Logging_2463/klagomålsmail/A 22267-2023 FSC-klagomål mail.docx", "A 22267-2023")</f>
        <v/>
      </c>
      <c r="AA75">
        <f>HYPERLINK("https://klasma.github.io/Logging_2463/tillsyn/A 22267-2023 tillsynsbegäran.docx", "A 22267-2023")</f>
        <v/>
      </c>
      <c r="AB75">
        <f>HYPERLINK("https://klasma.github.io/Logging_2463/tillsynsmail/A 22267-2023 tillsynsbegäran mail.docx", "A 22267-2023")</f>
        <v/>
      </c>
    </row>
    <row r="76" ht="15" customHeight="1">
      <c r="A76" t="inlineStr">
        <is>
          <t>A 31518-2024</t>
        </is>
      </c>
      <c r="B76" t="inlineStr">
        <is>
          <t>avverkningsanmälan</t>
        </is>
      </c>
      <c r="C76" t="inlineStr">
        <is>
          <t>Avverkning för annat ändamål</t>
        </is>
      </c>
      <c r="D76" s="1" t="n">
        <v>45505</v>
      </c>
      <c r="E76" s="1" t="n">
        <v>46216</v>
      </c>
      <c r="F76" t="inlineStr">
        <is>
          <t>VÄSTERBOTTENS LÄN</t>
        </is>
      </c>
      <c r="G76" t="inlineStr">
        <is>
          <t>ÅSELE</t>
        </is>
      </c>
      <c r="H76" t="inlineStr">
        <is>
          <t>SCA</t>
        </is>
      </c>
      <c r="I76" t="n">
        <v>5.4</v>
      </c>
      <c r="J76" t="n">
        <v>0</v>
      </c>
      <c r="K76" t="n">
        <v>0</v>
      </c>
      <c r="L76" t="n">
        <v>0</v>
      </c>
      <c r="M76" t="n">
        <v>1</v>
      </c>
      <c r="N76" t="n">
        <v>0</v>
      </c>
      <c r="O76" t="n">
        <v>0</v>
      </c>
      <c r="P76" t="n">
        <v>0</v>
      </c>
      <c r="Q76" t="n">
        <v>1</v>
      </c>
      <c r="R76" t="n">
        <v>1</v>
      </c>
      <c r="S76" t="n">
        <v>1</v>
      </c>
      <c r="T76" t="n">
        <v>1</v>
      </c>
      <c r="U76" s="2" t="inlineStr">
        <is>
          <t>Garnlav</t>
        </is>
      </c>
      <c r="V76">
        <f>HYPERLINK("https://klasma.github.io/Logging_2463/artfynd/A 31518-2024 artfynd.xlsx", "A 31518-2024")</f>
        <v/>
      </c>
      <c r="W76">
        <f>HYPERLINK("https://klasma.github.io/Logging_2463/kartor/A 31518-2024 karta.png", "A 31518-2024")</f>
        <v/>
      </c>
      <c r="Y76">
        <f>HYPERLINK("https://klasma.github.io/Logging_2463/klagomål/A 31518-2024 FSC-klagomål.docx", "A 31518-2024")</f>
        <v/>
      </c>
      <c r="Z76">
        <f>HYPERLINK("https://klasma.github.io/Logging_2463/klagomålsmail/A 31518-2024 FSC-klagomål mail.docx", "A 31518-2024")</f>
        <v/>
      </c>
      <c r="AA76">
        <f>HYPERLINK("https://klasma.github.io/Logging_2463/tillsyn/A 31518-2024 tillsynsbegäran.docx", "A 31518-2024")</f>
        <v/>
      </c>
      <c r="AB76">
        <f>HYPERLINK("https://klasma.github.io/Logging_2463/tillsynsmail/A 31518-2024 tillsynsbegäran mail.docx", "A 31518-2024")</f>
        <v/>
      </c>
    </row>
    <row r="77" ht="15" customHeight="1">
      <c r="A77" t="inlineStr">
        <is>
          <t>A 28251-2026</t>
        </is>
      </c>
      <c r="B77" t="inlineStr">
        <is>
          <t>avverkningsanmälan</t>
        </is>
      </c>
      <c r="C77" t="inlineStr">
        <is>
          <t>Föryngringsavverkning</t>
        </is>
      </c>
      <c r="D77" s="1" t="n">
        <v>46196</v>
      </c>
      <c r="E77" s="1" t="n">
        <v>46216</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s="2" t="inlineStr">
        <is>
          <t>Rosenticka</t>
        </is>
      </c>
      <c r="V77">
        <f>HYPERLINK("https://klasma.github.io/Logging_2463/artfynd/A 28251-2026 artfynd.xlsx", "A 28251-2026")</f>
        <v/>
      </c>
      <c r="W77">
        <f>HYPERLINK("https://klasma.github.io/Logging_2463/kartor/A 28251-2026 karta.png", "A 28251-2026")</f>
        <v/>
      </c>
      <c r="Y77">
        <f>HYPERLINK("https://klasma.github.io/Logging_2463/klagomål/A 28251-2026 FSC-klagomål.docx", "A 28251-2026")</f>
        <v/>
      </c>
      <c r="Z77">
        <f>HYPERLINK("https://klasma.github.io/Logging_2463/klagomålsmail/A 28251-2026 FSC-klagomål mail.docx", "A 28251-2026")</f>
        <v/>
      </c>
      <c r="AA77">
        <f>HYPERLINK("https://klasma.github.io/Logging_2463/tillsyn/A 28251-2026 tillsynsbegäran.docx", "A 28251-2026")</f>
        <v/>
      </c>
      <c r="AB77">
        <f>HYPERLINK("https://klasma.github.io/Logging_2463/tillsynsmail/A 28251-2026 tillsynsbegäran mail.docx", "A 28251-2026")</f>
        <v/>
      </c>
    </row>
    <row r="78" ht="15" customHeight="1">
      <c r="A78" t="inlineStr">
        <is>
          <t>A 8634-2023</t>
        </is>
      </c>
      <c r="B78" t="inlineStr">
        <is>
          <t>avverkningsanmälan</t>
        </is>
      </c>
      <c r="C78" t="inlineStr">
        <is>
          <t>Föryngringsavverkning</t>
        </is>
      </c>
      <c r="D78" s="1" t="n">
        <v>44977</v>
      </c>
      <c r="E78" s="1" t="n">
        <v>46216</v>
      </c>
      <c r="F78" t="inlineStr">
        <is>
          <t>VÄSTERBOTTENS LÄN</t>
        </is>
      </c>
      <c r="G78" t="inlineStr">
        <is>
          <t>ÅSELE</t>
        </is>
      </c>
      <c r="I78" t="n">
        <v>1</v>
      </c>
      <c r="J78" t="n">
        <v>0</v>
      </c>
      <c r="K78" t="n">
        <v>0</v>
      </c>
      <c r="L78" t="n">
        <v>1</v>
      </c>
      <c r="M78" t="n">
        <v>0</v>
      </c>
      <c r="N78" t="n">
        <v>0</v>
      </c>
      <c r="O78" t="n">
        <v>0</v>
      </c>
      <c r="P78" t="n">
        <v>0</v>
      </c>
      <c r="Q78" t="n">
        <v>1</v>
      </c>
      <c r="R78" t="n">
        <v>0</v>
      </c>
      <c r="S78" t="n">
        <v>1</v>
      </c>
      <c r="T78" t="n">
        <v>1</v>
      </c>
      <c r="U78" s="2" t="inlineStr">
        <is>
          <t>Gammelgransskål</t>
        </is>
      </c>
      <c r="V78">
        <f>HYPERLINK("https://klasma.github.io/Logging_2463/artfynd/A 8634-2023 artfynd.xlsx", "A 8634-2023")</f>
        <v/>
      </c>
      <c r="W78">
        <f>HYPERLINK("https://klasma.github.io/Logging_2463/kartor/A 8634-2023 karta.png", "A 8634-2023")</f>
        <v/>
      </c>
      <c r="Y78">
        <f>HYPERLINK("https://klasma.github.io/Logging_2463/klagomål/A 8634-2023 FSC-klagomål.docx", "A 8634-2023")</f>
        <v/>
      </c>
      <c r="Z78">
        <f>HYPERLINK("https://klasma.github.io/Logging_2463/klagomålsmail/A 8634-2023 FSC-klagomål mail.docx", "A 8634-2023")</f>
        <v/>
      </c>
      <c r="AA78">
        <f>HYPERLINK("https://klasma.github.io/Logging_2463/tillsyn/A 8634-2023 tillsynsbegäran.docx", "A 8634-2023")</f>
        <v/>
      </c>
      <c r="AB78">
        <f>HYPERLINK("https://klasma.github.io/Logging_2463/tillsynsmail/A 8634-2023 tillsynsbegäran mail.docx", "A 8634-2023")</f>
        <v/>
      </c>
    </row>
    <row r="79" ht="15" customHeight="1">
      <c r="A79" t="inlineStr">
        <is>
          <t>S 1179-2023</t>
        </is>
      </c>
      <c r="B79" t="inlineStr">
        <is>
          <t>samrådsanmälan</t>
        </is>
      </c>
      <c r="C79" t="inlineStr">
        <is>
          <t>Annan skogsbruksåtgärd</t>
        </is>
      </c>
      <c r="D79" s="1" t="n">
        <v>45021</v>
      </c>
      <c r="E79" s="1" t="n">
        <v>46216</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s="2" t="inlineStr">
        <is>
          <t>Vitgrynig nållav</t>
        </is>
      </c>
      <c r="V79">
        <f>HYPERLINK("https://klasma.github.io/Logging_2463/artfynd/S 1179-2023 artfynd.xlsx", "S 1179-2023")</f>
        <v/>
      </c>
      <c r="W79">
        <f>HYPERLINK("https://klasma.github.io/Logging_2463/kartor/S 1179-2023 karta.png", "S 1179-2023")</f>
        <v/>
      </c>
      <c r="Y79">
        <f>HYPERLINK("https://klasma.github.io/Logging_2463/klagomål/S 1179-2023 FSC-klagomål.docx", "S 1179-2023")</f>
        <v/>
      </c>
      <c r="Z79">
        <f>HYPERLINK("https://klasma.github.io/Logging_2463/klagomålsmail/S 1179-2023 FSC-klagomål mail.docx", "S 1179-2023")</f>
        <v/>
      </c>
      <c r="AA79">
        <f>HYPERLINK("https://klasma.github.io/Logging_2463/tillsyn/S 1179-2023 tillsynsbegäran.docx", "S 1179-2023")</f>
        <v/>
      </c>
      <c r="AB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46216</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s="2" t="inlineStr">
        <is>
          <t>Garnlav</t>
        </is>
      </c>
      <c r="V80">
        <f>HYPERLINK("https://klasma.github.io/Logging_2463/artfynd/S 888-2025 artfynd.xlsx", "S 888-2025")</f>
        <v/>
      </c>
      <c r="W80">
        <f>HYPERLINK("https://klasma.github.io/Logging_2463/kartor/S 888-2025 karta.png", "S 888-2025")</f>
        <v/>
      </c>
      <c r="Y80">
        <f>HYPERLINK("https://klasma.github.io/Logging_2463/klagomål/S 888-2025 FSC-klagomål.docx", "S 888-2025")</f>
        <v/>
      </c>
      <c r="Z80">
        <f>HYPERLINK("https://klasma.github.io/Logging_2463/klagomålsmail/S 888-2025 FSC-klagomål mail.docx", "S 888-2025")</f>
        <v/>
      </c>
      <c r="AA80">
        <f>HYPERLINK("https://klasma.github.io/Logging_2463/tillsyn/S 888-2025 tillsynsbegäran.docx", "S 888-2025")</f>
        <v/>
      </c>
      <c r="AB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46216</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s="2" t="inlineStr"/>
    </row>
    <row r="82" ht="15" customHeight="1">
      <c r="A82" t="inlineStr">
        <is>
          <t>A 42193-2021</t>
        </is>
      </c>
      <c r="B82" t="inlineStr">
        <is>
          <t>avverkningsanmälan</t>
        </is>
      </c>
      <c r="C82" t="inlineStr">
        <is>
          <t>Föryngringsavverkning</t>
        </is>
      </c>
      <c r="D82" s="1" t="n">
        <v>44426</v>
      </c>
      <c r="E82" s="1" t="n">
        <v>46216</v>
      </c>
      <c r="F82" t="inlineStr">
        <is>
          <t>VÄSTERBOTTENS LÄN</t>
        </is>
      </c>
      <c r="G82" t="inlineStr">
        <is>
          <t>ÅSELE</t>
        </is>
      </c>
      <c r="I82" t="n">
        <v>10.1</v>
      </c>
      <c r="J82" t="n">
        <v>0</v>
      </c>
      <c r="K82" t="n">
        <v>0</v>
      </c>
      <c r="L82" t="n">
        <v>0</v>
      </c>
      <c r="M82" t="n">
        <v>0</v>
      </c>
      <c r="N82" t="n">
        <v>0</v>
      </c>
      <c r="O82" t="n">
        <v>0</v>
      </c>
      <c r="P82" t="n">
        <v>0</v>
      </c>
      <c r="Q82" t="n">
        <v>0</v>
      </c>
      <c r="R82" t="n">
        <v>0</v>
      </c>
      <c r="S82" t="n">
        <v>0</v>
      </c>
      <c r="T82" t="n">
        <v>0</v>
      </c>
      <c r="U82" s="2" t="inlineStr"/>
    </row>
    <row r="83" ht="15" customHeight="1">
      <c r="A83" t="inlineStr">
        <is>
          <t>A 66612-2021</t>
        </is>
      </c>
      <c r="B83" t="inlineStr">
        <is>
          <t>avverkningsanmälan</t>
        </is>
      </c>
      <c r="C83" t="inlineStr">
        <is>
          <t>Föryngringsavverkning</t>
        </is>
      </c>
      <c r="D83" s="1" t="n">
        <v>44519</v>
      </c>
      <c r="E83" s="1" t="n">
        <v>46216</v>
      </c>
      <c r="F83" t="inlineStr">
        <is>
          <t>VÄSTERBOTTENS LÄN</t>
        </is>
      </c>
      <c r="G83" t="inlineStr">
        <is>
          <t>ÅSELE</t>
        </is>
      </c>
      <c r="H83" t="inlineStr">
        <is>
          <t>Holmen skog AB</t>
        </is>
      </c>
      <c r="I83" t="n">
        <v>2</v>
      </c>
      <c r="J83" t="n">
        <v>0</v>
      </c>
      <c r="K83" t="n">
        <v>0</v>
      </c>
      <c r="L83" t="n">
        <v>0</v>
      </c>
      <c r="M83" t="n">
        <v>0</v>
      </c>
      <c r="N83" t="n">
        <v>0</v>
      </c>
      <c r="O83" t="n">
        <v>0</v>
      </c>
      <c r="P83" t="n">
        <v>0</v>
      </c>
      <c r="Q83" t="n">
        <v>0</v>
      </c>
      <c r="R83" t="n">
        <v>0</v>
      </c>
      <c r="S83" t="n">
        <v>0</v>
      </c>
      <c r="T83" t="n">
        <v>0</v>
      </c>
      <c r="U83" s="2" t="inlineStr"/>
    </row>
    <row r="84" ht="15" customHeight="1">
      <c r="A84" t="inlineStr">
        <is>
          <t>A 9007-2022</t>
        </is>
      </c>
      <c r="B84" t="inlineStr">
        <is>
          <t>avverkningsanmälan</t>
        </is>
      </c>
      <c r="C84" t="inlineStr">
        <is>
          <t>Föryngringsavverkning</t>
        </is>
      </c>
      <c r="D84" s="1" t="n">
        <v>44615</v>
      </c>
      <c r="E84" s="1" t="n">
        <v>46216</v>
      </c>
      <c r="F84" t="inlineStr">
        <is>
          <t>VÄSTERBOTTENS LÄN</t>
        </is>
      </c>
      <c r="G84" t="inlineStr">
        <is>
          <t>ÅSELE</t>
        </is>
      </c>
      <c r="I84" t="n">
        <v>18.6</v>
      </c>
      <c r="J84" t="n">
        <v>0</v>
      </c>
      <c r="K84" t="n">
        <v>0</v>
      </c>
      <c r="L84" t="n">
        <v>0</v>
      </c>
      <c r="M84" t="n">
        <v>0</v>
      </c>
      <c r="N84" t="n">
        <v>0</v>
      </c>
      <c r="O84" t="n">
        <v>0</v>
      </c>
      <c r="P84" t="n">
        <v>0</v>
      </c>
      <c r="Q84" t="n">
        <v>0</v>
      </c>
      <c r="R84" t="n">
        <v>0</v>
      </c>
      <c r="S84" t="n">
        <v>0</v>
      </c>
      <c r="T84" t="n">
        <v>0</v>
      </c>
      <c r="U84" s="2" t="inlineStr"/>
    </row>
    <row r="85" ht="15" customHeight="1">
      <c r="A85" t="inlineStr">
        <is>
          <t>A 31848-2022</t>
        </is>
      </c>
      <c r="B85" t="inlineStr">
        <is>
          <t>avverkningsanmälan</t>
        </is>
      </c>
      <c r="C85" t="inlineStr">
        <is>
          <t>Föryngringsavverkning</t>
        </is>
      </c>
      <c r="D85" s="1" t="n">
        <v>44776</v>
      </c>
      <c r="E85" s="1" t="n">
        <v>46216</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s="2" t="inlineStr"/>
    </row>
    <row r="86" ht="15" customHeight="1">
      <c r="A86" t="inlineStr">
        <is>
          <t>A 40503-2021</t>
        </is>
      </c>
      <c r="B86" t="inlineStr">
        <is>
          <t>avverkningsanmälan</t>
        </is>
      </c>
      <c r="C86" t="inlineStr">
        <is>
          <t>Föryngringsavverkning</t>
        </is>
      </c>
      <c r="D86" s="1" t="n">
        <v>44420</v>
      </c>
      <c r="E86" s="1" t="n">
        <v>46216</v>
      </c>
      <c r="F86" t="inlineStr">
        <is>
          <t>VÄSTERBOTTENS LÄN</t>
        </is>
      </c>
      <c r="G86" t="inlineStr">
        <is>
          <t>ÅSELE</t>
        </is>
      </c>
      <c r="H86" t="inlineStr">
        <is>
          <t>Holmen skog AB</t>
        </is>
      </c>
      <c r="I86" t="n">
        <v>2.5</v>
      </c>
      <c r="J86" t="n">
        <v>0</v>
      </c>
      <c r="K86" t="n">
        <v>0</v>
      </c>
      <c r="L86" t="n">
        <v>0</v>
      </c>
      <c r="M86" t="n">
        <v>0</v>
      </c>
      <c r="N86" t="n">
        <v>0</v>
      </c>
      <c r="O86" t="n">
        <v>0</v>
      </c>
      <c r="P86" t="n">
        <v>0</v>
      </c>
      <c r="Q86" t="n">
        <v>0</v>
      </c>
      <c r="R86" t="n">
        <v>0</v>
      </c>
      <c r="S86" t="n">
        <v>0</v>
      </c>
      <c r="T86" t="n">
        <v>0</v>
      </c>
      <c r="U86" s="2" t="inlineStr"/>
    </row>
    <row r="87" ht="15" customHeight="1">
      <c r="A87" t="inlineStr">
        <is>
          <t>A 37313-2022</t>
        </is>
      </c>
      <c r="B87" t="inlineStr">
        <is>
          <t>avverkningsanmälan</t>
        </is>
      </c>
      <c r="C87" t="inlineStr">
        <is>
          <t>Föryngringsavverkning</t>
        </is>
      </c>
      <c r="D87" s="1" t="n">
        <v>44808</v>
      </c>
      <c r="E87" s="1" t="n">
        <v>46216</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s="2" t="inlineStr"/>
    </row>
    <row r="88" ht="15" customHeight="1">
      <c r="A88" t="inlineStr">
        <is>
          <t>A 36188-2022</t>
        </is>
      </c>
      <c r="B88" t="inlineStr">
        <is>
          <t>avverkningsanmälan</t>
        </is>
      </c>
      <c r="C88" t="inlineStr">
        <is>
          <t>Föryngringsavverkning</t>
        </is>
      </c>
      <c r="D88" s="1" t="n">
        <v>44803</v>
      </c>
      <c r="E88" s="1" t="n">
        <v>46216</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s="2" t="inlineStr"/>
    </row>
    <row r="89" ht="15" customHeight="1">
      <c r="A89" t="inlineStr">
        <is>
          <t>A 46981-2022</t>
        </is>
      </c>
      <c r="B89" t="inlineStr">
        <is>
          <t>avverkningsanmälan</t>
        </is>
      </c>
      <c r="C89" t="inlineStr">
        <is>
          <t>Avverkning för att bevara och utveckla /försöksver</t>
        </is>
      </c>
      <c r="D89" s="1" t="n">
        <v>44851</v>
      </c>
      <c r="E89" s="1" t="n">
        <v>46216</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s="2" t="inlineStr"/>
    </row>
    <row r="90" ht="15" customHeight="1">
      <c r="A90" t="inlineStr">
        <is>
          <t>A 46340-2022</t>
        </is>
      </c>
      <c r="B90" t="inlineStr">
        <is>
          <t>avverkningsanmälan</t>
        </is>
      </c>
      <c r="C90" t="inlineStr">
        <is>
          <t>Avverkning för att bevara och utveckla /försöksver</t>
        </is>
      </c>
      <c r="D90" s="1" t="n">
        <v>44847</v>
      </c>
      <c r="E90" s="1" t="n">
        <v>46216</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s="2" t="inlineStr"/>
    </row>
    <row r="91" ht="15" customHeight="1">
      <c r="A91" t="inlineStr">
        <is>
          <t>A 48772-2022</t>
        </is>
      </c>
      <c r="B91" t="inlineStr">
        <is>
          <t>avverkningsanmälan</t>
        </is>
      </c>
      <c r="C91" t="inlineStr">
        <is>
          <t>Föryngringsavverkning</t>
        </is>
      </c>
      <c r="D91" s="1" t="n">
        <v>44859</v>
      </c>
      <c r="E91" s="1" t="n">
        <v>46216</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s="2" t="inlineStr"/>
    </row>
    <row r="92" ht="15" customHeight="1">
      <c r="A92" t="inlineStr">
        <is>
          <t>A 35227-2022</t>
        </is>
      </c>
      <c r="B92" t="inlineStr">
        <is>
          <t>avverkningsanmälan</t>
        </is>
      </c>
      <c r="C92" t="inlineStr">
        <is>
          <t>Föryngringsavverkning</t>
        </is>
      </c>
      <c r="D92" s="1" t="n">
        <v>44797</v>
      </c>
      <c r="E92" s="1" t="n">
        <v>46216</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s="2" t="inlineStr"/>
    </row>
    <row r="93" ht="15" customHeight="1">
      <c r="A93" t="inlineStr">
        <is>
          <t>A 68105-2021</t>
        </is>
      </c>
      <c r="B93" t="inlineStr">
        <is>
          <t>avverkningsanmälan</t>
        </is>
      </c>
      <c r="C93" t="inlineStr">
        <is>
          <t>Föryngringsavverkning</t>
        </is>
      </c>
      <c r="D93" s="1" t="n">
        <v>44526</v>
      </c>
      <c r="E93" s="1" t="n">
        <v>46216</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s="2" t="inlineStr"/>
    </row>
    <row r="94" ht="15" customHeight="1">
      <c r="A94" t="inlineStr">
        <is>
          <t>A 54911-2021</t>
        </is>
      </c>
      <c r="B94" t="inlineStr">
        <is>
          <t>avverkningsanmälan</t>
        </is>
      </c>
      <c r="C94" t="inlineStr">
        <is>
          <t>Föryngringsavverkning</t>
        </is>
      </c>
      <c r="D94" s="1" t="n">
        <v>44474</v>
      </c>
      <c r="E94" s="1" t="n">
        <v>46216</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s="2" t="inlineStr"/>
    </row>
    <row r="95" ht="15" customHeight="1">
      <c r="A95" t="inlineStr">
        <is>
          <t>A 34786-2022</t>
        </is>
      </c>
      <c r="B95" t="inlineStr">
        <is>
          <t>avverkningsanmälan</t>
        </is>
      </c>
      <c r="C95" t="inlineStr">
        <is>
          <t>Föryngringsavverkning</t>
        </is>
      </c>
      <c r="D95" s="1" t="n">
        <v>44795</v>
      </c>
      <c r="E95" s="1" t="n">
        <v>46216</v>
      </c>
      <c r="F95" t="inlineStr">
        <is>
          <t>VÄSTERBOTTENS LÄN</t>
        </is>
      </c>
      <c r="G95" t="inlineStr">
        <is>
          <t>ÅSELE</t>
        </is>
      </c>
      <c r="H95" t="inlineStr">
        <is>
          <t>SCA</t>
        </is>
      </c>
      <c r="I95" t="n">
        <v>2.5</v>
      </c>
      <c r="J95" t="n">
        <v>0</v>
      </c>
      <c r="K95" t="n">
        <v>0</v>
      </c>
      <c r="L95" t="n">
        <v>0</v>
      </c>
      <c r="M95" t="n">
        <v>0</v>
      </c>
      <c r="N95" t="n">
        <v>0</v>
      </c>
      <c r="O95" t="n">
        <v>0</v>
      </c>
      <c r="P95" t="n">
        <v>0</v>
      </c>
      <c r="Q95" t="n">
        <v>0</v>
      </c>
      <c r="R95" t="n">
        <v>0</v>
      </c>
      <c r="S95" t="n">
        <v>0</v>
      </c>
      <c r="T95" t="n">
        <v>0</v>
      </c>
      <c r="U95" s="2" t="inlineStr"/>
    </row>
    <row r="96" ht="15" customHeight="1">
      <c r="A96" t="inlineStr">
        <is>
          <t>A 39400-2022</t>
        </is>
      </c>
      <c r="B96" t="inlineStr">
        <is>
          <t>avverkningsanmälan</t>
        </is>
      </c>
      <c r="C96" t="inlineStr">
        <is>
          <t>Föryngringsavverkning</t>
        </is>
      </c>
      <c r="D96" s="1" t="n">
        <v>44817</v>
      </c>
      <c r="E96" s="1" t="n">
        <v>46216</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s="2" t="inlineStr"/>
    </row>
    <row r="97" ht="15" customHeight="1">
      <c r="A97" t="inlineStr">
        <is>
          <t>A 56060-2021</t>
        </is>
      </c>
      <c r="B97" t="inlineStr">
        <is>
          <t>avverkningsanmälan</t>
        </is>
      </c>
      <c r="C97" t="inlineStr">
        <is>
          <t>Föryngringsavverkning</t>
        </is>
      </c>
      <c r="D97" s="1" t="n">
        <v>44477</v>
      </c>
      <c r="E97" s="1" t="n">
        <v>46216</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s="2" t="inlineStr"/>
    </row>
    <row r="98" ht="15" customHeight="1">
      <c r="A98" t="inlineStr">
        <is>
          <t>A 39386-2022</t>
        </is>
      </c>
      <c r="B98" t="inlineStr">
        <is>
          <t>avverkningsanmälan</t>
        </is>
      </c>
      <c r="C98" t="inlineStr">
        <is>
          <t>Föryngringsavverkning</t>
        </is>
      </c>
      <c r="D98" s="1" t="n">
        <v>44817</v>
      </c>
      <c r="E98" s="1" t="n">
        <v>46216</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s="2" t="inlineStr"/>
    </row>
    <row r="99" ht="15" customHeight="1">
      <c r="A99" t="inlineStr">
        <is>
          <t>A 50424-2021</t>
        </is>
      </c>
      <c r="B99" t="inlineStr">
        <is>
          <t>avverkningsanmälan</t>
        </is>
      </c>
      <c r="C99" t="inlineStr">
        <is>
          <t>Föryngringsavverkning</t>
        </is>
      </c>
      <c r="D99" s="1" t="n">
        <v>44459</v>
      </c>
      <c r="E99" s="1" t="n">
        <v>46216</v>
      </c>
      <c r="F99" t="inlineStr">
        <is>
          <t>VÄSTERBOTTENS LÄN</t>
        </is>
      </c>
      <c r="G99" t="inlineStr">
        <is>
          <t>ÅSELE</t>
        </is>
      </c>
      <c r="H99" t="inlineStr">
        <is>
          <t>Holmen skog AB</t>
        </is>
      </c>
      <c r="I99" t="n">
        <v>3.9</v>
      </c>
      <c r="J99" t="n">
        <v>0</v>
      </c>
      <c r="K99" t="n">
        <v>0</v>
      </c>
      <c r="L99" t="n">
        <v>0</v>
      </c>
      <c r="M99" t="n">
        <v>0</v>
      </c>
      <c r="N99" t="n">
        <v>0</v>
      </c>
      <c r="O99" t="n">
        <v>0</v>
      </c>
      <c r="P99" t="n">
        <v>0</v>
      </c>
      <c r="Q99" t="n">
        <v>0</v>
      </c>
      <c r="R99" t="n">
        <v>0</v>
      </c>
      <c r="S99" t="n">
        <v>0</v>
      </c>
      <c r="T99" t="n">
        <v>0</v>
      </c>
      <c r="U99" s="2" t="inlineStr"/>
    </row>
    <row r="100" ht="15" customHeight="1">
      <c r="A100" t="inlineStr">
        <is>
          <t>A 55921-2021</t>
        </is>
      </c>
      <c r="B100" t="inlineStr">
        <is>
          <t>avverkningsanmälan</t>
        </is>
      </c>
      <c r="C100" t="inlineStr">
        <is>
          <t>Föryngringsavverkning</t>
        </is>
      </c>
      <c r="D100" s="1" t="n">
        <v>44476</v>
      </c>
      <c r="E100" s="1" t="n">
        <v>46216</v>
      </c>
      <c r="F100" t="inlineStr">
        <is>
          <t>VÄSTERBOTTENS LÄN</t>
        </is>
      </c>
      <c r="G100" t="inlineStr">
        <is>
          <t>ÅSELE</t>
        </is>
      </c>
      <c r="H100" t="inlineStr">
        <is>
          <t>SCA</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19701-2022</t>
        </is>
      </c>
      <c r="B101" t="inlineStr">
        <is>
          <t>avverkningsanmälan</t>
        </is>
      </c>
      <c r="C101" t="inlineStr">
        <is>
          <t>Föryngringsavverkning</t>
        </is>
      </c>
      <c r="D101" s="1" t="n">
        <v>44694</v>
      </c>
      <c r="E101" s="1" t="n">
        <v>46216</v>
      </c>
      <c r="F101" t="inlineStr">
        <is>
          <t>VÄSTERBOTTENS LÄN</t>
        </is>
      </c>
      <c r="G101" t="inlineStr">
        <is>
          <t>ÅSELE</t>
        </is>
      </c>
      <c r="H101" t="inlineStr">
        <is>
          <t>Holmen skog AB</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3469-2022</t>
        </is>
      </c>
      <c r="B102" t="inlineStr">
        <is>
          <t>avverkningsanmälan</t>
        </is>
      </c>
      <c r="C102" t="inlineStr">
        <is>
          <t>Föryngringsavverkning</t>
        </is>
      </c>
      <c r="D102" s="1" t="n">
        <v>44585</v>
      </c>
      <c r="E102" s="1" t="n">
        <v>46216</v>
      </c>
      <c r="F102" t="inlineStr">
        <is>
          <t>VÄSTERBOTTENS LÄN</t>
        </is>
      </c>
      <c r="G102" t="inlineStr">
        <is>
          <t>ÅSELE</t>
        </is>
      </c>
      <c r="H102" t="inlineStr">
        <is>
          <t>Holmen skog AB</t>
        </is>
      </c>
      <c r="I102" t="n">
        <v>1.4</v>
      </c>
      <c r="J102" t="n">
        <v>0</v>
      </c>
      <c r="K102" t="n">
        <v>0</v>
      </c>
      <c r="L102" t="n">
        <v>0</v>
      </c>
      <c r="M102" t="n">
        <v>0</v>
      </c>
      <c r="N102" t="n">
        <v>0</v>
      </c>
      <c r="O102" t="n">
        <v>0</v>
      </c>
      <c r="P102" t="n">
        <v>0</v>
      </c>
      <c r="Q102" t="n">
        <v>0</v>
      </c>
      <c r="R102" t="n">
        <v>0</v>
      </c>
      <c r="S102" t="n">
        <v>0</v>
      </c>
      <c r="T102" t="n">
        <v>0</v>
      </c>
      <c r="U102" s="2" t="inlineStr"/>
    </row>
    <row r="103" ht="15" customHeight="1">
      <c r="A103" t="inlineStr">
        <is>
          <t>A 17255-2022</t>
        </is>
      </c>
      <c r="B103" t="inlineStr">
        <is>
          <t>avverkningsanmälan</t>
        </is>
      </c>
      <c r="C103" t="inlineStr">
        <is>
          <t>Avverkning för annat ändamål</t>
        </is>
      </c>
      <c r="D103" s="1" t="n">
        <v>44678</v>
      </c>
      <c r="E103" s="1" t="n">
        <v>46216</v>
      </c>
      <c r="F103" t="inlineStr">
        <is>
          <t>VÄSTERBOTTENS LÄN</t>
        </is>
      </c>
      <c r="G103" t="inlineStr">
        <is>
          <t>ÅSELE</t>
        </is>
      </c>
      <c r="H103" t="inlineStr">
        <is>
          <t>Allmännings- och besparingsskogar</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55922-2021</t>
        </is>
      </c>
      <c r="B104" t="inlineStr">
        <is>
          <t>avverkningsanmälan</t>
        </is>
      </c>
      <c r="C104" t="inlineStr">
        <is>
          <t>Föryngringsavverkning</t>
        </is>
      </c>
      <c r="D104" s="1" t="n">
        <v>44476</v>
      </c>
      <c r="E104" s="1" t="n">
        <v>46216</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29776-2022</t>
        </is>
      </c>
      <c r="B105" t="inlineStr">
        <is>
          <t>avverkningsanmälan</t>
        </is>
      </c>
      <c r="C105" t="inlineStr">
        <is>
          <t>Föryngringsavverkning</t>
        </is>
      </c>
      <c r="D105" s="1" t="n">
        <v>44755</v>
      </c>
      <c r="E105" s="1" t="n">
        <v>46216</v>
      </c>
      <c r="F105" t="inlineStr">
        <is>
          <t>VÄSTERBOTTENS LÄN</t>
        </is>
      </c>
      <c r="G105" t="inlineStr">
        <is>
          <t>ÅSELE</t>
        </is>
      </c>
      <c r="H105" t="inlineStr">
        <is>
          <t>Sveaskog</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34787-2022</t>
        </is>
      </c>
      <c r="B106" t="inlineStr">
        <is>
          <t>avverkningsanmälan</t>
        </is>
      </c>
      <c r="C106" t="inlineStr">
        <is>
          <t>Föryngringsavverkning</t>
        </is>
      </c>
      <c r="D106" s="1" t="n">
        <v>44795</v>
      </c>
      <c r="E106" s="1" t="n">
        <v>46216</v>
      </c>
      <c r="F106" t="inlineStr">
        <is>
          <t>VÄSTERBOTTENS LÄN</t>
        </is>
      </c>
      <c r="G106" t="inlineStr">
        <is>
          <t>ÅSELE</t>
        </is>
      </c>
      <c r="H106" t="inlineStr">
        <is>
          <t>SCA</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66557-2021</t>
        </is>
      </c>
      <c r="B107" t="inlineStr">
        <is>
          <t>avverkningsanmälan</t>
        </is>
      </c>
      <c r="C107" t="inlineStr">
        <is>
          <t>Föryngringsavverkning</t>
        </is>
      </c>
      <c r="D107" s="1" t="n">
        <v>44519</v>
      </c>
      <c r="E107" s="1" t="n">
        <v>46216</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39938-2021</t>
        </is>
      </c>
      <c r="B108" t="inlineStr">
        <is>
          <t>avverkningsanmälan</t>
        </is>
      </c>
      <c r="C108" t="inlineStr">
        <is>
          <t>Föryngringsavverkning</t>
        </is>
      </c>
      <c r="D108" s="1" t="n">
        <v>44417</v>
      </c>
      <c r="E108" s="1" t="n">
        <v>46216</v>
      </c>
      <c r="F108" t="inlineStr">
        <is>
          <t>VÄSTERBOTTENS LÄN</t>
        </is>
      </c>
      <c r="G108" t="inlineStr">
        <is>
          <t>ÅSELE</t>
        </is>
      </c>
      <c r="H108" t="inlineStr">
        <is>
          <t>SCA</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49527-2022</t>
        </is>
      </c>
      <c r="B109" t="inlineStr">
        <is>
          <t>avverkningsanmälan</t>
        </is>
      </c>
      <c r="C109" t="inlineStr">
        <is>
          <t>Avverkning för att bevara och utveckla /försöksver</t>
        </is>
      </c>
      <c r="D109" s="1" t="n">
        <v>44861</v>
      </c>
      <c r="E109" s="1" t="n">
        <v>46216</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15559-2022</t>
        </is>
      </c>
      <c r="B110" t="inlineStr">
        <is>
          <t>avverkningsanmälan</t>
        </is>
      </c>
      <c r="C110" t="inlineStr">
        <is>
          <t>Föryngringsavverkning</t>
        </is>
      </c>
      <c r="D110" s="1" t="n">
        <v>44662</v>
      </c>
      <c r="E110" s="1" t="n">
        <v>46216</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s="2" t="inlineStr"/>
    </row>
    <row r="111" ht="15" customHeight="1">
      <c r="A111" t="inlineStr">
        <is>
          <t>A 52025-2022</t>
        </is>
      </c>
      <c r="B111" t="inlineStr">
        <is>
          <t>avverkningsanmälan</t>
        </is>
      </c>
      <c r="C111" t="inlineStr">
        <is>
          <t>Föryngringsavverkning</t>
        </is>
      </c>
      <c r="D111" s="1" t="n">
        <v>44872</v>
      </c>
      <c r="E111" s="1" t="n">
        <v>46216</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s="2" t="inlineStr"/>
    </row>
    <row r="112" ht="15" customHeight="1">
      <c r="A112" t="inlineStr">
        <is>
          <t>A 69370-2021</t>
        </is>
      </c>
      <c r="B112" t="inlineStr">
        <is>
          <t>avverkningsanmälan</t>
        </is>
      </c>
      <c r="C112" t="inlineStr">
        <is>
          <t>Föryngringsavverkning</t>
        </is>
      </c>
      <c r="D112" s="1" t="n">
        <v>44531</v>
      </c>
      <c r="E112" s="1" t="n">
        <v>46216</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18568-2022</t>
        </is>
      </c>
      <c r="B113" t="inlineStr">
        <is>
          <t>avverkningsanmälan</t>
        </is>
      </c>
      <c r="C113" t="inlineStr">
        <is>
          <t>Föryngringsavverkning</t>
        </is>
      </c>
      <c r="D113" s="1" t="n">
        <v>44686</v>
      </c>
      <c r="E113" s="1" t="n">
        <v>46216</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43737-2021</t>
        </is>
      </c>
      <c r="B114" t="inlineStr">
        <is>
          <t>avverkningsanmälan</t>
        </is>
      </c>
      <c r="C114" t="inlineStr">
        <is>
          <t>Föryngringsavverkning</t>
        </is>
      </c>
      <c r="D114" s="1" t="n">
        <v>44433</v>
      </c>
      <c r="E114" s="1" t="n">
        <v>46216</v>
      </c>
      <c r="F114" t="inlineStr">
        <is>
          <t>VÄSTERBOTTENS LÄN</t>
        </is>
      </c>
      <c r="G114" t="inlineStr">
        <is>
          <t>ÅSELE</t>
        </is>
      </c>
      <c r="H114" t="inlineStr">
        <is>
          <t>Naturvårdsverket</t>
        </is>
      </c>
      <c r="I114" t="n">
        <v>2.1</v>
      </c>
      <c r="J114" t="n">
        <v>0</v>
      </c>
      <c r="K114" t="n">
        <v>0</v>
      </c>
      <c r="L114" t="n">
        <v>0</v>
      </c>
      <c r="M114" t="n">
        <v>0</v>
      </c>
      <c r="N114" t="n">
        <v>0</v>
      </c>
      <c r="O114" t="n">
        <v>0</v>
      </c>
      <c r="P114" t="n">
        <v>0</v>
      </c>
      <c r="Q114" t="n">
        <v>0</v>
      </c>
      <c r="R114" t="n">
        <v>0</v>
      </c>
      <c r="S114" t="n">
        <v>0</v>
      </c>
      <c r="T114" t="n">
        <v>0</v>
      </c>
      <c r="U114" s="2" t="inlineStr"/>
    </row>
    <row r="115" ht="15" customHeight="1">
      <c r="A115" t="inlineStr">
        <is>
          <t>A 62268-2021</t>
        </is>
      </c>
      <c r="B115" t="inlineStr">
        <is>
          <t>avverkningsanmälan</t>
        </is>
      </c>
      <c r="C115" t="inlineStr">
        <is>
          <t>Föryngringsavverkning</t>
        </is>
      </c>
      <c r="D115" s="1" t="n">
        <v>44503</v>
      </c>
      <c r="E115" s="1" t="n">
        <v>46216</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s="2" t="inlineStr"/>
    </row>
    <row r="116" ht="15" customHeight="1">
      <c r="A116" t="inlineStr">
        <is>
          <t>A 49803-2021</t>
        </is>
      </c>
      <c r="B116" t="inlineStr">
        <is>
          <t>avverkningsanmälan</t>
        </is>
      </c>
      <c r="C116" t="inlineStr">
        <is>
          <t>Föryngringsavverkning</t>
        </is>
      </c>
      <c r="D116" s="1" t="n">
        <v>44455</v>
      </c>
      <c r="E116" s="1" t="n">
        <v>46216</v>
      </c>
      <c r="F116" t="inlineStr">
        <is>
          <t>VÄSTERBOTTENS LÄN</t>
        </is>
      </c>
      <c r="G116" t="inlineStr">
        <is>
          <t>ÅSELE</t>
        </is>
      </c>
      <c r="H116" t="inlineStr">
        <is>
          <t>Holmen skog AB</t>
        </is>
      </c>
      <c r="I116" t="n">
        <v>13.7</v>
      </c>
      <c r="J116" t="n">
        <v>0</v>
      </c>
      <c r="K116" t="n">
        <v>0</v>
      </c>
      <c r="L116" t="n">
        <v>0</v>
      </c>
      <c r="M116" t="n">
        <v>0</v>
      </c>
      <c r="N116" t="n">
        <v>0</v>
      </c>
      <c r="O116" t="n">
        <v>0</v>
      </c>
      <c r="P116" t="n">
        <v>0</v>
      </c>
      <c r="Q116" t="n">
        <v>0</v>
      </c>
      <c r="R116" t="n">
        <v>0</v>
      </c>
      <c r="S116" t="n">
        <v>0</v>
      </c>
      <c r="T116" t="n">
        <v>0</v>
      </c>
      <c r="U116" s="2" t="inlineStr"/>
    </row>
    <row r="117" ht="15" customHeight="1">
      <c r="A117" t="inlineStr">
        <is>
          <t>A 32359-2022</t>
        </is>
      </c>
      <c r="B117" t="inlineStr">
        <is>
          <t>avverkningsanmälan</t>
        </is>
      </c>
      <c r="C117" t="inlineStr">
        <is>
          <t>Föryngringsavverkning</t>
        </is>
      </c>
      <c r="D117" s="1" t="n">
        <v>44781</v>
      </c>
      <c r="E117" s="1" t="n">
        <v>46216</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s="2" t="inlineStr"/>
    </row>
    <row r="118" ht="15" customHeight="1">
      <c r="A118" t="inlineStr">
        <is>
          <t>A 61289-2021</t>
        </is>
      </c>
      <c r="B118" t="inlineStr">
        <is>
          <t>avverkningsanmälan</t>
        </is>
      </c>
      <c r="C118" t="inlineStr">
        <is>
          <t>Föryngringsavverkning</t>
        </is>
      </c>
      <c r="D118" s="1" t="n">
        <v>44498</v>
      </c>
      <c r="E118" s="1" t="n">
        <v>46216</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s="2" t="inlineStr"/>
    </row>
    <row r="119" ht="15" customHeight="1">
      <c r="A119" t="inlineStr">
        <is>
          <t>A 54432-2021</t>
        </is>
      </c>
      <c r="B119" t="inlineStr">
        <is>
          <t>avverkningsanmälan</t>
        </is>
      </c>
      <c r="C119" t="inlineStr">
        <is>
          <t>Föryngringsavverkning</t>
        </is>
      </c>
      <c r="D119" s="1" t="n">
        <v>44472</v>
      </c>
      <c r="E119" s="1" t="n">
        <v>46216</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s="2" t="inlineStr"/>
    </row>
    <row r="120" ht="15" customHeight="1">
      <c r="A120" t="inlineStr">
        <is>
          <t>A 61299-2021</t>
        </is>
      </c>
      <c r="B120" t="inlineStr">
        <is>
          <t>avverkningsanmälan</t>
        </is>
      </c>
      <c r="C120" t="inlineStr">
        <is>
          <t>Föryngringsavverkning</t>
        </is>
      </c>
      <c r="D120" s="1" t="n">
        <v>44498</v>
      </c>
      <c r="E120" s="1" t="n">
        <v>46216</v>
      </c>
      <c r="F120" t="inlineStr">
        <is>
          <t>VÄSTERBOTTENS LÄN</t>
        </is>
      </c>
      <c r="G120" t="inlineStr">
        <is>
          <t>ÅSELE</t>
        </is>
      </c>
      <c r="H120" t="inlineStr">
        <is>
          <t>Sveaskog</t>
        </is>
      </c>
      <c r="I120" t="n">
        <v>5.8</v>
      </c>
      <c r="J120" t="n">
        <v>0</v>
      </c>
      <c r="K120" t="n">
        <v>0</v>
      </c>
      <c r="L120" t="n">
        <v>0</v>
      </c>
      <c r="M120" t="n">
        <v>0</v>
      </c>
      <c r="N120" t="n">
        <v>0</v>
      </c>
      <c r="O120" t="n">
        <v>0</v>
      </c>
      <c r="P120" t="n">
        <v>0</v>
      </c>
      <c r="Q120" t="n">
        <v>0</v>
      </c>
      <c r="R120" t="n">
        <v>0</v>
      </c>
      <c r="S120" t="n">
        <v>0</v>
      </c>
      <c r="T120" t="n">
        <v>0</v>
      </c>
      <c r="U120" s="2" t="inlineStr"/>
    </row>
    <row r="121" ht="15" customHeight="1">
      <c r="A121" t="inlineStr">
        <is>
          <t>A 22011-2022</t>
        </is>
      </c>
      <c r="B121" t="inlineStr">
        <is>
          <t>avverkningsanmälan</t>
        </is>
      </c>
      <c r="C121" t="inlineStr">
        <is>
          <t>Föryngringsavverkning</t>
        </is>
      </c>
      <c r="D121" s="1" t="n">
        <v>44711</v>
      </c>
      <c r="E121" s="1" t="n">
        <v>46216</v>
      </c>
      <c r="F121" t="inlineStr">
        <is>
          <t>VÄSTERBOTTENS LÄN</t>
        </is>
      </c>
      <c r="G121" t="inlineStr">
        <is>
          <t>ÅSELE</t>
        </is>
      </c>
      <c r="I121" t="n">
        <v>9.199999999999999</v>
      </c>
      <c r="J121" t="n">
        <v>0</v>
      </c>
      <c r="K121" t="n">
        <v>0</v>
      </c>
      <c r="L121" t="n">
        <v>0</v>
      </c>
      <c r="M121" t="n">
        <v>0</v>
      </c>
      <c r="N121" t="n">
        <v>0</v>
      </c>
      <c r="O121" t="n">
        <v>0</v>
      </c>
      <c r="P121" t="n">
        <v>0</v>
      </c>
      <c r="Q121" t="n">
        <v>0</v>
      </c>
      <c r="R121" t="n">
        <v>0</v>
      </c>
      <c r="S121" t="n">
        <v>0</v>
      </c>
      <c r="T121" t="n">
        <v>0</v>
      </c>
      <c r="U121" s="2" t="inlineStr"/>
    </row>
    <row r="122" ht="15" customHeight="1">
      <c r="A122" t="inlineStr">
        <is>
          <t>A 38979-2022</t>
        </is>
      </c>
      <c r="B122" t="inlineStr">
        <is>
          <t>avverkningsanmälan</t>
        </is>
      </c>
      <c r="C122" t="inlineStr">
        <is>
          <t>Föryngringsavverkning</t>
        </is>
      </c>
      <c r="D122" s="1" t="n">
        <v>44816</v>
      </c>
      <c r="E122" s="1" t="n">
        <v>46216</v>
      </c>
      <c r="F122" t="inlineStr">
        <is>
          <t>VÄSTERBOTTENS LÄN</t>
        </is>
      </c>
      <c r="G122" t="inlineStr">
        <is>
          <t>ÅSELE</t>
        </is>
      </c>
      <c r="H122" t="inlineStr">
        <is>
          <t>Sveaskog</t>
        </is>
      </c>
      <c r="I122" t="n">
        <v>11.1</v>
      </c>
      <c r="J122" t="n">
        <v>0</v>
      </c>
      <c r="K122" t="n">
        <v>0</v>
      </c>
      <c r="L122" t="n">
        <v>0</v>
      </c>
      <c r="M122" t="n">
        <v>0</v>
      </c>
      <c r="N122" t="n">
        <v>0</v>
      </c>
      <c r="O122" t="n">
        <v>0</v>
      </c>
      <c r="P122" t="n">
        <v>0</v>
      </c>
      <c r="Q122" t="n">
        <v>0</v>
      </c>
      <c r="R122" t="n">
        <v>0</v>
      </c>
      <c r="S122" t="n">
        <v>0</v>
      </c>
      <c r="T122" t="n">
        <v>0</v>
      </c>
      <c r="U122" s="2" t="inlineStr"/>
    </row>
    <row r="123" ht="15" customHeight="1">
      <c r="A123" t="inlineStr">
        <is>
          <t>A 21117-2022</t>
        </is>
      </c>
      <c r="B123" t="inlineStr">
        <is>
          <t>avverkningsanmälan</t>
        </is>
      </c>
      <c r="C123" t="inlineStr">
        <is>
          <t>Föryngringsavverkning</t>
        </is>
      </c>
      <c r="D123" s="1" t="n">
        <v>44704</v>
      </c>
      <c r="E123" s="1" t="n">
        <v>46216</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s="2" t="inlineStr"/>
    </row>
    <row r="124" ht="15" customHeight="1">
      <c r="A124" t="inlineStr">
        <is>
          <t>A 21131-2022</t>
        </is>
      </c>
      <c r="B124" t="inlineStr">
        <is>
          <t>avverkningsanmälan</t>
        </is>
      </c>
      <c r="C124" t="inlineStr">
        <is>
          <t>Föryngringsavverkning</t>
        </is>
      </c>
      <c r="D124" s="1" t="n">
        <v>44704</v>
      </c>
      <c r="E124" s="1" t="n">
        <v>46216</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s="2" t="inlineStr"/>
    </row>
    <row r="125" ht="15" customHeight="1">
      <c r="A125" t="inlineStr">
        <is>
          <t>A 13402-2025</t>
        </is>
      </c>
      <c r="B125" t="inlineStr">
        <is>
          <t>avverkningsanmälan</t>
        </is>
      </c>
      <c r="C125" t="inlineStr">
        <is>
          <t>Föryngringsavverkning</t>
        </is>
      </c>
      <c r="D125" s="1" t="n">
        <v>45735</v>
      </c>
      <c r="E125" s="1" t="n">
        <v>46216</v>
      </c>
      <c r="F125" t="inlineStr">
        <is>
          <t>VÄSTERBOTTENS LÄN</t>
        </is>
      </c>
      <c r="G125" t="inlineStr">
        <is>
          <t>ÅSELE</t>
        </is>
      </c>
      <c r="I125" t="n">
        <v>1.7</v>
      </c>
      <c r="J125" t="n">
        <v>0</v>
      </c>
      <c r="K125" t="n">
        <v>0</v>
      </c>
      <c r="L125" t="n">
        <v>0</v>
      </c>
      <c r="M125" t="n">
        <v>0</v>
      </c>
      <c r="N125" t="n">
        <v>0</v>
      </c>
      <c r="O125" t="n">
        <v>0</v>
      </c>
      <c r="P125" t="n">
        <v>0</v>
      </c>
      <c r="Q125" t="n">
        <v>0</v>
      </c>
      <c r="R125" t="n">
        <v>0</v>
      </c>
      <c r="S125" t="n">
        <v>0</v>
      </c>
      <c r="T125" t="n">
        <v>0</v>
      </c>
      <c r="U125" s="2" t="inlineStr"/>
    </row>
    <row r="126" ht="15" customHeight="1">
      <c r="A126" t="inlineStr">
        <is>
          <t>A 61397-2022</t>
        </is>
      </c>
      <c r="B126" t="inlineStr">
        <is>
          <t>avverkningsanmälan</t>
        </is>
      </c>
      <c r="C126" t="inlineStr">
        <is>
          <t>Avverkning för att bevara och utveckla /försöksver</t>
        </is>
      </c>
      <c r="D126" s="1" t="n">
        <v>44915</v>
      </c>
      <c r="E126" s="1" t="n">
        <v>46216</v>
      </c>
      <c r="F126" t="inlineStr">
        <is>
          <t>VÄSTERBOTTENS LÄN</t>
        </is>
      </c>
      <c r="G126" t="inlineStr">
        <is>
          <t>ÅSELE</t>
        </is>
      </c>
      <c r="H126" t="inlineStr">
        <is>
          <t>SCA</t>
        </is>
      </c>
      <c r="I126" t="n">
        <v>3.2</v>
      </c>
      <c r="J126" t="n">
        <v>0</v>
      </c>
      <c r="K126" t="n">
        <v>0</v>
      </c>
      <c r="L126" t="n">
        <v>0</v>
      </c>
      <c r="M126" t="n">
        <v>0</v>
      </c>
      <c r="N126" t="n">
        <v>0</v>
      </c>
      <c r="O126" t="n">
        <v>0</v>
      </c>
      <c r="P126" t="n">
        <v>0</v>
      </c>
      <c r="Q126" t="n">
        <v>0</v>
      </c>
      <c r="R126" t="n">
        <v>0</v>
      </c>
      <c r="S126" t="n">
        <v>0</v>
      </c>
      <c r="T126" t="n">
        <v>0</v>
      </c>
      <c r="U126" s="2" t="inlineStr"/>
    </row>
    <row r="127" ht="15" customHeight="1">
      <c r="A127" t="inlineStr">
        <is>
          <t>A 29967-2024</t>
        </is>
      </c>
      <c r="B127" t="inlineStr">
        <is>
          <t>avverkningsanmälan</t>
        </is>
      </c>
      <c r="C127" t="inlineStr">
        <is>
          <t>Föryngringsavverkning</t>
        </is>
      </c>
      <c r="D127" s="1" t="n">
        <v>45488</v>
      </c>
      <c r="E127" s="1" t="n">
        <v>46216</v>
      </c>
      <c r="F127" t="inlineStr">
        <is>
          <t>VÄSTERBOTTENS LÄN</t>
        </is>
      </c>
      <c r="G127" t="inlineStr">
        <is>
          <t>ÅSELE</t>
        </is>
      </c>
      <c r="I127" t="n">
        <v>5.8</v>
      </c>
      <c r="J127" t="n">
        <v>0</v>
      </c>
      <c r="K127" t="n">
        <v>0</v>
      </c>
      <c r="L127" t="n">
        <v>0</v>
      </c>
      <c r="M127" t="n">
        <v>0</v>
      </c>
      <c r="N127" t="n">
        <v>0</v>
      </c>
      <c r="O127" t="n">
        <v>0</v>
      </c>
      <c r="P127" t="n">
        <v>0</v>
      </c>
      <c r="Q127" t="n">
        <v>0</v>
      </c>
      <c r="R127" t="n">
        <v>0</v>
      </c>
      <c r="S127" t="n">
        <v>0</v>
      </c>
      <c r="T127" t="n">
        <v>0</v>
      </c>
      <c r="U127" s="2" t="inlineStr"/>
    </row>
    <row r="128" ht="15" customHeight="1">
      <c r="A128" t="inlineStr">
        <is>
          <t>A 60493-2024</t>
        </is>
      </c>
      <c r="B128" t="inlineStr">
        <is>
          <t>avverkningsanmälan</t>
        </is>
      </c>
      <c r="C128" t="inlineStr">
        <is>
          <t>Föryngringsavverkning</t>
        </is>
      </c>
      <c r="D128" s="1" t="n">
        <v>45643</v>
      </c>
      <c r="E128" s="1" t="n">
        <v>46216</v>
      </c>
      <c r="F128" t="inlineStr">
        <is>
          <t>VÄSTERBOTTENS LÄN</t>
        </is>
      </c>
      <c r="G128" t="inlineStr">
        <is>
          <t>ÅSELE</t>
        </is>
      </c>
      <c r="H128" t="inlineStr">
        <is>
          <t>SCA</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3088-2024</t>
        </is>
      </c>
      <c r="B129" t="inlineStr">
        <is>
          <t>avverkningsanmälan</t>
        </is>
      </c>
      <c r="C129" t="inlineStr">
        <is>
          <t>Föryngringsavverkning</t>
        </is>
      </c>
      <c r="D129" s="1" t="n">
        <v>45316</v>
      </c>
      <c r="E129" s="1" t="n">
        <v>46216</v>
      </c>
      <c r="F129" t="inlineStr">
        <is>
          <t>VÄSTERBOTTENS LÄN</t>
        </is>
      </c>
      <c r="G129" t="inlineStr">
        <is>
          <t>ÅSELE</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22112-2024</t>
        </is>
      </c>
      <c r="B130" t="inlineStr">
        <is>
          <t>avverkningsanmälan</t>
        </is>
      </c>
      <c r="C130" t="inlineStr">
        <is>
          <t>Föryngringsavverkning</t>
        </is>
      </c>
      <c r="D130" s="1" t="n">
        <v>45443</v>
      </c>
      <c r="E130" s="1" t="n">
        <v>46216</v>
      </c>
      <c r="F130" t="inlineStr">
        <is>
          <t>VÄSTERBOTTENS LÄN</t>
        </is>
      </c>
      <c r="G130" t="inlineStr">
        <is>
          <t>ÅSELE</t>
        </is>
      </c>
      <c r="H130" t="inlineStr">
        <is>
          <t>SCA</t>
        </is>
      </c>
      <c r="I130" t="n">
        <v>25.9</v>
      </c>
      <c r="J130" t="n">
        <v>0</v>
      </c>
      <c r="K130" t="n">
        <v>0</v>
      </c>
      <c r="L130" t="n">
        <v>0</v>
      </c>
      <c r="M130" t="n">
        <v>0</v>
      </c>
      <c r="N130" t="n">
        <v>0</v>
      </c>
      <c r="O130" t="n">
        <v>0</v>
      </c>
      <c r="P130" t="n">
        <v>0</v>
      </c>
      <c r="Q130" t="n">
        <v>0</v>
      </c>
      <c r="R130" t="n">
        <v>0</v>
      </c>
      <c r="S130" t="n">
        <v>0</v>
      </c>
      <c r="T130" t="n">
        <v>0</v>
      </c>
      <c r="U130" s="2" t="inlineStr"/>
    </row>
    <row r="131" ht="15" customHeight="1">
      <c r="A131" t="inlineStr">
        <is>
          <t>A 50861-2023</t>
        </is>
      </c>
      <c r="B131" t="inlineStr">
        <is>
          <t>avverkningsanmälan</t>
        </is>
      </c>
      <c r="C131" t="inlineStr">
        <is>
          <t>Föryngringsavverkning</t>
        </is>
      </c>
      <c r="D131" s="1" t="n">
        <v>45218</v>
      </c>
      <c r="E131" s="1" t="n">
        <v>46216</v>
      </c>
      <c r="F131" t="inlineStr">
        <is>
          <t>VÄSTERBOTTENS LÄN</t>
        </is>
      </c>
      <c r="G131" t="inlineStr">
        <is>
          <t>ÅSELE</t>
        </is>
      </c>
      <c r="I131" t="n">
        <v>6.5</v>
      </c>
      <c r="J131" t="n">
        <v>0</v>
      </c>
      <c r="K131" t="n">
        <v>0</v>
      </c>
      <c r="L131" t="n">
        <v>0</v>
      </c>
      <c r="M131" t="n">
        <v>0</v>
      </c>
      <c r="N131" t="n">
        <v>0</v>
      </c>
      <c r="O131" t="n">
        <v>0</v>
      </c>
      <c r="P131" t="n">
        <v>0</v>
      </c>
      <c r="Q131" t="n">
        <v>0</v>
      </c>
      <c r="R131" t="n">
        <v>0</v>
      </c>
      <c r="S131" t="n">
        <v>0</v>
      </c>
      <c r="T131" t="n">
        <v>0</v>
      </c>
      <c r="U131" s="2" t="inlineStr"/>
    </row>
    <row r="132" ht="15" customHeight="1">
      <c r="A132" t="inlineStr">
        <is>
          <t>A 29617-2023</t>
        </is>
      </c>
      <c r="B132" t="inlineStr">
        <is>
          <t>avverkningsanmälan</t>
        </is>
      </c>
      <c r="C132" t="inlineStr">
        <is>
          <t>Föryngringsavverkning</t>
        </is>
      </c>
      <c r="D132" s="1" t="n">
        <v>45106</v>
      </c>
      <c r="E132" s="1" t="n">
        <v>46216</v>
      </c>
      <c r="F132" t="inlineStr">
        <is>
          <t>VÄSTERBOTTENS LÄN</t>
        </is>
      </c>
      <c r="G132" t="inlineStr">
        <is>
          <t>ÅSELE</t>
        </is>
      </c>
      <c r="H132" t="inlineStr">
        <is>
          <t>SCA</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37483-2021</t>
        </is>
      </c>
      <c r="B133" t="inlineStr">
        <is>
          <t>avverkningsanmälan</t>
        </is>
      </c>
      <c r="C133" t="inlineStr">
        <is>
          <t>Föryngringsavverkning</t>
        </is>
      </c>
      <c r="D133" s="1" t="n">
        <v>44398</v>
      </c>
      <c r="E133" s="1" t="n">
        <v>46216</v>
      </c>
      <c r="F133" t="inlineStr">
        <is>
          <t>VÄSTERBOTTENS LÄN</t>
        </is>
      </c>
      <c r="G133" t="inlineStr">
        <is>
          <t>ÅSELE</t>
        </is>
      </c>
      <c r="H133" t="inlineStr">
        <is>
          <t>SCA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6326-2025</t>
        </is>
      </c>
      <c r="B134" t="inlineStr">
        <is>
          <t>avverkningsanmälan</t>
        </is>
      </c>
      <c r="C134" t="inlineStr">
        <is>
          <t>Föryngringsavverkning</t>
        </is>
      </c>
      <c r="D134" s="1" t="n">
        <v>45698</v>
      </c>
      <c r="E134" s="1" t="n">
        <v>46216</v>
      </c>
      <c r="F134" t="inlineStr">
        <is>
          <t>VÄSTERBOTTENS LÄN</t>
        </is>
      </c>
      <c r="G134" t="inlineStr">
        <is>
          <t>ÅSELE</t>
        </is>
      </c>
      <c r="I134" t="n">
        <v>4.4</v>
      </c>
      <c r="J134" t="n">
        <v>0</v>
      </c>
      <c r="K134" t="n">
        <v>0</v>
      </c>
      <c r="L134" t="n">
        <v>0</v>
      </c>
      <c r="M134" t="n">
        <v>0</v>
      </c>
      <c r="N134" t="n">
        <v>0</v>
      </c>
      <c r="O134" t="n">
        <v>0</v>
      </c>
      <c r="P134" t="n">
        <v>0</v>
      </c>
      <c r="Q134" t="n">
        <v>0</v>
      </c>
      <c r="R134" t="n">
        <v>0</v>
      </c>
      <c r="S134" t="n">
        <v>0</v>
      </c>
      <c r="T134" t="n">
        <v>0</v>
      </c>
      <c r="U134" s="2" t="inlineStr"/>
    </row>
    <row r="135" ht="15" customHeight="1">
      <c r="A135" t="inlineStr">
        <is>
          <t>A 33241-2023</t>
        </is>
      </c>
      <c r="B135" t="inlineStr">
        <is>
          <t>avverkningsanmälan</t>
        </is>
      </c>
      <c r="C135" t="inlineStr">
        <is>
          <t>Föryngringsavverkning</t>
        </is>
      </c>
      <c r="D135" s="1" t="n">
        <v>45114</v>
      </c>
      <c r="E135" s="1" t="n">
        <v>46216</v>
      </c>
      <c r="F135" t="inlineStr">
        <is>
          <t>VÄSTERBOTTENS LÄN</t>
        </is>
      </c>
      <c r="G135" t="inlineStr">
        <is>
          <t>ÅSELE</t>
        </is>
      </c>
      <c r="I135" t="n">
        <v>22.8</v>
      </c>
      <c r="J135" t="n">
        <v>0</v>
      </c>
      <c r="K135" t="n">
        <v>0</v>
      </c>
      <c r="L135" t="n">
        <v>0</v>
      </c>
      <c r="M135" t="n">
        <v>0</v>
      </c>
      <c r="N135" t="n">
        <v>0</v>
      </c>
      <c r="O135" t="n">
        <v>0</v>
      </c>
      <c r="P135" t="n">
        <v>0</v>
      </c>
      <c r="Q135" t="n">
        <v>0</v>
      </c>
      <c r="R135" t="n">
        <v>0</v>
      </c>
      <c r="S135" t="n">
        <v>0</v>
      </c>
      <c r="T135" t="n">
        <v>0</v>
      </c>
      <c r="U135" s="2" t="inlineStr"/>
    </row>
    <row r="136" ht="15" customHeight="1">
      <c r="A136" t="inlineStr">
        <is>
          <t>A 10082-2023</t>
        </is>
      </c>
      <c r="B136" t="inlineStr">
        <is>
          <t>avverkningsanmälan</t>
        </is>
      </c>
      <c r="C136" t="inlineStr">
        <is>
          <t>Föryngringsavverkning</t>
        </is>
      </c>
      <c r="D136" s="1" t="n">
        <v>44985</v>
      </c>
      <c r="E136" s="1" t="n">
        <v>46216</v>
      </c>
      <c r="F136" t="inlineStr">
        <is>
          <t>VÄSTERBOTTENS LÄN</t>
        </is>
      </c>
      <c r="G136" t="inlineStr">
        <is>
          <t>ÅSELE</t>
        </is>
      </c>
      <c r="H136" t="inlineStr">
        <is>
          <t>SCA</t>
        </is>
      </c>
      <c r="I136" t="n">
        <v>8.199999999999999</v>
      </c>
      <c r="J136" t="n">
        <v>0</v>
      </c>
      <c r="K136" t="n">
        <v>0</v>
      </c>
      <c r="L136" t="n">
        <v>0</v>
      </c>
      <c r="M136" t="n">
        <v>0</v>
      </c>
      <c r="N136" t="n">
        <v>0</v>
      </c>
      <c r="O136" t="n">
        <v>0</v>
      </c>
      <c r="P136" t="n">
        <v>0</v>
      </c>
      <c r="Q136" t="n">
        <v>0</v>
      </c>
      <c r="R136" t="n">
        <v>0</v>
      </c>
      <c r="S136" t="n">
        <v>0</v>
      </c>
      <c r="T136" t="n">
        <v>0</v>
      </c>
      <c r="U136" s="2" t="inlineStr"/>
    </row>
    <row r="137" ht="15" customHeight="1">
      <c r="A137" t="inlineStr">
        <is>
          <t>A 41960-2024</t>
        </is>
      </c>
      <c r="B137" t="inlineStr">
        <is>
          <t>avverkningsanmälan</t>
        </is>
      </c>
      <c r="C137" t="inlineStr">
        <is>
          <t>Föryngringsavverkning</t>
        </is>
      </c>
      <c r="D137" s="1" t="n">
        <v>45561</v>
      </c>
      <c r="E137" s="1" t="n">
        <v>46216</v>
      </c>
      <c r="F137" t="inlineStr">
        <is>
          <t>VÄSTERBOTTENS LÄN</t>
        </is>
      </c>
      <c r="G137" t="inlineStr">
        <is>
          <t>ÅSELE</t>
        </is>
      </c>
      <c r="H137" t="inlineStr">
        <is>
          <t>Holmen skog AB</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30491-2022</t>
        </is>
      </c>
      <c r="B138" t="inlineStr">
        <is>
          <t>avverkningsanmälan</t>
        </is>
      </c>
      <c r="C138" t="inlineStr">
        <is>
          <t>Föryngringsavverkning</t>
        </is>
      </c>
      <c r="D138" s="1" t="n">
        <v>44761</v>
      </c>
      <c r="E138" s="1" t="n">
        <v>46216</v>
      </c>
      <c r="F138" t="inlineStr">
        <is>
          <t>VÄSTERBOTTENS LÄN</t>
        </is>
      </c>
      <c r="G138" t="inlineStr">
        <is>
          <t>ÅSELE</t>
        </is>
      </c>
      <c r="H138" t="inlineStr">
        <is>
          <t>SCA</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17672-2023</t>
        </is>
      </c>
      <c r="B139" t="inlineStr">
        <is>
          <t>avverkningsanmälan</t>
        </is>
      </c>
      <c r="C139" t="inlineStr">
        <is>
          <t>Föryngringsavverkning</t>
        </is>
      </c>
      <c r="D139" s="1" t="n">
        <v>45036</v>
      </c>
      <c r="E139" s="1" t="n">
        <v>46216</v>
      </c>
      <c r="F139" t="inlineStr">
        <is>
          <t>VÄSTERBOTTENS LÄN</t>
        </is>
      </c>
      <c r="G139" t="inlineStr">
        <is>
          <t>ÅSELE</t>
        </is>
      </c>
      <c r="H139" t="inlineStr">
        <is>
          <t>SCA</t>
        </is>
      </c>
      <c r="I139" t="n">
        <v>3.7</v>
      </c>
      <c r="J139" t="n">
        <v>0</v>
      </c>
      <c r="K139" t="n">
        <v>0</v>
      </c>
      <c r="L139" t="n">
        <v>0</v>
      </c>
      <c r="M139" t="n">
        <v>0</v>
      </c>
      <c r="N139" t="n">
        <v>0</v>
      </c>
      <c r="O139" t="n">
        <v>0</v>
      </c>
      <c r="P139" t="n">
        <v>0</v>
      </c>
      <c r="Q139" t="n">
        <v>0</v>
      </c>
      <c r="R139" t="n">
        <v>0</v>
      </c>
      <c r="S139" t="n">
        <v>0</v>
      </c>
      <c r="T139" t="n">
        <v>0</v>
      </c>
      <c r="U139" s="2" t="inlineStr"/>
    </row>
    <row r="140" ht="15" customHeight="1">
      <c r="A140" t="inlineStr">
        <is>
          <t>A 17698-2023</t>
        </is>
      </c>
      <c r="B140" t="inlineStr">
        <is>
          <t>avverkningsanmälan</t>
        </is>
      </c>
      <c r="C140" t="inlineStr">
        <is>
          <t>Föryngringsavverkning</t>
        </is>
      </c>
      <c r="D140" s="1" t="n">
        <v>45035</v>
      </c>
      <c r="E140" s="1" t="n">
        <v>46216</v>
      </c>
      <c r="F140" t="inlineStr">
        <is>
          <t>VÄSTERBOTTENS LÄN</t>
        </is>
      </c>
      <c r="G140" t="inlineStr">
        <is>
          <t>ÅSELE</t>
        </is>
      </c>
      <c r="I140" t="n">
        <v>7</v>
      </c>
      <c r="J140" t="n">
        <v>0</v>
      </c>
      <c r="K140" t="n">
        <v>0</v>
      </c>
      <c r="L140" t="n">
        <v>0</v>
      </c>
      <c r="M140" t="n">
        <v>0</v>
      </c>
      <c r="N140" t="n">
        <v>0</v>
      </c>
      <c r="O140" t="n">
        <v>0</v>
      </c>
      <c r="P140" t="n">
        <v>0</v>
      </c>
      <c r="Q140" t="n">
        <v>0</v>
      </c>
      <c r="R140" t="n">
        <v>0</v>
      </c>
      <c r="S140" t="n">
        <v>0</v>
      </c>
      <c r="T140" t="n">
        <v>0</v>
      </c>
      <c r="U140" s="2" t="inlineStr"/>
    </row>
    <row r="141" ht="15" customHeight="1">
      <c r="A141" t="inlineStr">
        <is>
          <t>A 49879-2024</t>
        </is>
      </c>
      <c r="B141" t="inlineStr">
        <is>
          <t>avverkningsanmälan</t>
        </is>
      </c>
      <c r="C141" t="inlineStr">
        <is>
          <t>Föryngringsavverkning</t>
        </is>
      </c>
      <c r="D141" s="1" t="n">
        <v>45597</v>
      </c>
      <c r="E141" s="1" t="n">
        <v>46216</v>
      </c>
      <c r="F141" t="inlineStr">
        <is>
          <t>VÄSTERBOTTENS LÄN</t>
        </is>
      </c>
      <c r="G141" t="inlineStr">
        <is>
          <t>ÅSELE</t>
        </is>
      </c>
      <c r="H141" t="inlineStr">
        <is>
          <t>Sveaskog</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32942-2024</t>
        </is>
      </c>
      <c r="B142" t="inlineStr">
        <is>
          <t>avverkningsanmälan</t>
        </is>
      </c>
      <c r="C142" t="inlineStr">
        <is>
          <t>Föryngringsavverkning</t>
        </is>
      </c>
      <c r="D142" s="1" t="n">
        <v>45517</v>
      </c>
      <c r="E142" s="1" t="n">
        <v>46216</v>
      </c>
      <c r="F142" t="inlineStr">
        <is>
          <t>VÄSTERBOTTENS LÄN</t>
        </is>
      </c>
      <c r="G142" t="inlineStr">
        <is>
          <t>ÅSELE</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28279-2023</t>
        </is>
      </c>
      <c r="B143" t="inlineStr">
        <is>
          <t>avverkningsanmälan</t>
        </is>
      </c>
      <c r="C143" t="inlineStr">
        <is>
          <t>Föryngringsavverkning</t>
        </is>
      </c>
      <c r="D143" s="1" t="n">
        <v>45099</v>
      </c>
      <c r="E143" s="1" t="n">
        <v>46216</v>
      </c>
      <c r="F143" t="inlineStr">
        <is>
          <t>VÄSTERBOTTENS LÄN</t>
        </is>
      </c>
      <c r="G143" t="inlineStr">
        <is>
          <t>ÅSELE</t>
        </is>
      </c>
      <c r="H143" t="inlineStr">
        <is>
          <t>Sveaskog</t>
        </is>
      </c>
      <c r="I143" t="n">
        <v>16.6</v>
      </c>
      <c r="J143" t="n">
        <v>0</v>
      </c>
      <c r="K143" t="n">
        <v>0</v>
      </c>
      <c r="L143" t="n">
        <v>0</v>
      </c>
      <c r="M143" t="n">
        <v>0</v>
      </c>
      <c r="N143" t="n">
        <v>0</v>
      </c>
      <c r="O143" t="n">
        <v>0</v>
      </c>
      <c r="P143" t="n">
        <v>0</v>
      </c>
      <c r="Q143" t="n">
        <v>0</v>
      </c>
      <c r="R143" t="n">
        <v>0</v>
      </c>
      <c r="S143" t="n">
        <v>0</v>
      </c>
      <c r="T143" t="n">
        <v>0</v>
      </c>
      <c r="U143" s="2" t="inlineStr"/>
    </row>
    <row r="144" ht="15" customHeight="1">
      <c r="A144" t="inlineStr">
        <is>
          <t>A 34578-2024</t>
        </is>
      </c>
      <c r="B144" t="inlineStr">
        <is>
          <t>avverkningsanmälan</t>
        </is>
      </c>
      <c r="C144" t="inlineStr">
        <is>
          <t>Avverkning för att bevara och utveckla /försöksver</t>
        </is>
      </c>
      <c r="D144" s="1" t="n">
        <v>45526</v>
      </c>
      <c r="E144" s="1" t="n">
        <v>46216</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35861-2023</t>
        </is>
      </c>
      <c r="B145" t="inlineStr">
        <is>
          <t>avverkningsanmälan</t>
        </is>
      </c>
      <c r="C145" t="inlineStr">
        <is>
          <t>Föryngringsavverkning</t>
        </is>
      </c>
      <c r="D145" s="1" t="n">
        <v>45147</v>
      </c>
      <c r="E145" s="1" t="n">
        <v>46216</v>
      </c>
      <c r="F145" t="inlineStr">
        <is>
          <t>VÄSTERBOTTENS LÄN</t>
        </is>
      </c>
      <c r="G145" t="inlineStr">
        <is>
          <t>ÅSELE</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41300-2024</t>
        </is>
      </c>
      <c r="B146" t="inlineStr">
        <is>
          <t>avverkningsanmälan</t>
        </is>
      </c>
      <c r="C146" t="inlineStr">
        <is>
          <t>Föryngringsavverkning</t>
        </is>
      </c>
      <c r="D146" s="1" t="n">
        <v>45559</v>
      </c>
      <c r="E146" s="1" t="n">
        <v>46216</v>
      </c>
      <c r="F146" t="inlineStr">
        <is>
          <t>VÄSTERBOTTENS LÄN</t>
        </is>
      </c>
      <c r="G146" t="inlineStr">
        <is>
          <t>ÅSELE</t>
        </is>
      </c>
      <c r="H146" t="inlineStr">
        <is>
          <t>Naturvårdsverket</t>
        </is>
      </c>
      <c r="I146" t="n">
        <v>3.1</v>
      </c>
      <c r="J146" t="n">
        <v>0</v>
      </c>
      <c r="K146" t="n">
        <v>0</v>
      </c>
      <c r="L146" t="n">
        <v>0</v>
      </c>
      <c r="M146" t="n">
        <v>0</v>
      </c>
      <c r="N146" t="n">
        <v>0</v>
      </c>
      <c r="O146" t="n">
        <v>0</v>
      </c>
      <c r="P146" t="n">
        <v>0</v>
      </c>
      <c r="Q146" t="n">
        <v>0</v>
      </c>
      <c r="R146" t="n">
        <v>0</v>
      </c>
      <c r="S146" t="n">
        <v>0</v>
      </c>
      <c r="T146" t="n">
        <v>0</v>
      </c>
      <c r="U146" s="2" t="inlineStr"/>
    </row>
    <row r="147" ht="15" customHeight="1">
      <c r="A147" t="inlineStr">
        <is>
          <t>A 53018-2024</t>
        </is>
      </c>
      <c r="B147" t="inlineStr">
        <is>
          <t>avverkningsanmälan</t>
        </is>
      </c>
      <c r="C147" t="inlineStr">
        <is>
          <t>Föryngringsavverkning</t>
        </is>
      </c>
      <c r="D147" s="1" t="n">
        <v>45611</v>
      </c>
      <c r="E147" s="1" t="n">
        <v>46216</v>
      </c>
      <c r="F147" t="inlineStr">
        <is>
          <t>VÄSTERBOTTENS LÄN</t>
        </is>
      </c>
      <c r="G147" t="inlineStr">
        <is>
          <t>ÅSELE</t>
        </is>
      </c>
      <c r="H147" t="inlineStr">
        <is>
          <t>SCA</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65478-2021</t>
        </is>
      </c>
      <c r="B148" t="inlineStr">
        <is>
          <t>avverkningsanmälan</t>
        </is>
      </c>
      <c r="C148" t="inlineStr">
        <is>
          <t>Föryngringsavverkning</t>
        </is>
      </c>
      <c r="D148" s="1" t="n">
        <v>44516</v>
      </c>
      <c r="E148" s="1" t="n">
        <v>46216</v>
      </c>
      <c r="F148" t="inlineStr">
        <is>
          <t>VÄSTERBOTTENS LÄN</t>
        </is>
      </c>
      <c r="G148" t="inlineStr">
        <is>
          <t>ÅSELE</t>
        </is>
      </c>
      <c r="H148" t="inlineStr">
        <is>
          <t>Holmen skog AB</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27436-2023</t>
        </is>
      </c>
      <c r="B149" t="inlineStr">
        <is>
          <t>avverkningsanmälan</t>
        </is>
      </c>
      <c r="C149" t="inlineStr">
        <is>
          <t>Föryngringsavverkning</t>
        </is>
      </c>
      <c r="D149" s="1" t="n">
        <v>45092</v>
      </c>
      <c r="E149" s="1" t="n">
        <v>46216</v>
      </c>
      <c r="F149" t="inlineStr">
        <is>
          <t>VÄSTERBOTTENS LÄN</t>
        </is>
      </c>
      <c r="G149" t="inlineStr">
        <is>
          <t>ÅSELE</t>
        </is>
      </c>
      <c r="H149" t="inlineStr">
        <is>
          <t>Övriga Aktiebolag</t>
        </is>
      </c>
      <c r="I149" t="n">
        <v>1.2</v>
      </c>
      <c r="J149" t="n">
        <v>0</v>
      </c>
      <c r="K149" t="n">
        <v>0</v>
      </c>
      <c r="L149" t="n">
        <v>0</v>
      </c>
      <c r="M149" t="n">
        <v>0</v>
      </c>
      <c r="N149" t="n">
        <v>0</v>
      </c>
      <c r="O149" t="n">
        <v>0</v>
      </c>
      <c r="P149" t="n">
        <v>0</v>
      </c>
      <c r="Q149" t="n">
        <v>0</v>
      </c>
      <c r="R149" t="n">
        <v>0</v>
      </c>
      <c r="S149" t="n">
        <v>0</v>
      </c>
      <c r="T149" t="n">
        <v>0</v>
      </c>
      <c r="U149" s="2" t="inlineStr"/>
    </row>
    <row r="150" ht="15" customHeight="1">
      <c r="A150" t="inlineStr">
        <is>
          <t>A 20140-2022</t>
        </is>
      </c>
      <c r="B150" t="inlineStr">
        <is>
          <t>avverkningsanmälan</t>
        </is>
      </c>
      <c r="C150" t="inlineStr">
        <is>
          <t>Föryngringsavverkning</t>
        </is>
      </c>
      <c r="D150" s="1" t="n">
        <v>44698</v>
      </c>
      <c r="E150" s="1" t="n">
        <v>46216</v>
      </c>
      <c r="F150" t="inlineStr">
        <is>
          <t>VÄSTERBOTTENS LÄN</t>
        </is>
      </c>
      <c r="G150" t="inlineStr">
        <is>
          <t>ÅSELE</t>
        </is>
      </c>
      <c r="H150" t="inlineStr">
        <is>
          <t>Holmen skog AB</t>
        </is>
      </c>
      <c r="I150" t="n">
        <v>8.300000000000001</v>
      </c>
      <c r="J150" t="n">
        <v>0</v>
      </c>
      <c r="K150" t="n">
        <v>0</v>
      </c>
      <c r="L150" t="n">
        <v>0</v>
      </c>
      <c r="M150" t="n">
        <v>0</v>
      </c>
      <c r="N150" t="n">
        <v>0</v>
      </c>
      <c r="O150" t="n">
        <v>0</v>
      </c>
      <c r="P150" t="n">
        <v>0</v>
      </c>
      <c r="Q150" t="n">
        <v>0</v>
      </c>
      <c r="R150" t="n">
        <v>0</v>
      </c>
      <c r="S150" t="n">
        <v>0</v>
      </c>
      <c r="T150" t="n">
        <v>0</v>
      </c>
      <c r="U150" s="2" t="inlineStr"/>
    </row>
    <row r="151" ht="15" customHeight="1">
      <c r="A151" t="inlineStr">
        <is>
          <t>A 1228-2023</t>
        </is>
      </c>
      <c r="B151" t="inlineStr">
        <is>
          <t>avverkningsanmälan</t>
        </is>
      </c>
      <c r="C151" t="inlineStr">
        <is>
          <t>Föryngringsavverkning</t>
        </is>
      </c>
      <c r="D151" s="1" t="n">
        <v>44935</v>
      </c>
      <c r="E151" s="1" t="n">
        <v>46216</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22739-2023</t>
        </is>
      </c>
      <c r="B152" t="inlineStr">
        <is>
          <t>avverkningsanmälan</t>
        </is>
      </c>
      <c r="C152" t="inlineStr">
        <is>
          <t>Föryngringsavverkning</t>
        </is>
      </c>
      <c r="D152" s="1" t="n">
        <v>45071</v>
      </c>
      <c r="E152" s="1" t="n">
        <v>46216</v>
      </c>
      <c r="F152" t="inlineStr">
        <is>
          <t>VÄSTERBOTTENS LÄN</t>
        </is>
      </c>
      <c r="G152" t="inlineStr">
        <is>
          <t>ÅSELE</t>
        </is>
      </c>
      <c r="I152" t="n">
        <v>4.1</v>
      </c>
      <c r="J152" t="n">
        <v>0</v>
      </c>
      <c r="K152" t="n">
        <v>0</v>
      </c>
      <c r="L152" t="n">
        <v>0</v>
      </c>
      <c r="M152" t="n">
        <v>0</v>
      </c>
      <c r="N152" t="n">
        <v>0</v>
      </c>
      <c r="O152" t="n">
        <v>0</v>
      </c>
      <c r="P152" t="n">
        <v>0</v>
      </c>
      <c r="Q152" t="n">
        <v>0</v>
      </c>
      <c r="R152" t="n">
        <v>0</v>
      </c>
      <c r="S152" t="n">
        <v>0</v>
      </c>
      <c r="T152" t="n">
        <v>0</v>
      </c>
      <c r="U152" s="2" t="inlineStr"/>
    </row>
    <row r="153" ht="15" customHeight="1">
      <c r="A153" t="inlineStr">
        <is>
          <t>A 58472-2024</t>
        </is>
      </c>
      <c r="B153" t="inlineStr">
        <is>
          <t>avverkningsanmälan</t>
        </is>
      </c>
      <c r="C153" t="inlineStr">
        <is>
          <t>Föryngringsavverkning</t>
        </is>
      </c>
      <c r="D153" s="1" t="n">
        <v>45635</v>
      </c>
      <c r="E153" s="1" t="n">
        <v>46216</v>
      </c>
      <c r="F153" t="inlineStr">
        <is>
          <t>VÄSTERBOTTENS LÄN</t>
        </is>
      </c>
      <c r="G153" t="inlineStr">
        <is>
          <t>ÅSELE</t>
        </is>
      </c>
      <c r="I153" t="n">
        <v>6.3</v>
      </c>
      <c r="J153" t="n">
        <v>0</v>
      </c>
      <c r="K153" t="n">
        <v>0</v>
      </c>
      <c r="L153" t="n">
        <v>0</v>
      </c>
      <c r="M153" t="n">
        <v>0</v>
      </c>
      <c r="N153" t="n">
        <v>0</v>
      </c>
      <c r="O153" t="n">
        <v>0</v>
      </c>
      <c r="P153" t="n">
        <v>0</v>
      </c>
      <c r="Q153" t="n">
        <v>0</v>
      </c>
      <c r="R153" t="n">
        <v>0</v>
      </c>
      <c r="S153" t="n">
        <v>0</v>
      </c>
      <c r="T153" t="n">
        <v>0</v>
      </c>
      <c r="U153" s="2" t="inlineStr"/>
    </row>
    <row r="154" ht="15" customHeight="1">
      <c r="A154" t="inlineStr">
        <is>
          <t>A 28854-2023</t>
        </is>
      </c>
      <c r="B154" t="inlineStr">
        <is>
          <t>avverkningsanmälan</t>
        </is>
      </c>
      <c r="C154" t="inlineStr">
        <is>
          <t>Föryngringsavverkning</t>
        </is>
      </c>
      <c r="D154" s="1" t="n">
        <v>45104</v>
      </c>
      <c r="E154" s="1" t="n">
        <v>46216</v>
      </c>
      <c r="F154" t="inlineStr">
        <is>
          <t>VÄSTERBOTTENS LÄN</t>
        </is>
      </c>
      <c r="G154" t="inlineStr">
        <is>
          <t>ÅSELE</t>
        </is>
      </c>
      <c r="H154" t="inlineStr">
        <is>
          <t>Naturvårdsverket</t>
        </is>
      </c>
      <c r="I154" t="n">
        <v>15.8</v>
      </c>
      <c r="J154" t="n">
        <v>0</v>
      </c>
      <c r="K154" t="n">
        <v>0</v>
      </c>
      <c r="L154" t="n">
        <v>0</v>
      </c>
      <c r="M154" t="n">
        <v>0</v>
      </c>
      <c r="N154" t="n">
        <v>0</v>
      </c>
      <c r="O154" t="n">
        <v>0</v>
      </c>
      <c r="P154" t="n">
        <v>0</v>
      </c>
      <c r="Q154" t="n">
        <v>0</v>
      </c>
      <c r="R154" t="n">
        <v>0</v>
      </c>
      <c r="S154" t="n">
        <v>0</v>
      </c>
      <c r="T154" t="n">
        <v>0</v>
      </c>
      <c r="U154" s="2" t="inlineStr"/>
    </row>
    <row r="155" ht="15" customHeight="1">
      <c r="A155" t="inlineStr">
        <is>
          <t>A 32308-2023</t>
        </is>
      </c>
      <c r="B155" t="inlineStr">
        <is>
          <t>avverkningsanmälan</t>
        </is>
      </c>
      <c r="C155" t="inlineStr">
        <is>
          <t>Föryngringsavverkning</t>
        </is>
      </c>
      <c r="D155" s="1" t="n">
        <v>45120</v>
      </c>
      <c r="E155" s="1" t="n">
        <v>46216</v>
      </c>
      <c r="F155" t="inlineStr">
        <is>
          <t>VÄSTERBOTTENS LÄN</t>
        </is>
      </c>
      <c r="G155" t="inlineStr">
        <is>
          <t>ÅSELE</t>
        </is>
      </c>
      <c r="H155" t="inlineStr">
        <is>
          <t>Sveaskog</t>
        </is>
      </c>
      <c r="I155" t="n">
        <v>22.9</v>
      </c>
      <c r="J155" t="n">
        <v>0</v>
      </c>
      <c r="K155" t="n">
        <v>0</v>
      </c>
      <c r="L155" t="n">
        <v>0</v>
      </c>
      <c r="M155" t="n">
        <v>0</v>
      </c>
      <c r="N155" t="n">
        <v>0</v>
      </c>
      <c r="O155" t="n">
        <v>0</v>
      </c>
      <c r="P155" t="n">
        <v>0</v>
      </c>
      <c r="Q155" t="n">
        <v>0</v>
      </c>
      <c r="R155" t="n">
        <v>0</v>
      </c>
      <c r="S155" t="n">
        <v>0</v>
      </c>
      <c r="T155" t="n">
        <v>0</v>
      </c>
      <c r="U155" s="2" t="inlineStr"/>
    </row>
    <row r="156" ht="15" customHeight="1">
      <c r="A156" t="inlineStr">
        <is>
          <t>A 4612-2022</t>
        </is>
      </c>
      <c r="B156" t="inlineStr">
        <is>
          <t>avverkningsanmälan</t>
        </is>
      </c>
      <c r="C156" t="inlineStr">
        <is>
          <t>Föryngringsavverkning</t>
        </is>
      </c>
      <c r="D156" s="1" t="n">
        <v>44592</v>
      </c>
      <c r="E156" s="1" t="n">
        <v>46216</v>
      </c>
      <c r="F156" t="inlineStr">
        <is>
          <t>VÄSTERBOTTENS LÄN</t>
        </is>
      </c>
      <c r="G156" t="inlineStr">
        <is>
          <t>ÅSELE</t>
        </is>
      </c>
      <c r="I156" t="n">
        <v>3.7</v>
      </c>
      <c r="J156" t="n">
        <v>0</v>
      </c>
      <c r="K156" t="n">
        <v>0</v>
      </c>
      <c r="L156" t="n">
        <v>0</v>
      </c>
      <c r="M156" t="n">
        <v>0</v>
      </c>
      <c r="N156" t="n">
        <v>0</v>
      </c>
      <c r="O156" t="n">
        <v>0</v>
      </c>
      <c r="P156" t="n">
        <v>0</v>
      </c>
      <c r="Q156" t="n">
        <v>0</v>
      </c>
      <c r="R156" t="n">
        <v>0</v>
      </c>
      <c r="S156" t="n">
        <v>0</v>
      </c>
      <c r="T156" t="n">
        <v>0</v>
      </c>
      <c r="U156" s="2" t="inlineStr"/>
    </row>
    <row r="157" ht="15" customHeight="1">
      <c r="A157" t="inlineStr">
        <is>
          <t>A 62109-2023</t>
        </is>
      </c>
      <c r="B157" t="inlineStr">
        <is>
          <t>avverkningsanmälan</t>
        </is>
      </c>
      <c r="C157" t="inlineStr">
        <is>
          <t>Föryngringsavverkning</t>
        </is>
      </c>
      <c r="D157" s="1" t="n">
        <v>45266</v>
      </c>
      <c r="E157" s="1" t="n">
        <v>46216</v>
      </c>
      <c r="F157" t="inlineStr">
        <is>
          <t>VÄSTERBOTTENS LÄN</t>
        </is>
      </c>
      <c r="G157" t="inlineStr">
        <is>
          <t>ÅSELE</t>
        </is>
      </c>
      <c r="H157" t="inlineStr">
        <is>
          <t>SCA</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18792-2024</t>
        </is>
      </c>
      <c r="B158" t="inlineStr">
        <is>
          <t>avverkningsanmälan</t>
        </is>
      </c>
      <c r="C158" t="inlineStr">
        <is>
          <t>Föryngringsavverkning</t>
        </is>
      </c>
      <c r="D158" s="1" t="n">
        <v>45426</v>
      </c>
      <c r="E158" s="1" t="n">
        <v>46216</v>
      </c>
      <c r="F158" t="inlineStr">
        <is>
          <t>VÄSTERBOTTENS LÄN</t>
        </is>
      </c>
      <c r="G158" t="inlineStr">
        <is>
          <t>ÅSELE</t>
        </is>
      </c>
      <c r="I158" t="n">
        <v>7.2</v>
      </c>
      <c r="J158" t="n">
        <v>0</v>
      </c>
      <c r="K158" t="n">
        <v>0</v>
      </c>
      <c r="L158" t="n">
        <v>0</v>
      </c>
      <c r="M158" t="n">
        <v>0</v>
      </c>
      <c r="N158" t="n">
        <v>0</v>
      </c>
      <c r="O158" t="n">
        <v>0</v>
      </c>
      <c r="P158" t="n">
        <v>0</v>
      </c>
      <c r="Q158" t="n">
        <v>0</v>
      </c>
      <c r="R158" t="n">
        <v>0</v>
      </c>
      <c r="S158" t="n">
        <v>0</v>
      </c>
      <c r="T158" t="n">
        <v>0</v>
      </c>
      <c r="U158" s="2" t="inlineStr"/>
    </row>
    <row r="159" ht="15" customHeight="1">
      <c r="A159" t="inlineStr">
        <is>
          <t>A 16527-2022</t>
        </is>
      </c>
      <c r="B159" t="inlineStr">
        <is>
          <t>avverkningsanmälan</t>
        </is>
      </c>
      <c r="C159" t="inlineStr">
        <is>
          <t>Föryngringsavverkning</t>
        </is>
      </c>
      <c r="D159" s="1" t="n">
        <v>44671</v>
      </c>
      <c r="E159" s="1" t="n">
        <v>46216</v>
      </c>
      <c r="F159" t="inlineStr">
        <is>
          <t>VÄSTERBOTTENS LÄN</t>
        </is>
      </c>
      <c r="G159" t="inlineStr">
        <is>
          <t>ÅSELE</t>
        </is>
      </c>
      <c r="I159" t="n">
        <v>6.6</v>
      </c>
      <c r="J159" t="n">
        <v>0</v>
      </c>
      <c r="K159" t="n">
        <v>0</v>
      </c>
      <c r="L159" t="n">
        <v>0</v>
      </c>
      <c r="M159" t="n">
        <v>0</v>
      </c>
      <c r="N159" t="n">
        <v>0</v>
      </c>
      <c r="O159" t="n">
        <v>0</v>
      </c>
      <c r="P159" t="n">
        <v>0</v>
      </c>
      <c r="Q159" t="n">
        <v>0</v>
      </c>
      <c r="R159" t="n">
        <v>0</v>
      </c>
      <c r="S159" t="n">
        <v>0</v>
      </c>
      <c r="T159" t="n">
        <v>0</v>
      </c>
      <c r="U159" s="2" t="inlineStr"/>
    </row>
    <row r="160" ht="15" customHeight="1">
      <c r="A160" t="inlineStr">
        <is>
          <t>A 3559-2024</t>
        </is>
      </c>
      <c r="B160" t="inlineStr">
        <is>
          <t>avverkningsanmälan</t>
        </is>
      </c>
      <c r="C160" t="inlineStr">
        <is>
          <t>Föryngringsavverkning</t>
        </is>
      </c>
      <c r="D160" s="1" t="n">
        <v>45320</v>
      </c>
      <c r="E160" s="1" t="n">
        <v>46216</v>
      </c>
      <c r="F160" t="inlineStr">
        <is>
          <t>VÄSTERBOTTENS LÄN</t>
        </is>
      </c>
      <c r="G160" t="inlineStr">
        <is>
          <t>ÅSELE</t>
        </is>
      </c>
      <c r="I160" t="n">
        <v>2.3</v>
      </c>
      <c r="J160" t="n">
        <v>0</v>
      </c>
      <c r="K160" t="n">
        <v>0</v>
      </c>
      <c r="L160" t="n">
        <v>0</v>
      </c>
      <c r="M160" t="n">
        <v>0</v>
      </c>
      <c r="N160" t="n">
        <v>0</v>
      </c>
      <c r="O160" t="n">
        <v>0</v>
      </c>
      <c r="P160" t="n">
        <v>0</v>
      </c>
      <c r="Q160" t="n">
        <v>0</v>
      </c>
      <c r="R160" t="n">
        <v>0</v>
      </c>
      <c r="S160" t="n">
        <v>0</v>
      </c>
      <c r="T160" t="n">
        <v>0</v>
      </c>
      <c r="U160" s="2" t="inlineStr"/>
    </row>
    <row r="161" ht="15" customHeight="1">
      <c r="A161" t="inlineStr">
        <is>
          <t>A 24744-2025</t>
        </is>
      </c>
      <c r="B161" t="inlineStr">
        <is>
          <t>avverkningsanmälan</t>
        </is>
      </c>
      <c r="C161" t="inlineStr">
        <is>
          <t>Föryngringsavverkning</t>
        </is>
      </c>
      <c r="D161" s="1" t="n">
        <v>45799</v>
      </c>
      <c r="E161" s="1" t="n">
        <v>46216</v>
      </c>
      <c r="F161" t="inlineStr">
        <is>
          <t>VÄSTERBOTTENS LÄN</t>
        </is>
      </c>
      <c r="G161" t="inlineStr">
        <is>
          <t>ÅSELE</t>
        </is>
      </c>
      <c r="H161" t="inlineStr">
        <is>
          <t>SCA</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47441-2024</t>
        </is>
      </c>
      <c r="B162" t="inlineStr">
        <is>
          <t>avverkningsanmälan</t>
        </is>
      </c>
      <c r="C162" t="inlineStr">
        <is>
          <t>Föryngringsavverkning</t>
        </is>
      </c>
      <c r="D162" s="1" t="n">
        <v>45587</v>
      </c>
      <c r="E162" s="1" t="n">
        <v>46216</v>
      </c>
      <c r="F162" t="inlineStr">
        <is>
          <t>VÄSTERBOTTENS LÄN</t>
        </is>
      </c>
      <c r="G162" t="inlineStr">
        <is>
          <t>ÅSELE</t>
        </is>
      </c>
      <c r="H162" t="inlineStr">
        <is>
          <t>SCA</t>
        </is>
      </c>
      <c r="I162" t="n">
        <v>3.7</v>
      </c>
      <c r="J162" t="n">
        <v>0</v>
      </c>
      <c r="K162" t="n">
        <v>0</v>
      </c>
      <c r="L162" t="n">
        <v>0</v>
      </c>
      <c r="M162" t="n">
        <v>0</v>
      </c>
      <c r="N162" t="n">
        <v>0</v>
      </c>
      <c r="O162" t="n">
        <v>0</v>
      </c>
      <c r="P162" t="n">
        <v>0</v>
      </c>
      <c r="Q162" t="n">
        <v>0</v>
      </c>
      <c r="R162" t="n">
        <v>0</v>
      </c>
      <c r="S162" t="n">
        <v>0</v>
      </c>
      <c r="T162" t="n">
        <v>0</v>
      </c>
      <c r="U162" s="2" t="inlineStr"/>
    </row>
    <row r="163" ht="15" customHeight="1">
      <c r="A163" t="inlineStr">
        <is>
          <t>A 25394-2025</t>
        </is>
      </c>
      <c r="B163" t="inlineStr">
        <is>
          <t>avverkningsanmälan</t>
        </is>
      </c>
      <c r="C163" t="inlineStr">
        <is>
          <t>Föryngringsavverkning</t>
        </is>
      </c>
      <c r="D163" s="1" t="n">
        <v>45800</v>
      </c>
      <c r="E163" s="1" t="n">
        <v>46216</v>
      </c>
      <c r="F163" t="inlineStr">
        <is>
          <t>VÄSTERBOTTENS LÄN</t>
        </is>
      </c>
      <c r="G163" t="inlineStr">
        <is>
          <t>ÅSELE</t>
        </is>
      </c>
      <c r="H163" t="inlineStr">
        <is>
          <t>Sveaskog</t>
        </is>
      </c>
      <c r="I163" t="n">
        <v>10.9</v>
      </c>
      <c r="J163" t="n">
        <v>0</v>
      </c>
      <c r="K163" t="n">
        <v>0</v>
      </c>
      <c r="L163" t="n">
        <v>0</v>
      </c>
      <c r="M163" t="n">
        <v>0</v>
      </c>
      <c r="N163" t="n">
        <v>0</v>
      </c>
      <c r="O163" t="n">
        <v>0</v>
      </c>
      <c r="P163" t="n">
        <v>0</v>
      </c>
      <c r="Q163" t="n">
        <v>0</v>
      </c>
      <c r="R163" t="n">
        <v>0</v>
      </c>
      <c r="S163" t="n">
        <v>0</v>
      </c>
      <c r="T163" t="n">
        <v>0</v>
      </c>
      <c r="U163" s="2" t="inlineStr"/>
    </row>
    <row r="164" ht="15" customHeight="1">
      <c r="A164" t="inlineStr">
        <is>
          <t>A 18578-2022</t>
        </is>
      </c>
      <c r="B164" t="inlineStr">
        <is>
          <t>avverkningsanmälan</t>
        </is>
      </c>
      <c r="C164" t="inlineStr">
        <is>
          <t>Föryngringsavverkning</t>
        </is>
      </c>
      <c r="D164" s="1" t="n">
        <v>44687</v>
      </c>
      <c r="E164" s="1" t="n">
        <v>46216</v>
      </c>
      <c r="F164" t="inlineStr">
        <is>
          <t>VÄSTERBOTTENS LÄN</t>
        </is>
      </c>
      <c r="G164" t="inlineStr">
        <is>
          <t>ÅSELE</t>
        </is>
      </c>
      <c r="H164" t="inlineStr">
        <is>
          <t>Holmen skog AB</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25411-2025</t>
        </is>
      </c>
      <c r="B165" t="inlineStr">
        <is>
          <t>avverkningsanmälan</t>
        </is>
      </c>
      <c r="C165" t="inlineStr">
        <is>
          <t>Föryngringsavverkning</t>
        </is>
      </c>
      <c r="D165" s="1" t="n">
        <v>45800</v>
      </c>
      <c r="E165" s="1" t="n">
        <v>46216</v>
      </c>
      <c r="F165" t="inlineStr">
        <is>
          <t>VÄSTERBOTTENS LÄN</t>
        </is>
      </c>
      <c r="G165" t="inlineStr">
        <is>
          <t>ÅSELE</t>
        </is>
      </c>
      <c r="H165" t="inlineStr">
        <is>
          <t>Sveaskog</t>
        </is>
      </c>
      <c r="I165" t="n">
        <v>7</v>
      </c>
      <c r="J165" t="n">
        <v>0</v>
      </c>
      <c r="K165" t="n">
        <v>0</v>
      </c>
      <c r="L165" t="n">
        <v>0</v>
      </c>
      <c r="M165" t="n">
        <v>0</v>
      </c>
      <c r="N165" t="n">
        <v>0</v>
      </c>
      <c r="O165" t="n">
        <v>0</v>
      </c>
      <c r="P165" t="n">
        <v>0</v>
      </c>
      <c r="Q165" t="n">
        <v>0</v>
      </c>
      <c r="R165" t="n">
        <v>0</v>
      </c>
      <c r="S165" t="n">
        <v>0</v>
      </c>
      <c r="T165" t="n">
        <v>0</v>
      </c>
      <c r="U165" s="2" t="inlineStr"/>
    </row>
    <row r="166" ht="15" customHeight="1">
      <c r="A166" t="inlineStr">
        <is>
          <t>A 62259-2022</t>
        </is>
      </c>
      <c r="B166" t="inlineStr">
        <is>
          <t>avverkningsanmälan</t>
        </is>
      </c>
      <c r="C166" t="inlineStr">
        <is>
          <t>Avverkning för att bevara och utveckla /försöksver</t>
        </is>
      </c>
      <c r="D166" s="1" t="n">
        <v>44922</v>
      </c>
      <c r="E166" s="1" t="n">
        <v>46216</v>
      </c>
      <c r="F166" t="inlineStr">
        <is>
          <t>VÄSTERBOTTENS LÄN</t>
        </is>
      </c>
      <c r="G166" t="inlineStr">
        <is>
          <t>ÅSELE</t>
        </is>
      </c>
      <c r="H166" t="inlineStr">
        <is>
          <t>SCA</t>
        </is>
      </c>
      <c r="I166" t="n">
        <v>5.4</v>
      </c>
      <c r="J166" t="n">
        <v>0</v>
      </c>
      <c r="K166" t="n">
        <v>0</v>
      </c>
      <c r="L166" t="n">
        <v>0</v>
      </c>
      <c r="M166" t="n">
        <v>0</v>
      </c>
      <c r="N166" t="n">
        <v>0</v>
      </c>
      <c r="O166" t="n">
        <v>0</v>
      </c>
      <c r="P166" t="n">
        <v>0</v>
      </c>
      <c r="Q166" t="n">
        <v>0</v>
      </c>
      <c r="R166" t="n">
        <v>0</v>
      </c>
      <c r="S166" t="n">
        <v>0</v>
      </c>
      <c r="T166" t="n">
        <v>0</v>
      </c>
      <c r="U166" s="2" t="inlineStr"/>
    </row>
    <row r="167" ht="15" customHeight="1">
      <c r="A167" t="inlineStr">
        <is>
          <t>A 26115-2025</t>
        </is>
      </c>
      <c r="B167" t="inlineStr">
        <is>
          <t>avverkningsanmälan</t>
        </is>
      </c>
      <c r="C167" t="inlineStr">
        <is>
          <t>Föryngringsavverkning</t>
        </is>
      </c>
      <c r="D167" s="1" t="n">
        <v>45805</v>
      </c>
      <c r="E167" s="1" t="n">
        <v>46216</v>
      </c>
      <c r="F167" t="inlineStr">
        <is>
          <t>VÄSTERBOTTENS LÄN</t>
        </is>
      </c>
      <c r="G167" t="inlineStr">
        <is>
          <t>ÅSELE</t>
        </is>
      </c>
      <c r="H167" t="inlineStr">
        <is>
          <t>Sveaskog</t>
        </is>
      </c>
      <c r="I167" t="n">
        <v>4.6</v>
      </c>
      <c r="J167" t="n">
        <v>0</v>
      </c>
      <c r="K167" t="n">
        <v>0</v>
      </c>
      <c r="L167" t="n">
        <v>0</v>
      </c>
      <c r="M167" t="n">
        <v>0</v>
      </c>
      <c r="N167" t="n">
        <v>0</v>
      </c>
      <c r="O167" t="n">
        <v>0</v>
      </c>
      <c r="P167" t="n">
        <v>0</v>
      </c>
      <c r="Q167" t="n">
        <v>0</v>
      </c>
      <c r="R167" t="n">
        <v>0</v>
      </c>
      <c r="S167" t="n">
        <v>0</v>
      </c>
      <c r="T167" t="n">
        <v>0</v>
      </c>
      <c r="U167" s="2" t="inlineStr"/>
    </row>
    <row r="168" ht="15" customHeight="1">
      <c r="A168" t="inlineStr">
        <is>
          <t>A 28881-2024</t>
        </is>
      </c>
      <c r="B168" t="inlineStr">
        <is>
          <t>avverkningsanmälan</t>
        </is>
      </c>
      <c r="C168" t="inlineStr">
        <is>
          <t>Föryngringsavverkning</t>
        </is>
      </c>
      <c r="D168" s="1" t="n">
        <v>45479</v>
      </c>
      <c r="E168" s="1" t="n">
        <v>46216</v>
      </c>
      <c r="F168" t="inlineStr">
        <is>
          <t>VÄSTERBOTTENS LÄN</t>
        </is>
      </c>
      <c r="G168" t="inlineStr">
        <is>
          <t>ÅSELE</t>
        </is>
      </c>
      <c r="I168" t="n">
        <v>3.6</v>
      </c>
      <c r="J168" t="n">
        <v>0</v>
      </c>
      <c r="K168" t="n">
        <v>0</v>
      </c>
      <c r="L168" t="n">
        <v>0</v>
      </c>
      <c r="M168" t="n">
        <v>0</v>
      </c>
      <c r="N168" t="n">
        <v>0</v>
      </c>
      <c r="O168" t="n">
        <v>0</v>
      </c>
      <c r="P168" t="n">
        <v>0</v>
      </c>
      <c r="Q168" t="n">
        <v>0</v>
      </c>
      <c r="R168" t="n">
        <v>0</v>
      </c>
      <c r="S168" t="n">
        <v>0</v>
      </c>
      <c r="T168" t="n">
        <v>0</v>
      </c>
      <c r="U168" s="2" t="inlineStr"/>
    </row>
    <row r="169" ht="15" customHeight="1">
      <c r="A169" t="inlineStr">
        <is>
          <t>A 28936-2024</t>
        </is>
      </c>
      <c r="B169" t="inlineStr">
        <is>
          <t>avverkningsanmälan</t>
        </is>
      </c>
      <c r="C169" t="inlineStr">
        <is>
          <t>Föryngringsavverkning</t>
        </is>
      </c>
      <c r="D169" s="1" t="n">
        <v>45481</v>
      </c>
      <c r="E169" s="1" t="n">
        <v>46216</v>
      </c>
      <c r="F169" t="inlineStr">
        <is>
          <t>VÄSTERBOTTENS LÄN</t>
        </is>
      </c>
      <c r="G169" t="inlineStr">
        <is>
          <t>ÅSELE</t>
        </is>
      </c>
      <c r="H169" t="inlineStr">
        <is>
          <t>Sveaskog</t>
        </is>
      </c>
      <c r="I169" t="n">
        <v>5</v>
      </c>
      <c r="J169" t="n">
        <v>0</v>
      </c>
      <c r="K169" t="n">
        <v>0</v>
      </c>
      <c r="L169" t="n">
        <v>0</v>
      </c>
      <c r="M169" t="n">
        <v>0</v>
      </c>
      <c r="N169" t="n">
        <v>0</v>
      </c>
      <c r="O169" t="n">
        <v>0</v>
      </c>
      <c r="P169" t="n">
        <v>0</v>
      </c>
      <c r="Q169" t="n">
        <v>0</v>
      </c>
      <c r="R169" t="n">
        <v>0</v>
      </c>
      <c r="S169" t="n">
        <v>0</v>
      </c>
      <c r="T169" t="n">
        <v>0</v>
      </c>
      <c r="U169" s="2" t="inlineStr"/>
    </row>
    <row r="170" ht="15" customHeight="1">
      <c r="A170" t="inlineStr">
        <is>
          <t>A 5641-2022</t>
        </is>
      </c>
      <c r="B170" t="inlineStr">
        <is>
          <t>avverkningsanmälan</t>
        </is>
      </c>
      <c r="C170" t="inlineStr">
        <is>
          <t>Föryngringsavverkning</t>
        </is>
      </c>
      <c r="D170" s="1" t="n">
        <v>44595</v>
      </c>
      <c r="E170" s="1" t="n">
        <v>46216</v>
      </c>
      <c r="F170" t="inlineStr">
        <is>
          <t>VÄSTERBOTTENS LÄN</t>
        </is>
      </c>
      <c r="G170" t="inlineStr">
        <is>
          <t>ÅSELE</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26104-2025</t>
        </is>
      </c>
      <c r="B171" t="inlineStr">
        <is>
          <t>avverkningsanmälan</t>
        </is>
      </c>
      <c r="C171" t="inlineStr">
        <is>
          <t>Föryngringsavverkning</t>
        </is>
      </c>
      <c r="D171" s="1" t="n">
        <v>45805</v>
      </c>
      <c r="E171" s="1" t="n">
        <v>46216</v>
      </c>
      <c r="F171" t="inlineStr">
        <is>
          <t>VÄSTERBOTTENS LÄN</t>
        </is>
      </c>
      <c r="G171" t="inlineStr">
        <is>
          <t>ÅSELE</t>
        </is>
      </c>
      <c r="H171" t="inlineStr">
        <is>
          <t>Sveaskog</t>
        </is>
      </c>
      <c r="I171" t="n">
        <v>5.9</v>
      </c>
      <c r="J171" t="n">
        <v>0</v>
      </c>
      <c r="K171" t="n">
        <v>0</v>
      </c>
      <c r="L171" t="n">
        <v>0</v>
      </c>
      <c r="M171" t="n">
        <v>0</v>
      </c>
      <c r="N171" t="n">
        <v>0</v>
      </c>
      <c r="O171" t="n">
        <v>0</v>
      </c>
      <c r="P171" t="n">
        <v>0</v>
      </c>
      <c r="Q171" t="n">
        <v>0</v>
      </c>
      <c r="R171" t="n">
        <v>0</v>
      </c>
      <c r="S171" t="n">
        <v>0</v>
      </c>
      <c r="T171" t="n">
        <v>0</v>
      </c>
      <c r="U171" s="2" t="inlineStr"/>
    </row>
    <row r="172" ht="15" customHeight="1">
      <c r="A172" t="inlineStr">
        <is>
          <t>A 26113-2025</t>
        </is>
      </c>
      <c r="B172" t="inlineStr">
        <is>
          <t>avverkningsanmälan</t>
        </is>
      </c>
      <c r="C172" t="inlineStr">
        <is>
          <t>Föryngringsavverkning</t>
        </is>
      </c>
      <c r="D172" s="1" t="n">
        <v>45805</v>
      </c>
      <c r="E172" s="1" t="n">
        <v>46216</v>
      </c>
      <c r="F172" t="inlineStr">
        <is>
          <t>VÄSTERBOTTENS LÄN</t>
        </is>
      </c>
      <c r="G172" t="inlineStr">
        <is>
          <t>ÅSELE</t>
        </is>
      </c>
      <c r="H172" t="inlineStr">
        <is>
          <t>Sveaskog</t>
        </is>
      </c>
      <c r="I172" t="n">
        <v>45.5</v>
      </c>
      <c r="J172" t="n">
        <v>0</v>
      </c>
      <c r="K172" t="n">
        <v>0</v>
      </c>
      <c r="L172" t="n">
        <v>0</v>
      </c>
      <c r="M172" t="n">
        <v>0</v>
      </c>
      <c r="N172" t="n">
        <v>0</v>
      </c>
      <c r="O172" t="n">
        <v>0</v>
      </c>
      <c r="P172" t="n">
        <v>0</v>
      </c>
      <c r="Q172" t="n">
        <v>0</v>
      </c>
      <c r="R172" t="n">
        <v>0</v>
      </c>
      <c r="S172" t="n">
        <v>0</v>
      </c>
      <c r="T172" t="n">
        <v>0</v>
      </c>
      <c r="U172" s="2" t="inlineStr"/>
    </row>
    <row r="173" ht="15" customHeight="1">
      <c r="A173" t="inlineStr">
        <is>
          <t>A 35950-2023</t>
        </is>
      </c>
      <c r="B173" t="inlineStr">
        <is>
          <t>avverkningsanmälan</t>
        </is>
      </c>
      <c r="C173" t="inlineStr">
        <is>
          <t>Föryngringsavverkning</t>
        </is>
      </c>
      <c r="D173" s="1" t="n">
        <v>45148</v>
      </c>
      <c r="E173" s="1" t="n">
        <v>46216</v>
      </c>
      <c r="F173" t="inlineStr">
        <is>
          <t>VÄSTERBOTTENS LÄN</t>
        </is>
      </c>
      <c r="G173" t="inlineStr">
        <is>
          <t>ÅSELE</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29738-2024</t>
        </is>
      </c>
      <c r="B174" t="inlineStr">
        <is>
          <t>avverkningsanmälan</t>
        </is>
      </c>
      <c r="C174" t="inlineStr">
        <is>
          <t>Avverkning för annat ändamål</t>
        </is>
      </c>
      <c r="D174" s="1" t="n">
        <v>45485</v>
      </c>
      <c r="E174" s="1" t="n">
        <v>46216</v>
      </c>
      <c r="F174" t="inlineStr">
        <is>
          <t>VÄSTERBOTTENS LÄN</t>
        </is>
      </c>
      <c r="G174" t="inlineStr">
        <is>
          <t>ÅSELE</t>
        </is>
      </c>
      <c r="I174" t="n">
        <v>0.2</v>
      </c>
      <c r="J174" t="n">
        <v>0</v>
      </c>
      <c r="K174" t="n">
        <v>0</v>
      </c>
      <c r="L174" t="n">
        <v>0</v>
      </c>
      <c r="M174" t="n">
        <v>0</v>
      </c>
      <c r="N174" t="n">
        <v>0</v>
      </c>
      <c r="O174" t="n">
        <v>0</v>
      </c>
      <c r="P174" t="n">
        <v>0</v>
      </c>
      <c r="Q174" t="n">
        <v>0</v>
      </c>
      <c r="R174" t="n">
        <v>0</v>
      </c>
      <c r="S174" t="n">
        <v>0</v>
      </c>
      <c r="T174" t="n">
        <v>0</v>
      </c>
      <c r="U174" s="2" t="inlineStr"/>
    </row>
    <row r="175" ht="15" customHeight="1">
      <c r="A175" t="inlineStr">
        <is>
          <t>A 25557-2024</t>
        </is>
      </c>
      <c r="B175" t="inlineStr">
        <is>
          <t>avverkningsanmälan</t>
        </is>
      </c>
      <c r="C175" t="inlineStr">
        <is>
          <t>Föryngringsavverkning</t>
        </is>
      </c>
      <c r="D175" s="1" t="n">
        <v>45463</v>
      </c>
      <c r="E175" s="1" t="n">
        <v>46216</v>
      </c>
      <c r="F175" t="inlineStr">
        <is>
          <t>VÄSTERBOTTENS LÄN</t>
        </is>
      </c>
      <c r="G175" t="inlineStr">
        <is>
          <t>ÅSELE</t>
        </is>
      </c>
      <c r="H175" t="inlineStr">
        <is>
          <t>Sveaskog</t>
        </is>
      </c>
      <c r="I175" t="n">
        <v>11.2</v>
      </c>
      <c r="J175" t="n">
        <v>0</v>
      </c>
      <c r="K175" t="n">
        <v>0</v>
      </c>
      <c r="L175" t="n">
        <v>0</v>
      </c>
      <c r="M175" t="n">
        <v>0</v>
      </c>
      <c r="N175" t="n">
        <v>0</v>
      </c>
      <c r="O175" t="n">
        <v>0</v>
      </c>
      <c r="P175" t="n">
        <v>0</v>
      </c>
      <c r="Q175" t="n">
        <v>0</v>
      </c>
      <c r="R175" t="n">
        <v>0</v>
      </c>
      <c r="S175" t="n">
        <v>0</v>
      </c>
      <c r="T175" t="n">
        <v>0</v>
      </c>
      <c r="U175" s="2" t="inlineStr"/>
    </row>
    <row r="176" ht="15" customHeight="1">
      <c r="A176" t="inlineStr">
        <is>
          <t>A 25569-2024</t>
        </is>
      </c>
      <c r="B176" t="inlineStr">
        <is>
          <t>avverkningsanmälan</t>
        </is>
      </c>
      <c r="C176" t="inlineStr">
        <is>
          <t>Föryngringsavverkning</t>
        </is>
      </c>
      <c r="D176" s="1" t="n">
        <v>45463</v>
      </c>
      <c r="E176" s="1" t="n">
        <v>46216</v>
      </c>
      <c r="F176" t="inlineStr">
        <is>
          <t>VÄSTERBOTTENS LÄN</t>
        </is>
      </c>
      <c r="G176" t="inlineStr">
        <is>
          <t>ÅSELE</t>
        </is>
      </c>
      <c r="H176" t="inlineStr">
        <is>
          <t>Sveaskog</t>
        </is>
      </c>
      <c r="I176" t="n">
        <v>28.7</v>
      </c>
      <c r="J176" t="n">
        <v>0</v>
      </c>
      <c r="K176" t="n">
        <v>0</v>
      </c>
      <c r="L176" t="n">
        <v>0</v>
      </c>
      <c r="M176" t="n">
        <v>0</v>
      </c>
      <c r="N176" t="n">
        <v>0</v>
      </c>
      <c r="O176" t="n">
        <v>0</v>
      </c>
      <c r="P176" t="n">
        <v>0</v>
      </c>
      <c r="Q176" t="n">
        <v>0</v>
      </c>
      <c r="R176" t="n">
        <v>0</v>
      </c>
      <c r="S176" t="n">
        <v>0</v>
      </c>
      <c r="T176" t="n">
        <v>0</v>
      </c>
      <c r="U176" s="2" t="inlineStr"/>
    </row>
    <row r="177" ht="15" customHeight="1">
      <c r="A177" t="inlineStr">
        <is>
          <t>A 42037-2023</t>
        </is>
      </c>
      <c r="B177" t="inlineStr">
        <is>
          <t>avverkningsanmälan</t>
        </is>
      </c>
      <c r="C177" t="inlineStr">
        <is>
          <t>Föryngringsavverkning</t>
        </is>
      </c>
      <c r="D177" s="1" t="n">
        <v>45177</v>
      </c>
      <c r="E177" s="1" t="n">
        <v>46216</v>
      </c>
      <c r="F177" t="inlineStr">
        <is>
          <t>VÄSTERBOTTENS LÄN</t>
        </is>
      </c>
      <c r="G177" t="inlineStr">
        <is>
          <t>ÅSELE</t>
        </is>
      </c>
      <c r="H177" t="inlineStr">
        <is>
          <t>Holmen skog AB</t>
        </is>
      </c>
      <c r="I177" t="n">
        <v>4.7</v>
      </c>
      <c r="J177" t="n">
        <v>0</v>
      </c>
      <c r="K177" t="n">
        <v>0</v>
      </c>
      <c r="L177" t="n">
        <v>0</v>
      </c>
      <c r="M177" t="n">
        <v>0</v>
      </c>
      <c r="N177" t="n">
        <v>0</v>
      </c>
      <c r="O177" t="n">
        <v>0</v>
      </c>
      <c r="P177" t="n">
        <v>0</v>
      </c>
      <c r="Q177" t="n">
        <v>0</v>
      </c>
      <c r="R177" t="n">
        <v>0</v>
      </c>
      <c r="S177" t="n">
        <v>0</v>
      </c>
      <c r="T177" t="n">
        <v>0</v>
      </c>
      <c r="U177" s="2" t="inlineStr"/>
    </row>
    <row r="178" ht="15" customHeight="1">
      <c r="A178" t="inlineStr">
        <is>
          <t>A 39437-2025</t>
        </is>
      </c>
      <c r="B178" t="inlineStr">
        <is>
          <t>avverkningsanmälan</t>
        </is>
      </c>
      <c r="C178" t="inlineStr">
        <is>
          <t>Föryngringsavverkning</t>
        </is>
      </c>
      <c r="D178" s="1" t="n">
        <v>45889</v>
      </c>
      <c r="E178" s="1" t="n">
        <v>46216</v>
      </c>
      <c r="F178" t="inlineStr">
        <is>
          <t>VÄSTERBOTTENS LÄN</t>
        </is>
      </c>
      <c r="G178" t="inlineStr">
        <is>
          <t>ÅSELE</t>
        </is>
      </c>
      <c r="H178" t="inlineStr">
        <is>
          <t>SCA</t>
        </is>
      </c>
      <c r="I178" t="n">
        <v>4.6</v>
      </c>
      <c r="J178" t="n">
        <v>0</v>
      </c>
      <c r="K178" t="n">
        <v>0</v>
      </c>
      <c r="L178" t="n">
        <v>0</v>
      </c>
      <c r="M178" t="n">
        <v>0</v>
      </c>
      <c r="N178" t="n">
        <v>0</v>
      </c>
      <c r="O178" t="n">
        <v>0</v>
      </c>
      <c r="P178" t="n">
        <v>0</v>
      </c>
      <c r="Q178" t="n">
        <v>0</v>
      </c>
      <c r="R178" t="n">
        <v>0</v>
      </c>
      <c r="S178" t="n">
        <v>0</v>
      </c>
      <c r="T178" t="n">
        <v>0</v>
      </c>
      <c r="U178" s="2" t="inlineStr"/>
    </row>
    <row r="179" ht="15" customHeight="1">
      <c r="A179" t="inlineStr">
        <is>
          <t>A 39431-2025</t>
        </is>
      </c>
      <c r="B179" t="inlineStr">
        <is>
          <t>avverkningsanmälan</t>
        </is>
      </c>
      <c r="C179" t="inlineStr">
        <is>
          <t>Föryngringsavverkning</t>
        </is>
      </c>
      <c r="D179" s="1" t="n">
        <v>45889</v>
      </c>
      <c r="E179" s="1" t="n">
        <v>46216</v>
      </c>
      <c r="F179" t="inlineStr">
        <is>
          <t>VÄSTERBOTTENS LÄN</t>
        </is>
      </c>
      <c r="G179" t="inlineStr">
        <is>
          <t>ÅSELE</t>
        </is>
      </c>
      <c r="H179" t="inlineStr">
        <is>
          <t>SCA</t>
        </is>
      </c>
      <c r="I179" t="n">
        <v>14.4</v>
      </c>
      <c r="J179" t="n">
        <v>0</v>
      </c>
      <c r="K179" t="n">
        <v>0</v>
      </c>
      <c r="L179" t="n">
        <v>0</v>
      </c>
      <c r="M179" t="n">
        <v>0</v>
      </c>
      <c r="N179" t="n">
        <v>0</v>
      </c>
      <c r="O179" t="n">
        <v>0</v>
      </c>
      <c r="P179" t="n">
        <v>0</v>
      </c>
      <c r="Q179" t="n">
        <v>0</v>
      </c>
      <c r="R179" t="n">
        <v>0</v>
      </c>
      <c r="S179" t="n">
        <v>0</v>
      </c>
      <c r="T179" t="n">
        <v>0</v>
      </c>
      <c r="U179" s="2" t="inlineStr"/>
    </row>
    <row r="180" ht="15" customHeight="1">
      <c r="A180" t="inlineStr">
        <is>
          <t>A 22114-2024</t>
        </is>
      </c>
      <c r="B180" t="inlineStr">
        <is>
          <t>avverkningsanmälan</t>
        </is>
      </c>
      <c r="C180" t="inlineStr">
        <is>
          <t>Föryngringsavverkning</t>
        </is>
      </c>
      <c r="D180" s="1" t="n">
        <v>45443</v>
      </c>
      <c r="E180" s="1" t="n">
        <v>46216</v>
      </c>
      <c r="F180" t="inlineStr">
        <is>
          <t>VÄSTERBOTTENS LÄN</t>
        </is>
      </c>
      <c r="G180" t="inlineStr">
        <is>
          <t>ÅSELE</t>
        </is>
      </c>
      <c r="H180" t="inlineStr">
        <is>
          <t>SCA</t>
        </is>
      </c>
      <c r="I180" t="n">
        <v>30.2</v>
      </c>
      <c r="J180" t="n">
        <v>0</v>
      </c>
      <c r="K180" t="n">
        <v>0</v>
      </c>
      <c r="L180" t="n">
        <v>0</v>
      </c>
      <c r="M180" t="n">
        <v>0</v>
      </c>
      <c r="N180" t="n">
        <v>0</v>
      </c>
      <c r="O180" t="n">
        <v>0</v>
      </c>
      <c r="P180" t="n">
        <v>0</v>
      </c>
      <c r="Q180" t="n">
        <v>0</v>
      </c>
      <c r="R180" t="n">
        <v>0</v>
      </c>
      <c r="S180" t="n">
        <v>0</v>
      </c>
      <c r="T180" t="n">
        <v>0</v>
      </c>
      <c r="U180" s="2" t="inlineStr"/>
    </row>
    <row r="181" ht="15" customHeight="1">
      <c r="A181" t="inlineStr">
        <is>
          <t>A 27464-2025</t>
        </is>
      </c>
      <c r="B181" t="inlineStr">
        <is>
          <t>avverkningsanmälan</t>
        </is>
      </c>
      <c r="C181" t="inlineStr">
        <is>
          <t>Föryngringsavverkning</t>
        </is>
      </c>
      <c r="D181" s="1" t="n">
        <v>45813</v>
      </c>
      <c r="E181" s="1" t="n">
        <v>46216</v>
      </c>
      <c r="F181" t="inlineStr">
        <is>
          <t>VÄSTERBOTTENS LÄN</t>
        </is>
      </c>
      <c r="G181" t="inlineStr">
        <is>
          <t>ÅSELE</t>
        </is>
      </c>
      <c r="H181" t="inlineStr">
        <is>
          <t>SCA</t>
        </is>
      </c>
      <c r="I181" t="n">
        <v>4.5</v>
      </c>
      <c r="J181" t="n">
        <v>0</v>
      </c>
      <c r="K181" t="n">
        <v>0</v>
      </c>
      <c r="L181" t="n">
        <v>0</v>
      </c>
      <c r="M181" t="n">
        <v>0</v>
      </c>
      <c r="N181" t="n">
        <v>0</v>
      </c>
      <c r="O181" t="n">
        <v>0</v>
      </c>
      <c r="P181" t="n">
        <v>0</v>
      </c>
      <c r="Q181" t="n">
        <v>0</v>
      </c>
      <c r="R181" t="n">
        <v>0</v>
      </c>
      <c r="S181" t="n">
        <v>0</v>
      </c>
      <c r="T181" t="n">
        <v>0</v>
      </c>
      <c r="U181" s="2" t="inlineStr"/>
    </row>
    <row r="182" ht="15" customHeight="1">
      <c r="A182" t="inlineStr">
        <is>
          <t>A 27943-2024</t>
        </is>
      </c>
      <c r="B182" t="inlineStr">
        <is>
          <t>avverkningsanmälan</t>
        </is>
      </c>
      <c r="C182" t="inlineStr">
        <is>
          <t>Föryngringsavverkning</t>
        </is>
      </c>
      <c r="D182" s="1" t="n">
        <v>45476</v>
      </c>
      <c r="E182" s="1" t="n">
        <v>46216</v>
      </c>
      <c r="F182" t="inlineStr">
        <is>
          <t>VÄSTERBOTTENS LÄN</t>
        </is>
      </c>
      <c r="G182" t="inlineStr">
        <is>
          <t>ÅSELE</t>
        </is>
      </c>
      <c r="H182" t="inlineStr">
        <is>
          <t>Sveaskog</t>
        </is>
      </c>
      <c r="I182" t="n">
        <v>5.1</v>
      </c>
      <c r="J182" t="n">
        <v>0</v>
      </c>
      <c r="K182" t="n">
        <v>0</v>
      </c>
      <c r="L182" t="n">
        <v>0</v>
      </c>
      <c r="M182" t="n">
        <v>0</v>
      </c>
      <c r="N182" t="n">
        <v>0</v>
      </c>
      <c r="O182" t="n">
        <v>0</v>
      </c>
      <c r="P182" t="n">
        <v>0</v>
      </c>
      <c r="Q182" t="n">
        <v>0</v>
      </c>
      <c r="R182" t="n">
        <v>0</v>
      </c>
      <c r="S182" t="n">
        <v>0</v>
      </c>
      <c r="T182" t="n">
        <v>0</v>
      </c>
      <c r="U182" s="2" t="inlineStr"/>
    </row>
    <row r="183" ht="15" customHeight="1">
      <c r="A183" t="inlineStr">
        <is>
          <t>A 4915-2024</t>
        </is>
      </c>
      <c r="B183" t="inlineStr">
        <is>
          <t>avverkningsanmälan</t>
        </is>
      </c>
      <c r="C183" t="inlineStr">
        <is>
          <t>Föryngringsavverkning</t>
        </is>
      </c>
      <c r="D183" s="1" t="n">
        <v>45329</v>
      </c>
      <c r="E183" s="1" t="n">
        <v>46216</v>
      </c>
      <c r="F183" t="inlineStr">
        <is>
          <t>VÄSTERBOTTENS LÄN</t>
        </is>
      </c>
      <c r="G183" t="inlineStr">
        <is>
          <t>ÅSELE</t>
        </is>
      </c>
      <c r="H183" t="inlineStr">
        <is>
          <t>Övriga Aktiebolag</t>
        </is>
      </c>
      <c r="I183" t="n">
        <v>7.5</v>
      </c>
      <c r="J183" t="n">
        <v>0</v>
      </c>
      <c r="K183" t="n">
        <v>0</v>
      </c>
      <c r="L183" t="n">
        <v>0</v>
      </c>
      <c r="M183" t="n">
        <v>0</v>
      </c>
      <c r="N183" t="n">
        <v>0</v>
      </c>
      <c r="O183" t="n">
        <v>0</v>
      </c>
      <c r="P183" t="n">
        <v>0</v>
      </c>
      <c r="Q183" t="n">
        <v>0</v>
      </c>
      <c r="R183" t="n">
        <v>0</v>
      </c>
      <c r="S183" t="n">
        <v>0</v>
      </c>
      <c r="T183" t="n">
        <v>0</v>
      </c>
      <c r="U183" s="2" t="inlineStr"/>
    </row>
    <row r="184" ht="15" customHeight="1">
      <c r="A184" t="inlineStr">
        <is>
          <t>A 5022-2024</t>
        </is>
      </c>
      <c r="B184" t="inlineStr">
        <is>
          <t>avverkningsanmälan</t>
        </is>
      </c>
      <c r="C184" t="inlineStr">
        <is>
          <t>Föryngringsavverkning</t>
        </is>
      </c>
      <c r="D184" s="1" t="n">
        <v>45329</v>
      </c>
      <c r="E184" s="1" t="n">
        <v>46216</v>
      </c>
      <c r="F184" t="inlineStr">
        <is>
          <t>VÄSTERBOTTENS LÄN</t>
        </is>
      </c>
      <c r="G184" t="inlineStr">
        <is>
          <t>ÅSELE</t>
        </is>
      </c>
      <c r="H184" t="inlineStr">
        <is>
          <t>Övriga Aktiebolag</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30167-2025</t>
        </is>
      </c>
      <c r="B185" t="inlineStr">
        <is>
          <t>avverkningsanmälan</t>
        </is>
      </c>
      <c r="C185" t="inlineStr">
        <is>
          <t>Föryngringsavverkning</t>
        </is>
      </c>
      <c r="D185" s="1" t="n">
        <v>45827</v>
      </c>
      <c r="E185" s="1" t="n">
        <v>46216</v>
      </c>
      <c r="F185" t="inlineStr">
        <is>
          <t>VÄSTERBOTTENS LÄN</t>
        </is>
      </c>
      <c r="G185" t="inlineStr">
        <is>
          <t>ÅSELE</t>
        </is>
      </c>
      <c r="I185" t="n">
        <v>3.1</v>
      </c>
      <c r="J185" t="n">
        <v>0</v>
      </c>
      <c r="K185" t="n">
        <v>0</v>
      </c>
      <c r="L185" t="n">
        <v>0</v>
      </c>
      <c r="M185" t="n">
        <v>0</v>
      </c>
      <c r="N185" t="n">
        <v>0</v>
      </c>
      <c r="O185" t="n">
        <v>0</v>
      </c>
      <c r="P185" t="n">
        <v>0</v>
      </c>
      <c r="Q185" t="n">
        <v>0</v>
      </c>
      <c r="R185" t="n">
        <v>0</v>
      </c>
      <c r="S185" t="n">
        <v>0</v>
      </c>
      <c r="T185" t="n">
        <v>0</v>
      </c>
      <c r="U185" s="2" t="inlineStr"/>
    </row>
    <row r="186" ht="15" customHeight="1">
      <c r="A186" t="inlineStr">
        <is>
          <t>A 10582-2023</t>
        </is>
      </c>
      <c r="B186" t="inlineStr">
        <is>
          <t>avverkningsanmälan</t>
        </is>
      </c>
      <c r="C186" t="inlineStr">
        <is>
          <t>Föryngringsavverkning</t>
        </is>
      </c>
      <c r="D186" s="1" t="n">
        <v>44984</v>
      </c>
      <c r="E186" s="1" t="n">
        <v>46216</v>
      </c>
      <c r="F186" t="inlineStr">
        <is>
          <t>VÄSTERBOTTENS LÄN</t>
        </is>
      </c>
      <c r="G186" t="inlineStr">
        <is>
          <t>ÅSELE</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38590-2021</t>
        </is>
      </c>
      <c r="B187" t="inlineStr">
        <is>
          <t>avverkningsanmälan</t>
        </is>
      </c>
      <c r="C187" t="inlineStr">
        <is>
          <t>Föryngringsavverkning</t>
        </is>
      </c>
      <c r="D187" s="1" t="n">
        <v>44407</v>
      </c>
      <c r="E187" s="1" t="n">
        <v>46216</v>
      </c>
      <c r="F187" t="inlineStr">
        <is>
          <t>VÄSTERBOTTENS LÄN</t>
        </is>
      </c>
      <c r="G187" t="inlineStr">
        <is>
          <t>ÅSELE</t>
        </is>
      </c>
      <c r="H187" t="inlineStr">
        <is>
          <t>SCA</t>
        </is>
      </c>
      <c r="I187" t="n">
        <v>107.3</v>
      </c>
      <c r="J187" t="n">
        <v>0</v>
      </c>
      <c r="K187" t="n">
        <v>0</v>
      </c>
      <c r="L187" t="n">
        <v>0</v>
      </c>
      <c r="M187" t="n">
        <v>0</v>
      </c>
      <c r="N187" t="n">
        <v>0</v>
      </c>
      <c r="O187" t="n">
        <v>0</v>
      </c>
      <c r="P187" t="n">
        <v>0</v>
      </c>
      <c r="Q187" t="n">
        <v>0</v>
      </c>
      <c r="R187" t="n">
        <v>0</v>
      </c>
      <c r="S187" t="n">
        <v>0</v>
      </c>
      <c r="T187" t="n">
        <v>0</v>
      </c>
      <c r="U187" s="2" t="inlineStr"/>
    </row>
    <row r="188" ht="15" customHeight="1">
      <c r="A188" t="inlineStr">
        <is>
          <t>A 61874-2023</t>
        </is>
      </c>
      <c r="B188" t="inlineStr">
        <is>
          <t>avverkningsanmälan</t>
        </is>
      </c>
      <c r="C188" t="inlineStr">
        <is>
          <t>Föryngringsavverkning</t>
        </is>
      </c>
      <c r="D188" s="1" t="n">
        <v>45266</v>
      </c>
      <c r="E188" s="1" t="n">
        <v>46216</v>
      </c>
      <c r="F188" t="inlineStr">
        <is>
          <t>VÄSTERBOTTENS LÄN</t>
        </is>
      </c>
      <c r="G188" t="inlineStr">
        <is>
          <t>ÅSELE</t>
        </is>
      </c>
      <c r="H188" t="inlineStr">
        <is>
          <t>Sveaskog</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3250-2025</t>
        </is>
      </c>
      <c r="B189" t="inlineStr">
        <is>
          <t>avverkningsanmälan</t>
        </is>
      </c>
      <c r="C189" t="inlineStr">
        <is>
          <t>Föryngringsavverkning</t>
        </is>
      </c>
      <c r="D189" s="1" t="n">
        <v>45679</v>
      </c>
      <c r="E189" s="1" t="n">
        <v>46216</v>
      </c>
      <c r="F189" t="inlineStr">
        <is>
          <t>VÄSTERBOTTENS LÄN</t>
        </is>
      </c>
      <c r="G189" t="inlineStr">
        <is>
          <t>ÅSELE</t>
        </is>
      </c>
      <c r="I189" t="n">
        <v>2.3</v>
      </c>
      <c r="J189" t="n">
        <v>0</v>
      </c>
      <c r="K189" t="n">
        <v>0</v>
      </c>
      <c r="L189" t="n">
        <v>0</v>
      </c>
      <c r="M189" t="n">
        <v>0</v>
      </c>
      <c r="N189" t="n">
        <v>0</v>
      </c>
      <c r="O189" t="n">
        <v>0</v>
      </c>
      <c r="P189" t="n">
        <v>0</v>
      </c>
      <c r="Q189" t="n">
        <v>0</v>
      </c>
      <c r="R189" t="n">
        <v>0</v>
      </c>
      <c r="S189" t="n">
        <v>0</v>
      </c>
      <c r="T189" t="n">
        <v>0</v>
      </c>
      <c r="U189" s="2" t="inlineStr"/>
    </row>
    <row r="190" ht="15" customHeight="1">
      <c r="A190" t="inlineStr">
        <is>
          <t>A 19614-2025</t>
        </is>
      </c>
      <c r="B190" t="inlineStr">
        <is>
          <t>avverkningsanmälan</t>
        </is>
      </c>
      <c r="C190" t="inlineStr">
        <is>
          <t>Föryngringsavverkning</t>
        </is>
      </c>
      <c r="D190" s="1" t="n">
        <v>45770</v>
      </c>
      <c r="E190" s="1" t="n">
        <v>46216</v>
      </c>
      <c r="F190" t="inlineStr">
        <is>
          <t>VÄSTERBOTTENS LÄN</t>
        </is>
      </c>
      <c r="G190" t="inlineStr">
        <is>
          <t>ÅSELE</t>
        </is>
      </c>
      <c r="H190" t="inlineStr">
        <is>
          <t>SCA</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37576-2024</t>
        </is>
      </c>
      <c r="B191" t="inlineStr">
        <is>
          <t>avverkningsanmälan</t>
        </is>
      </c>
      <c r="C191" t="inlineStr">
        <is>
          <t>Föryngringsavverkning</t>
        </is>
      </c>
      <c r="D191" s="1" t="n">
        <v>45541</v>
      </c>
      <c r="E191" s="1" t="n">
        <v>46216</v>
      </c>
      <c r="F191" t="inlineStr">
        <is>
          <t>VÄSTERBOTTENS LÄN</t>
        </is>
      </c>
      <c r="G191" t="inlineStr">
        <is>
          <t>ÅSELE</t>
        </is>
      </c>
      <c r="H191" t="inlineStr">
        <is>
          <t>Holmen skog AB</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40479-2025</t>
        </is>
      </c>
      <c r="B192" t="inlineStr">
        <is>
          <t>avverkningsanmälan</t>
        </is>
      </c>
      <c r="C192" t="inlineStr">
        <is>
          <t>Föryngringsavverkning</t>
        </is>
      </c>
      <c r="D192" s="1" t="n">
        <v>45895</v>
      </c>
      <c r="E192" s="1" t="n">
        <v>46216</v>
      </c>
      <c r="F192" t="inlineStr">
        <is>
          <t>VÄSTERBOTTENS LÄN</t>
        </is>
      </c>
      <c r="G192" t="inlineStr">
        <is>
          <t>ÅSELE</t>
        </is>
      </c>
      <c r="H192" t="inlineStr">
        <is>
          <t>Naturvårdsverket</t>
        </is>
      </c>
      <c r="I192" t="n">
        <v>4.4</v>
      </c>
      <c r="J192" t="n">
        <v>0</v>
      </c>
      <c r="K192" t="n">
        <v>0</v>
      </c>
      <c r="L192" t="n">
        <v>0</v>
      </c>
      <c r="M192" t="n">
        <v>0</v>
      </c>
      <c r="N192" t="n">
        <v>0</v>
      </c>
      <c r="O192" t="n">
        <v>0</v>
      </c>
      <c r="P192" t="n">
        <v>0</v>
      </c>
      <c r="Q192" t="n">
        <v>0</v>
      </c>
      <c r="R192" t="n">
        <v>0</v>
      </c>
      <c r="S192" t="n">
        <v>0</v>
      </c>
      <c r="T192" t="n">
        <v>0</v>
      </c>
      <c r="U192" s="2" t="inlineStr"/>
    </row>
    <row r="193" ht="15" customHeight="1">
      <c r="A193" t="inlineStr">
        <is>
          <t>A 40035-2025</t>
        </is>
      </c>
      <c r="B193" t="inlineStr">
        <is>
          <t>avverkningsanmälan</t>
        </is>
      </c>
      <c r="C193" t="inlineStr">
        <is>
          <t>Föryngringsavverkning</t>
        </is>
      </c>
      <c r="D193" s="1" t="n">
        <v>45894</v>
      </c>
      <c r="E193" s="1" t="n">
        <v>46216</v>
      </c>
      <c r="F193" t="inlineStr">
        <is>
          <t>VÄSTERBOTTENS LÄN</t>
        </is>
      </c>
      <c r="G193" t="inlineStr">
        <is>
          <t>ÅSELE</t>
        </is>
      </c>
      <c r="I193" t="n">
        <v>3.3</v>
      </c>
      <c r="J193" t="n">
        <v>0</v>
      </c>
      <c r="K193" t="n">
        <v>0</v>
      </c>
      <c r="L193" t="n">
        <v>0</v>
      </c>
      <c r="M193" t="n">
        <v>0</v>
      </c>
      <c r="N193" t="n">
        <v>0</v>
      </c>
      <c r="O193" t="n">
        <v>0</v>
      </c>
      <c r="P193" t="n">
        <v>0</v>
      </c>
      <c r="Q193" t="n">
        <v>0</v>
      </c>
      <c r="R193" t="n">
        <v>0</v>
      </c>
      <c r="S193" t="n">
        <v>0</v>
      </c>
      <c r="T193" t="n">
        <v>0</v>
      </c>
      <c r="U193" s="2" t="inlineStr"/>
    </row>
    <row r="194" ht="15" customHeight="1">
      <c r="A194" t="inlineStr">
        <is>
          <t>A 39971-2025</t>
        </is>
      </c>
      <c r="B194" t="inlineStr">
        <is>
          <t>avverkningsanmälan</t>
        </is>
      </c>
      <c r="C194" t="inlineStr">
        <is>
          <t>Föryngringsavverkning</t>
        </is>
      </c>
      <c r="D194" s="1" t="n">
        <v>45892</v>
      </c>
      <c r="E194" s="1" t="n">
        <v>46216</v>
      </c>
      <c r="F194" t="inlineStr">
        <is>
          <t>VÄSTERBOTTENS LÄN</t>
        </is>
      </c>
      <c r="G194" t="inlineStr">
        <is>
          <t>ÅSELE</t>
        </is>
      </c>
      <c r="H194" t="inlineStr">
        <is>
          <t>SCA</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8247-2023</t>
        </is>
      </c>
      <c r="B195" t="inlineStr">
        <is>
          <t>avverkningsanmälan</t>
        </is>
      </c>
      <c r="C195" t="inlineStr">
        <is>
          <t>Föryngringsavverkning</t>
        </is>
      </c>
      <c r="D195" s="1" t="n">
        <v>44971</v>
      </c>
      <c r="E195" s="1" t="n">
        <v>46216</v>
      </c>
      <c r="F195" t="inlineStr">
        <is>
          <t>VÄSTERBOTTENS LÄN</t>
        </is>
      </c>
      <c r="G195" t="inlineStr">
        <is>
          <t>ÅSELE</t>
        </is>
      </c>
      <c r="I195" t="n">
        <v>4.9</v>
      </c>
      <c r="J195" t="n">
        <v>0</v>
      </c>
      <c r="K195" t="n">
        <v>0</v>
      </c>
      <c r="L195" t="n">
        <v>0</v>
      </c>
      <c r="M195" t="n">
        <v>0</v>
      </c>
      <c r="N195" t="n">
        <v>0</v>
      </c>
      <c r="O195" t="n">
        <v>0</v>
      </c>
      <c r="P195" t="n">
        <v>0</v>
      </c>
      <c r="Q195" t="n">
        <v>0</v>
      </c>
      <c r="R195" t="n">
        <v>0</v>
      </c>
      <c r="S195" t="n">
        <v>0</v>
      </c>
      <c r="T195" t="n">
        <v>0</v>
      </c>
      <c r="U195" s="2" t="inlineStr"/>
    </row>
    <row r="196" ht="15" customHeight="1">
      <c r="A196" t="inlineStr">
        <is>
          <t>A 40349-2025</t>
        </is>
      </c>
      <c r="B196" t="inlineStr">
        <is>
          <t>avverkningsanmälan</t>
        </is>
      </c>
      <c r="C196" t="inlineStr">
        <is>
          <t>Avverkning för annat ändamål</t>
        </is>
      </c>
      <c r="D196" s="1" t="n">
        <v>45895</v>
      </c>
      <c r="E196" s="1" t="n">
        <v>46216</v>
      </c>
      <c r="F196" t="inlineStr">
        <is>
          <t>VÄSTERBOTTENS LÄN</t>
        </is>
      </c>
      <c r="G196" t="inlineStr">
        <is>
          <t>ÅSELE</t>
        </is>
      </c>
      <c r="H196" t="inlineStr">
        <is>
          <t>Sveaskog</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28066-2025</t>
        </is>
      </c>
      <c r="B197" t="inlineStr">
        <is>
          <t>avverkningsanmälan</t>
        </is>
      </c>
      <c r="C197" t="inlineStr">
        <is>
          <t>Föryngringsavverkning</t>
        </is>
      </c>
      <c r="D197" s="1" t="n">
        <v>45817</v>
      </c>
      <c r="E197" s="1" t="n">
        <v>46216</v>
      </c>
      <c r="F197" t="inlineStr">
        <is>
          <t>VÄSTERBOTTENS LÄN</t>
        </is>
      </c>
      <c r="G197" t="inlineStr">
        <is>
          <t>ÅSELE</t>
        </is>
      </c>
      <c r="H197" t="inlineStr">
        <is>
          <t>Sveaskog</t>
        </is>
      </c>
      <c r="I197" t="n">
        <v>7.1</v>
      </c>
      <c r="J197" t="n">
        <v>0</v>
      </c>
      <c r="K197" t="n">
        <v>0</v>
      </c>
      <c r="L197" t="n">
        <v>0</v>
      </c>
      <c r="M197" t="n">
        <v>0</v>
      </c>
      <c r="N197" t="n">
        <v>0</v>
      </c>
      <c r="O197" t="n">
        <v>0</v>
      </c>
      <c r="P197" t="n">
        <v>0</v>
      </c>
      <c r="Q197" t="n">
        <v>0</v>
      </c>
      <c r="R197" t="n">
        <v>0</v>
      </c>
      <c r="S197" t="n">
        <v>0</v>
      </c>
      <c r="T197" t="n">
        <v>0</v>
      </c>
      <c r="U197" s="2" t="inlineStr"/>
    </row>
    <row r="198" ht="15" customHeight="1">
      <c r="A198" t="inlineStr">
        <is>
          <t>A 27720-2025</t>
        </is>
      </c>
      <c r="B198" t="inlineStr">
        <is>
          <t>avverkningsanmälan</t>
        </is>
      </c>
      <c r="C198" t="inlineStr">
        <is>
          <t>Föryngringsavverkning</t>
        </is>
      </c>
      <c r="D198" s="1" t="n">
        <v>45814</v>
      </c>
      <c r="E198" s="1" t="n">
        <v>46216</v>
      </c>
      <c r="F198" t="inlineStr">
        <is>
          <t>VÄSTERBOTTENS LÄN</t>
        </is>
      </c>
      <c r="G198" t="inlineStr">
        <is>
          <t>ÅSELE</t>
        </is>
      </c>
      <c r="I198" t="n">
        <v>4.7</v>
      </c>
      <c r="J198" t="n">
        <v>0</v>
      </c>
      <c r="K198" t="n">
        <v>0</v>
      </c>
      <c r="L198" t="n">
        <v>0</v>
      </c>
      <c r="M198" t="n">
        <v>0</v>
      </c>
      <c r="N198" t="n">
        <v>0</v>
      </c>
      <c r="O198" t="n">
        <v>0</v>
      </c>
      <c r="P198" t="n">
        <v>0</v>
      </c>
      <c r="Q198" t="n">
        <v>0</v>
      </c>
      <c r="R198" t="n">
        <v>0</v>
      </c>
      <c r="S198" t="n">
        <v>0</v>
      </c>
      <c r="T198" t="n">
        <v>0</v>
      </c>
      <c r="U198" s="2" t="inlineStr"/>
    </row>
    <row r="199" ht="15" customHeight="1">
      <c r="A199" t="inlineStr">
        <is>
          <t>A 27721-2025</t>
        </is>
      </c>
      <c r="B199" t="inlineStr">
        <is>
          <t>avverkningsanmälan</t>
        </is>
      </c>
      <c r="C199" t="inlineStr">
        <is>
          <t>Föryngringsavverkning</t>
        </is>
      </c>
      <c r="D199" s="1" t="n">
        <v>45814</v>
      </c>
      <c r="E199" s="1" t="n">
        <v>46216</v>
      </c>
      <c r="F199" t="inlineStr">
        <is>
          <t>VÄSTERBOTTENS LÄN</t>
        </is>
      </c>
      <c r="G199" t="inlineStr">
        <is>
          <t>ÅSELE</t>
        </is>
      </c>
      <c r="I199" t="n">
        <v>3.7</v>
      </c>
      <c r="J199" t="n">
        <v>0</v>
      </c>
      <c r="K199" t="n">
        <v>0</v>
      </c>
      <c r="L199" t="n">
        <v>0</v>
      </c>
      <c r="M199" t="n">
        <v>0</v>
      </c>
      <c r="N199" t="n">
        <v>0</v>
      </c>
      <c r="O199" t="n">
        <v>0</v>
      </c>
      <c r="P199" t="n">
        <v>0</v>
      </c>
      <c r="Q199" t="n">
        <v>0</v>
      </c>
      <c r="R199" t="n">
        <v>0</v>
      </c>
      <c r="S199" t="n">
        <v>0</v>
      </c>
      <c r="T199" t="n">
        <v>0</v>
      </c>
      <c r="U199" s="2" t="inlineStr"/>
    </row>
    <row r="200" ht="15" customHeight="1">
      <c r="A200" t="inlineStr">
        <is>
          <t>A 40124-2025</t>
        </is>
      </c>
      <c r="B200" t="inlineStr">
        <is>
          <t>avverkningsanmälan</t>
        </is>
      </c>
      <c r="C200" t="inlineStr">
        <is>
          <t>Föryngringsavverkning</t>
        </is>
      </c>
      <c r="D200" s="1" t="n">
        <v>45894</v>
      </c>
      <c r="E200" s="1" t="n">
        <v>46216</v>
      </c>
      <c r="F200" t="inlineStr">
        <is>
          <t>VÄSTERBOTTENS LÄN</t>
        </is>
      </c>
      <c r="G200" t="inlineStr">
        <is>
          <t>ÅSELE</t>
        </is>
      </c>
      <c r="H200" t="inlineStr">
        <is>
          <t>SCA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27723-2025</t>
        </is>
      </c>
      <c r="B201" t="inlineStr">
        <is>
          <t>avverkningsanmälan</t>
        </is>
      </c>
      <c r="C201" t="inlineStr">
        <is>
          <t>Föryngringsavverkning</t>
        </is>
      </c>
      <c r="D201" s="1" t="n">
        <v>45814</v>
      </c>
      <c r="E201" s="1" t="n">
        <v>46216</v>
      </c>
      <c r="F201" t="inlineStr">
        <is>
          <t>VÄSTERBOTTENS LÄN</t>
        </is>
      </c>
      <c r="G201" t="inlineStr">
        <is>
          <t>ÅSELE</t>
        </is>
      </c>
      <c r="I201" t="n">
        <v>3.6</v>
      </c>
      <c r="J201" t="n">
        <v>0</v>
      </c>
      <c r="K201" t="n">
        <v>0</v>
      </c>
      <c r="L201" t="n">
        <v>0</v>
      </c>
      <c r="M201" t="n">
        <v>0</v>
      </c>
      <c r="N201" t="n">
        <v>0</v>
      </c>
      <c r="O201" t="n">
        <v>0</v>
      </c>
      <c r="P201" t="n">
        <v>0</v>
      </c>
      <c r="Q201" t="n">
        <v>0</v>
      </c>
      <c r="R201" t="n">
        <v>0</v>
      </c>
      <c r="S201" t="n">
        <v>0</v>
      </c>
      <c r="T201" t="n">
        <v>0</v>
      </c>
      <c r="U201" s="2" t="inlineStr"/>
    </row>
    <row r="202" ht="15" customHeight="1">
      <c r="A202" t="inlineStr">
        <is>
          <t>A 40223-2025</t>
        </is>
      </c>
      <c r="B202" t="inlineStr">
        <is>
          <t>avverkningsanmälan</t>
        </is>
      </c>
      <c r="C202" t="inlineStr">
        <is>
          <t>Föryngringsavverkning</t>
        </is>
      </c>
      <c r="D202" s="1" t="n">
        <v>45894</v>
      </c>
      <c r="E202" s="1" t="n">
        <v>46216</v>
      </c>
      <c r="F202" t="inlineStr">
        <is>
          <t>VÄSTERBOTTENS LÄN</t>
        </is>
      </c>
      <c r="G202" t="inlineStr">
        <is>
          <t>ÅSELE</t>
        </is>
      </c>
      <c r="H202" t="inlineStr">
        <is>
          <t>SCA</t>
        </is>
      </c>
      <c r="I202" t="n">
        <v>11.6</v>
      </c>
      <c r="J202" t="n">
        <v>0</v>
      </c>
      <c r="K202" t="n">
        <v>0</v>
      </c>
      <c r="L202" t="n">
        <v>0</v>
      </c>
      <c r="M202" t="n">
        <v>0</v>
      </c>
      <c r="N202" t="n">
        <v>0</v>
      </c>
      <c r="O202" t="n">
        <v>0</v>
      </c>
      <c r="P202" t="n">
        <v>0</v>
      </c>
      <c r="Q202" t="n">
        <v>0</v>
      </c>
      <c r="R202" t="n">
        <v>0</v>
      </c>
      <c r="S202" t="n">
        <v>0</v>
      </c>
      <c r="T202" t="n">
        <v>0</v>
      </c>
      <c r="U202" s="2" t="inlineStr"/>
    </row>
    <row r="203" ht="15" customHeight="1">
      <c r="A203" t="inlineStr">
        <is>
          <t>A 50308-2025</t>
        </is>
      </c>
      <c r="B203" t="inlineStr">
        <is>
          <t>avverkningsanmälan</t>
        </is>
      </c>
      <c r="C203" t="inlineStr">
        <is>
          <t>Föryngringsavverkning</t>
        </is>
      </c>
      <c r="D203" s="1" t="n">
        <v>45944</v>
      </c>
      <c r="E203" s="1" t="n">
        <v>46216</v>
      </c>
      <c r="F203" t="inlineStr">
        <is>
          <t>VÄSTERBOTTENS LÄN</t>
        </is>
      </c>
      <c r="G203" t="inlineStr">
        <is>
          <t>ÅSELE</t>
        </is>
      </c>
      <c r="H203" t="inlineStr">
        <is>
          <t>Holmen skog AB</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40125-2025</t>
        </is>
      </c>
      <c r="B204" t="inlineStr">
        <is>
          <t>avverkningsanmälan</t>
        </is>
      </c>
      <c r="C204" t="inlineStr">
        <is>
          <t>Föryngringsavverkning</t>
        </is>
      </c>
      <c r="D204" s="1" t="n">
        <v>45894</v>
      </c>
      <c r="E204" s="1" t="n">
        <v>46216</v>
      </c>
      <c r="F204" t="inlineStr">
        <is>
          <t>VÄSTERBOTTENS LÄN</t>
        </is>
      </c>
      <c r="G204" t="inlineStr">
        <is>
          <t>ÅSELE</t>
        </is>
      </c>
      <c r="H204" t="inlineStr">
        <is>
          <t>SCA</t>
        </is>
      </c>
      <c r="I204" t="n">
        <v>5.7</v>
      </c>
      <c r="J204" t="n">
        <v>0</v>
      </c>
      <c r="K204" t="n">
        <v>0</v>
      </c>
      <c r="L204" t="n">
        <v>0</v>
      </c>
      <c r="M204" t="n">
        <v>0</v>
      </c>
      <c r="N204" t="n">
        <v>0</v>
      </c>
      <c r="O204" t="n">
        <v>0</v>
      </c>
      <c r="P204" t="n">
        <v>0</v>
      </c>
      <c r="Q204" t="n">
        <v>0</v>
      </c>
      <c r="R204" t="n">
        <v>0</v>
      </c>
      <c r="S204" t="n">
        <v>0</v>
      </c>
      <c r="T204" t="n">
        <v>0</v>
      </c>
      <c r="U204" s="2" t="inlineStr"/>
    </row>
    <row r="205" ht="15" customHeight="1">
      <c r="A205" t="inlineStr">
        <is>
          <t>A 40350-2025</t>
        </is>
      </c>
      <c r="B205" t="inlineStr">
        <is>
          <t>avverkningsanmälan</t>
        </is>
      </c>
      <c r="C205" t="inlineStr">
        <is>
          <t>Avverkning för annat ändamål</t>
        </is>
      </c>
      <c r="D205" s="1" t="n">
        <v>45895</v>
      </c>
      <c r="E205" s="1" t="n">
        <v>46216</v>
      </c>
      <c r="F205" t="inlineStr">
        <is>
          <t>VÄSTERBOTTENS LÄN</t>
        </is>
      </c>
      <c r="G205" t="inlineStr">
        <is>
          <t>ÅSELE</t>
        </is>
      </c>
      <c r="H205" t="inlineStr">
        <is>
          <t>Sveaskog</t>
        </is>
      </c>
      <c r="I205" t="n">
        <v>5.1</v>
      </c>
      <c r="J205" t="n">
        <v>0</v>
      </c>
      <c r="K205" t="n">
        <v>0</v>
      </c>
      <c r="L205" t="n">
        <v>0</v>
      </c>
      <c r="M205" t="n">
        <v>0</v>
      </c>
      <c r="N205" t="n">
        <v>0</v>
      </c>
      <c r="O205" t="n">
        <v>0</v>
      </c>
      <c r="P205" t="n">
        <v>0</v>
      </c>
      <c r="Q205" t="n">
        <v>0</v>
      </c>
      <c r="R205" t="n">
        <v>0</v>
      </c>
      <c r="S205" t="n">
        <v>0</v>
      </c>
      <c r="T205" t="n">
        <v>0</v>
      </c>
      <c r="U205" s="2" t="inlineStr"/>
    </row>
    <row r="206" ht="15" customHeight="1">
      <c r="A206" t="inlineStr">
        <is>
          <t>A 59282-2024</t>
        </is>
      </c>
      <c r="B206" t="inlineStr">
        <is>
          <t>avverkningsanmälan</t>
        </is>
      </c>
      <c r="C206" t="inlineStr">
        <is>
          <t>Föryngringsavverkning</t>
        </is>
      </c>
      <c r="D206" s="1" t="n">
        <v>45637</v>
      </c>
      <c r="E206" s="1" t="n">
        <v>46216</v>
      </c>
      <c r="F206" t="inlineStr">
        <is>
          <t>VÄSTERBOTTENS LÄN</t>
        </is>
      </c>
      <c r="G206" t="inlineStr">
        <is>
          <t>ÅSELE</t>
        </is>
      </c>
      <c r="I206" t="n">
        <v>6.9</v>
      </c>
      <c r="J206" t="n">
        <v>0</v>
      </c>
      <c r="K206" t="n">
        <v>0</v>
      </c>
      <c r="L206" t="n">
        <v>0</v>
      </c>
      <c r="M206" t="n">
        <v>0</v>
      </c>
      <c r="N206" t="n">
        <v>0</v>
      </c>
      <c r="O206" t="n">
        <v>0</v>
      </c>
      <c r="P206" t="n">
        <v>0</v>
      </c>
      <c r="Q206" t="n">
        <v>0</v>
      </c>
      <c r="R206" t="n">
        <v>0</v>
      </c>
      <c r="S206" t="n">
        <v>0</v>
      </c>
      <c r="T206" t="n">
        <v>0</v>
      </c>
      <c r="U206" s="2" t="inlineStr"/>
    </row>
    <row r="207" ht="15" customHeight="1">
      <c r="A207" t="inlineStr">
        <is>
          <t>A 1863-2026</t>
        </is>
      </c>
      <c r="B207" t="inlineStr">
        <is>
          <t>avverkningsanmälan</t>
        </is>
      </c>
      <c r="C207" t="inlineStr">
        <is>
          <t>Föryngringsavverkning</t>
        </is>
      </c>
      <c r="D207" s="1" t="n">
        <v>46035</v>
      </c>
      <c r="E207" s="1" t="n">
        <v>46216</v>
      </c>
      <c r="F207" t="inlineStr">
        <is>
          <t>VÄSTERBOTTENS LÄN</t>
        </is>
      </c>
      <c r="G207" t="inlineStr">
        <is>
          <t>ÅSELE</t>
        </is>
      </c>
      <c r="I207" t="n">
        <v>7</v>
      </c>
      <c r="J207" t="n">
        <v>0</v>
      </c>
      <c r="K207" t="n">
        <v>0</v>
      </c>
      <c r="L207" t="n">
        <v>0</v>
      </c>
      <c r="M207" t="n">
        <v>0</v>
      </c>
      <c r="N207" t="n">
        <v>0</v>
      </c>
      <c r="O207" t="n">
        <v>0</v>
      </c>
      <c r="P207" t="n">
        <v>0</v>
      </c>
      <c r="Q207" t="n">
        <v>0</v>
      </c>
      <c r="R207" t="n">
        <v>0</v>
      </c>
      <c r="S207" t="n">
        <v>0</v>
      </c>
      <c r="T207" t="n">
        <v>0</v>
      </c>
      <c r="U207" s="2" t="inlineStr"/>
    </row>
    <row r="208" ht="15" customHeight="1">
      <c r="A208" t="inlineStr">
        <is>
          <t>A 40922-2025</t>
        </is>
      </c>
      <c r="B208" t="inlineStr">
        <is>
          <t>avverkningsanmälan</t>
        </is>
      </c>
      <c r="C208" t="inlineStr">
        <is>
          <t>Föryngringsavverkning</t>
        </is>
      </c>
      <c r="D208" s="1" t="n">
        <v>45897</v>
      </c>
      <c r="E208" s="1" t="n">
        <v>46216</v>
      </c>
      <c r="F208" t="inlineStr">
        <is>
          <t>VÄSTERBOTTENS LÄN</t>
        </is>
      </c>
      <c r="G208" t="inlineStr">
        <is>
          <t>ÅSELE</t>
        </is>
      </c>
      <c r="H208" t="inlineStr">
        <is>
          <t>Holmen skog AB</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41523-2025</t>
        </is>
      </c>
      <c r="B209" t="inlineStr">
        <is>
          <t>avverkningsanmälan</t>
        </is>
      </c>
      <c r="C209" t="inlineStr">
        <is>
          <t>Föryngringsavverkning</t>
        </is>
      </c>
      <c r="D209" s="1" t="n">
        <v>45901</v>
      </c>
      <c r="E209" s="1" t="n">
        <v>46216</v>
      </c>
      <c r="F209" t="inlineStr">
        <is>
          <t>VÄSTERBOTTENS LÄN</t>
        </is>
      </c>
      <c r="G209" t="inlineStr">
        <is>
          <t>ÅSELE</t>
        </is>
      </c>
      <c r="H209" t="inlineStr">
        <is>
          <t>SCA</t>
        </is>
      </c>
      <c r="I209" t="n">
        <v>5.3</v>
      </c>
      <c r="J209" t="n">
        <v>0</v>
      </c>
      <c r="K209" t="n">
        <v>0</v>
      </c>
      <c r="L209" t="n">
        <v>0</v>
      </c>
      <c r="M209" t="n">
        <v>0</v>
      </c>
      <c r="N209" t="n">
        <v>0</v>
      </c>
      <c r="O209" t="n">
        <v>0</v>
      </c>
      <c r="P209" t="n">
        <v>0</v>
      </c>
      <c r="Q209" t="n">
        <v>0</v>
      </c>
      <c r="R209" t="n">
        <v>0</v>
      </c>
      <c r="S209" t="n">
        <v>0</v>
      </c>
      <c r="T209" t="n">
        <v>0</v>
      </c>
      <c r="U209" s="2" t="inlineStr"/>
    </row>
    <row r="210" ht="15" customHeight="1">
      <c r="A210" t="inlineStr">
        <is>
          <t>A 41525-2025</t>
        </is>
      </c>
      <c r="B210" t="inlineStr">
        <is>
          <t>avverkningsanmälan</t>
        </is>
      </c>
      <c r="C210" t="inlineStr">
        <is>
          <t>Föryngringsavverkning</t>
        </is>
      </c>
      <c r="D210" s="1" t="n">
        <v>45901</v>
      </c>
      <c r="E210" s="1" t="n">
        <v>46216</v>
      </c>
      <c r="F210" t="inlineStr">
        <is>
          <t>VÄSTERBOTTENS LÄN</t>
        </is>
      </c>
      <c r="G210" t="inlineStr">
        <is>
          <t>ÅSELE</t>
        </is>
      </c>
      <c r="H210" t="inlineStr">
        <is>
          <t>SCA</t>
        </is>
      </c>
      <c r="I210" t="n">
        <v>5.4</v>
      </c>
      <c r="J210" t="n">
        <v>0</v>
      </c>
      <c r="K210" t="n">
        <v>0</v>
      </c>
      <c r="L210" t="n">
        <v>0</v>
      </c>
      <c r="M210" t="n">
        <v>0</v>
      </c>
      <c r="N210" t="n">
        <v>0</v>
      </c>
      <c r="O210" t="n">
        <v>0</v>
      </c>
      <c r="P210" t="n">
        <v>0</v>
      </c>
      <c r="Q210" t="n">
        <v>0</v>
      </c>
      <c r="R210" t="n">
        <v>0</v>
      </c>
      <c r="S210" t="n">
        <v>0</v>
      </c>
      <c r="T210" t="n">
        <v>0</v>
      </c>
      <c r="U210" s="2" t="inlineStr"/>
    </row>
    <row r="211" ht="15" customHeight="1">
      <c r="A211" t="inlineStr">
        <is>
          <t>A 41078-2025</t>
        </is>
      </c>
      <c r="B211" t="inlineStr">
        <is>
          <t>avverkningsanmälan</t>
        </is>
      </c>
      <c r="C211" t="inlineStr">
        <is>
          <t>Föryngringsavverkning</t>
        </is>
      </c>
      <c r="D211" s="1" t="n">
        <v>45898</v>
      </c>
      <c r="E211" s="1" t="n">
        <v>46216</v>
      </c>
      <c r="F211" t="inlineStr">
        <is>
          <t>VÄSTERBOTTENS LÄN</t>
        </is>
      </c>
      <c r="G211" t="inlineStr">
        <is>
          <t>ÅSELE</t>
        </is>
      </c>
      <c r="H211" t="inlineStr">
        <is>
          <t>SCA</t>
        </is>
      </c>
      <c r="I211" t="n">
        <v>14.6</v>
      </c>
      <c r="J211" t="n">
        <v>0</v>
      </c>
      <c r="K211" t="n">
        <v>0</v>
      </c>
      <c r="L211" t="n">
        <v>0</v>
      </c>
      <c r="M211" t="n">
        <v>0</v>
      </c>
      <c r="N211" t="n">
        <v>0</v>
      </c>
      <c r="O211" t="n">
        <v>0</v>
      </c>
      <c r="P211" t="n">
        <v>0</v>
      </c>
      <c r="Q211" t="n">
        <v>0</v>
      </c>
      <c r="R211" t="n">
        <v>0</v>
      </c>
      <c r="S211" t="n">
        <v>0</v>
      </c>
      <c r="T211" t="n">
        <v>0</v>
      </c>
      <c r="U211" s="2" t="inlineStr"/>
    </row>
    <row r="212" ht="15" customHeight="1">
      <c r="A212" t="inlineStr">
        <is>
          <t>A 41961-2025</t>
        </is>
      </c>
      <c r="B212" t="inlineStr">
        <is>
          <t>avverkningsanmälan</t>
        </is>
      </c>
      <c r="C212" t="inlineStr">
        <is>
          <t>Föryngringsavverkning</t>
        </is>
      </c>
      <c r="D212" s="1" t="n">
        <v>45903</v>
      </c>
      <c r="E212" s="1" t="n">
        <v>46216</v>
      </c>
      <c r="F212" t="inlineStr">
        <is>
          <t>VÄSTERBOTTENS LÄN</t>
        </is>
      </c>
      <c r="G212" t="inlineStr">
        <is>
          <t>ÅSELE</t>
        </is>
      </c>
      <c r="H212" t="inlineStr">
        <is>
          <t>SCA</t>
        </is>
      </c>
      <c r="I212" t="n">
        <v>8.1</v>
      </c>
      <c r="J212" t="n">
        <v>0</v>
      </c>
      <c r="K212" t="n">
        <v>0</v>
      </c>
      <c r="L212" t="n">
        <v>0</v>
      </c>
      <c r="M212" t="n">
        <v>0</v>
      </c>
      <c r="N212" t="n">
        <v>0</v>
      </c>
      <c r="O212" t="n">
        <v>0</v>
      </c>
      <c r="P212" t="n">
        <v>0</v>
      </c>
      <c r="Q212" t="n">
        <v>0</v>
      </c>
      <c r="R212" t="n">
        <v>0</v>
      </c>
      <c r="S212" t="n">
        <v>0</v>
      </c>
      <c r="T212" t="n">
        <v>0</v>
      </c>
      <c r="U212" s="2" t="inlineStr"/>
    </row>
    <row r="213" ht="15" customHeight="1">
      <c r="A213" t="inlineStr">
        <is>
          <t>A 42066-2025</t>
        </is>
      </c>
      <c r="B213" t="inlineStr">
        <is>
          <t>avverkningsanmälan</t>
        </is>
      </c>
      <c r="C213" t="inlineStr">
        <is>
          <t>Föryngringsavverkning</t>
        </is>
      </c>
      <c r="D213" s="1" t="n">
        <v>45903</v>
      </c>
      <c r="E213" s="1" t="n">
        <v>46216</v>
      </c>
      <c r="F213" t="inlineStr">
        <is>
          <t>VÄSTERBOTTENS LÄN</t>
        </is>
      </c>
      <c r="G213" t="inlineStr">
        <is>
          <t>ÅSELE</t>
        </is>
      </c>
      <c r="H213" t="inlineStr">
        <is>
          <t>SCA</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29947-2025</t>
        </is>
      </c>
      <c r="B214" t="inlineStr">
        <is>
          <t>avverkningsanmälan</t>
        </is>
      </c>
      <c r="C214" t="inlineStr">
        <is>
          <t>Föryngringsavverkning</t>
        </is>
      </c>
      <c r="D214" s="1" t="n">
        <v>45826</v>
      </c>
      <c r="E214" s="1" t="n">
        <v>46216</v>
      </c>
      <c r="F214" t="inlineStr">
        <is>
          <t>VÄSTERBOTTENS LÄN</t>
        </is>
      </c>
      <c r="G214" t="inlineStr">
        <is>
          <t>ÅSELE</t>
        </is>
      </c>
      <c r="H214" t="inlineStr">
        <is>
          <t>Sveaskog</t>
        </is>
      </c>
      <c r="I214" t="n">
        <v>15.4</v>
      </c>
      <c r="J214" t="n">
        <v>0</v>
      </c>
      <c r="K214" t="n">
        <v>0</v>
      </c>
      <c r="L214" t="n">
        <v>0</v>
      </c>
      <c r="M214" t="n">
        <v>0</v>
      </c>
      <c r="N214" t="n">
        <v>0</v>
      </c>
      <c r="O214" t="n">
        <v>0</v>
      </c>
      <c r="P214" t="n">
        <v>0</v>
      </c>
      <c r="Q214" t="n">
        <v>0</v>
      </c>
      <c r="R214" t="n">
        <v>0</v>
      </c>
      <c r="S214" t="n">
        <v>0</v>
      </c>
      <c r="T214" t="n">
        <v>0</v>
      </c>
      <c r="U214" s="2" t="inlineStr"/>
    </row>
    <row r="215" ht="15" customHeight="1">
      <c r="A215" t="inlineStr">
        <is>
          <t>A 42090-2025</t>
        </is>
      </c>
      <c r="B215" t="inlineStr">
        <is>
          <t>avverkningsanmälan</t>
        </is>
      </c>
      <c r="C215" t="inlineStr">
        <is>
          <t>Föryngringsavverkning</t>
        </is>
      </c>
      <c r="D215" s="1" t="n">
        <v>45903</v>
      </c>
      <c r="E215" s="1" t="n">
        <v>46216</v>
      </c>
      <c r="F215" t="inlineStr">
        <is>
          <t>VÄSTERBOTTENS LÄN</t>
        </is>
      </c>
      <c r="G215" t="inlineStr">
        <is>
          <t>ÅSELE</t>
        </is>
      </c>
      <c r="H215" t="inlineStr">
        <is>
          <t>SCA</t>
        </is>
      </c>
      <c r="I215" t="n">
        <v>2.8</v>
      </c>
      <c r="J215" t="n">
        <v>0</v>
      </c>
      <c r="K215" t="n">
        <v>0</v>
      </c>
      <c r="L215" t="n">
        <v>0</v>
      </c>
      <c r="M215" t="n">
        <v>0</v>
      </c>
      <c r="N215" t="n">
        <v>0</v>
      </c>
      <c r="O215" t="n">
        <v>0</v>
      </c>
      <c r="P215" t="n">
        <v>0</v>
      </c>
      <c r="Q215" t="n">
        <v>0</v>
      </c>
      <c r="R215" t="n">
        <v>0</v>
      </c>
      <c r="S215" t="n">
        <v>0</v>
      </c>
      <c r="T215" t="n">
        <v>0</v>
      </c>
      <c r="U215" s="2" t="inlineStr"/>
    </row>
    <row r="216" ht="15" customHeight="1">
      <c r="A216" t="inlineStr">
        <is>
          <t>A 29983-2025</t>
        </is>
      </c>
      <c r="B216" t="inlineStr">
        <is>
          <t>avverkningsanmälan</t>
        </is>
      </c>
      <c r="C216" t="inlineStr">
        <is>
          <t>Föryngringsavverkning</t>
        </is>
      </c>
      <c r="D216" s="1" t="n">
        <v>45826</v>
      </c>
      <c r="E216" s="1" t="n">
        <v>46216</v>
      </c>
      <c r="F216" t="inlineStr">
        <is>
          <t>VÄSTERBOTTENS LÄN</t>
        </is>
      </c>
      <c r="G216" t="inlineStr">
        <is>
          <t>ÅSELE</t>
        </is>
      </c>
      <c r="H216" t="inlineStr">
        <is>
          <t>Sveaskog</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2485-2023</t>
        </is>
      </c>
      <c r="B217" t="inlineStr">
        <is>
          <t>avverkningsanmälan</t>
        </is>
      </c>
      <c r="C217" t="inlineStr">
        <is>
          <t>Föryngringsavverkning</t>
        </is>
      </c>
      <c r="D217" s="1" t="n">
        <v>44943</v>
      </c>
      <c r="E217" s="1" t="n">
        <v>46216</v>
      </c>
      <c r="F217" t="inlineStr">
        <is>
          <t>VÄSTERBOTTENS LÄN</t>
        </is>
      </c>
      <c r="G217" t="inlineStr">
        <is>
          <t>ÅSELE</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26540-2022</t>
        </is>
      </c>
      <c r="B218" t="inlineStr">
        <is>
          <t>avverkningsanmälan</t>
        </is>
      </c>
      <c r="C218" t="inlineStr">
        <is>
          <t>Föryngringsavverkning</t>
        </is>
      </c>
      <c r="D218" s="1" t="n">
        <v>44739</v>
      </c>
      <c r="E218" s="1" t="n">
        <v>46216</v>
      </c>
      <c r="F218" t="inlineStr">
        <is>
          <t>VÄSTERBOTTENS LÄN</t>
        </is>
      </c>
      <c r="G218" t="inlineStr">
        <is>
          <t>ÅSELE</t>
        </is>
      </c>
      <c r="I218" t="n">
        <v>10.8</v>
      </c>
      <c r="J218" t="n">
        <v>0</v>
      </c>
      <c r="K218" t="n">
        <v>0</v>
      </c>
      <c r="L218" t="n">
        <v>0</v>
      </c>
      <c r="M218" t="n">
        <v>0</v>
      </c>
      <c r="N218" t="n">
        <v>0</v>
      </c>
      <c r="O218" t="n">
        <v>0</v>
      </c>
      <c r="P218" t="n">
        <v>0</v>
      </c>
      <c r="Q218" t="n">
        <v>0</v>
      </c>
      <c r="R218" t="n">
        <v>0</v>
      </c>
      <c r="S218" t="n">
        <v>0</v>
      </c>
      <c r="T218" t="n">
        <v>0</v>
      </c>
      <c r="U218" s="2" t="inlineStr"/>
    </row>
    <row r="219" ht="15" customHeight="1">
      <c r="A219" t="inlineStr">
        <is>
          <t>A 30043-2025</t>
        </is>
      </c>
      <c r="B219" t="inlineStr">
        <is>
          <t>avverkningsanmälan</t>
        </is>
      </c>
      <c r="C219" t="inlineStr">
        <is>
          <t>Föryngringsavverkning</t>
        </is>
      </c>
      <c r="D219" s="1" t="n">
        <v>45826</v>
      </c>
      <c r="E219" s="1" t="n">
        <v>46216</v>
      </c>
      <c r="F219" t="inlineStr">
        <is>
          <t>VÄSTERBOTTENS LÄN</t>
        </is>
      </c>
      <c r="G219" t="inlineStr">
        <is>
          <t>ÅSELE</t>
        </is>
      </c>
      <c r="H219" t="inlineStr">
        <is>
          <t>Sveaskog</t>
        </is>
      </c>
      <c r="I219" t="n">
        <v>4</v>
      </c>
      <c r="J219" t="n">
        <v>0</v>
      </c>
      <c r="K219" t="n">
        <v>0</v>
      </c>
      <c r="L219" t="n">
        <v>0</v>
      </c>
      <c r="M219" t="n">
        <v>0</v>
      </c>
      <c r="N219" t="n">
        <v>0</v>
      </c>
      <c r="O219" t="n">
        <v>0</v>
      </c>
      <c r="P219" t="n">
        <v>0</v>
      </c>
      <c r="Q219" t="n">
        <v>0</v>
      </c>
      <c r="R219" t="n">
        <v>0</v>
      </c>
      <c r="S219" t="n">
        <v>0</v>
      </c>
      <c r="T219" t="n">
        <v>0</v>
      </c>
      <c r="U219" s="2" t="inlineStr"/>
    </row>
    <row r="220" ht="15" customHeight="1">
      <c r="A220" t="inlineStr">
        <is>
          <t>A 29978-2025</t>
        </is>
      </c>
      <c r="B220" t="inlineStr">
        <is>
          <t>avverkningsanmälan</t>
        </is>
      </c>
      <c r="C220" t="inlineStr">
        <is>
          <t>Föryngringsavverkning</t>
        </is>
      </c>
      <c r="D220" s="1" t="n">
        <v>45826</v>
      </c>
      <c r="E220" s="1" t="n">
        <v>46216</v>
      </c>
      <c r="F220" t="inlineStr">
        <is>
          <t>VÄSTERBOTTENS LÄN</t>
        </is>
      </c>
      <c r="G220" t="inlineStr">
        <is>
          <t>ÅSELE</t>
        </is>
      </c>
      <c r="H220" t="inlineStr">
        <is>
          <t>Sveaskog</t>
        </is>
      </c>
      <c r="I220" t="n">
        <v>4.9</v>
      </c>
      <c r="J220" t="n">
        <v>0</v>
      </c>
      <c r="K220" t="n">
        <v>0</v>
      </c>
      <c r="L220" t="n">
        <v>0</v>
      </c>
      <c r="M220" t="n">
        <v>0</v>
      </c>
      <c r="N220" t="n">
        <v>0</v>
      </c>
      <c r="O220" t="n">
        <v>0</v>
      </c>
      <c r="P220" t="n">
        <v>0</v>
      </c>
      <c r="Q220" t="n">
        <v>0</v>
      </c>
      <c r="R220" t="n">
        <v>0</v>
      </c>
      <c r="S220" t="n">
        <v>0</v>
      </c>
      <c r="T220" t="n">
        <v>0</v>
      </c>
      <c r="U220" s="2" t="inlineStr"/>
    </row>
    <row r="221" ht="15" customHeight="1">
      <c r="A221" t="inlineStr">
        <is>
          <t>A 29998-2025</t>
        </is>
      </c>
      <c r="B221" t="inlineStr">
        <is>
          <t>avverkningsanmälan</t>
        </is>
      </c>
      <c r="C221" t="inlineStr">
        <is>
          <t>Föryngringsavverkning</t>
        </is>
      </c>
      <c r="D221" s="1" t="n">
        <v>45826</v>
      </c>
      <c r="E221" s="1" t="n">
        <v>46216</v>
      </c>
      <c r="F221" t="inlineStr">
        <is>
          <t>VÄSTERBOTTENS LÄN</t>
        </is>
      </c>
      <c r="G221" t="inlineStr">
        <is>
          <t>ÅSELE</t>
        </is>
      </c>
      <c r="H221" t="inlineStr">
        <is>
          <t>Sveaskog</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30037-2025</t>
        </is>
      </c>
      <c r="B222" t="inlineStr">
        <is>
          <t>avverkningsanmälan</t>
        </is>
      </c>
      <c r="C222" t="inlineStr">
        <is>
          <t>Föryngringsavverkning</t>
        </is>
      </c>
      <c r="D222" s="1" t="n">
        <v>45826</v>
      </c>
      <c r="E222" s="1" t="n">
        <v>46216</v>
      </c>
      <c r="F222" t="inlineStr">
        <is>
          <t>VÄSTERBOTTENS LÄN</t>
        </is>
      </c>
      <c r="G222" t="inlineStr">
        <is>
          <t>ÅSELE</t>
        </is>
      </c>
      <c r="H222" t="inlineStr">
        <is>
          <t>Sveaskog</t>
        </is>
      </c>
      <c r="I222" t="n">
        <v>8.9</v>
      </c>
      <c r="J222" t="n">
        <v>0</v>
      </c>
      <c r="K222" t="n">
        <v>0</v>
      </c>
      <c r="L222" t="n">
        <v>0</v>
      </c>
      <c r="M222" t="n">
        <v>0</v>
      </c>
      <c r="N222" t="n">
        <v>0</v>
      </c>
      <c r="O222" t="n">
        <v>0</v>
      </c>
      <c r="P222" t="n">
        <v>0</v>
      </c>
      <c r="Q222" t="n">
        <v>0</v>
      </c>
      <c r="R222" t="n">
        <v>0</v>
      </c>
      <c r="S222" t="n">
        <v>0</v>
      </c>
      <c r="T222" t="n">
        <v>0</v>
      </c>
      <c r="U222" s="2" t="inlineStr"/>
    </row>
    <row r="223" ht="15" customHeight="1">
      <c r="A223" t="inlineStr">
        <is>
          <t>A 2892-2025</t>
        </is>
      </c>
      <c r="B223" t="inlineStr">
        <is>
          <t>avverkningsanmälan</t>
        </is>
      </c>
      <c r="C223" t="inlineStr">
        <is>
          <t>Föryngringsavverkning</t>
        </is>
      </c>
      <c r="D223" s="1" t="n">
        <v>45677</v>
      </c>
      <c r="E223" s="1" t="n">
        <v>46216</v>
      </c>
      <c r="F223" t="inlineStr">
        <is>
          <t>VÄSTERBOTTENS LÄN</t>
        </is>
      </c>
      <c r="G223" t="inlineStr">
        <is>
          <t>ÅSELE</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29849-2025</t>
        </is>
      </c>
      <c r="B224" t="inlineStr">
        <is>
          <t>avverkningsanmälan</t>
        </is>
      </c>
      <c r="C224" t="inlineStr">
        <is>
          <t>Föryngringsavverkning</t>
        </is>
      </c>
      <c r="D224" s="1" t="n">
        <v>45826</v>
      </c>
      <c r="E224" s="1" t="n">
        <v>46216</v>
      </c>
      <c r="F224" t="inlineStr">
        <is>
          <t>VÄSTERBOTTENS LÄN</t>
        </is>
      </c>
      <c r="G224" t="inlineStr">
        <is>
          <t>ÅSELE</t>
        </is>
      </c>
      <c r="H224" t="inlineStr">
        <is>
          <t>Sveaskog</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29843-2025</t>
        </is>
      </c>
      <c r="B225" t="inlineStr">
        <is>
          <t>avverkningsanmälan</t>
        </is>
      </c>
      <c r="C225" t="inlineStr">
        <is>
          <t>Föryngringsavverkning</t>
        </is>
      </c>
      <c r="D225" s="1" t="n">
        <v>45826</v>
      </c>
      <c r="E225" s="1" t="n">
        <v>46216</v>
      </c>
      <c r="F225" t="inlineStr">
        <is>
          <t>VÄSTERBOTTENS LÄN</t>
        </is>
      </c>
      <c r="G225" t="inlineStr">
        <is>
          <t>ÅSELE</t>
        </is>
      </c>
      <c r="H225" t="inlineStr">
        <is>
          <t>Sveaskog</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29963-2025</t>
        </is>
      </c>
      <c r="B226" t="inlineStr">
        <is>
          <t>avverkningsanmälan</t>
        </is>
      </c>
      <c r="C226" t="inlineStr">
        <is>
          <t>Föryngringsavverkning</t>
        </is>
      </c>
      <c r="D226" s="1" t="n">
        <v>45826</v>
      </c>
      <c r="E226" s="1" t="n">
        <v>46216</v>
      </c>
      <c r="F226" t="inlineStr">
        <is>
          <t>VÄSTERBOTTENS LÄN</t>
        </is>
      </c>
      <c r="G226" t="inlineStr">
        <is>
          <t>ÅSELE</t>
        </is>
      </c>
      <c r="H226" t="inlineStr">
        <is>
          <t>Sveaskog</t>
        </is>
      </c>
      <c r="I226" t="n">
        <v>2.8</v>
      </c>
      <c r="J226" t="n">
        <v>0</v>
      </c>
      <c r="K226" t="n">
        <v>0</v>
      </c>
      <c r="L226" t="n">
        <v>0</v>
      </c>
      <c r="M226" t="n">
        <v>0</v>
      </c>
      <c r="N226" t="n">
        <v>0</v>
      </c>
      <c r="O226" t="n">
        <v>0</v>
      </c>
      <c r="P226" t="n">
        <v>0</v>
      </c>
      <c r="Q226" t="n">
        <v>0</v>
      </c>
      <c r="R226" t="n">
        <v>0</v>
      </c>
      <c r="S226" t="n">
        <v>0</v>
      </c>
      <c r="T226" t="n">
        <v>0</v>
      </c>
      <c r="U226" s="2" t="inlineStr"/>
    </row>
    <row r="227" ht="15" customHeight="1">
      <c r="A227" t="inlineStr">
        <is>
          <t>A 31475-2024</t>
        </is>
      </c>
      <c r="B227" t="inlineStr">
        <is>
          <t>avverkningsanmälan</t>
        </is>
      </c>
      <c r="C227" t="inlineStr">
        <is>
          <t>Avverkning för att bevara och utveckla /försöksver</t>
        </is>
      </c>
      <c r="D227" s="1" t="n">
        <v>45505</v>
      </c>
      <c r="E227" s="1" t="n">
        <v>46216</v>
      </c>
      <c r="F227" t="inlineStr">
        <is>
          <t>VÄSTERBOTTENS LÄN</t>
        </is>
      </c>
      <c r="G227" t="inlineStr">
        <is>
          <t>ÅSELE</t>
        </is>
      </c>
      <c r="H227" t="inlineStr">
        <is>
          <t>SCA</t>
        </is>
      </c>
      <c r="I227" t="n">
        <v>1.9</v>
      </c>
      <c r="J227" t="n">
        <v>0</v>
      </c>
      <c r="K227" t="n">
        <v>0</v>
      </c>
      <c r="L227" t="n">
        <v>0</v>
      </c>
      <c r="M227" t="n">
        <v>0</v>
      </c>
      <c r="N227" t="n">
        <v>0</v>
      </c>
      <c r="O227" t="n">
        <v>0</v>
      </c>
      <c r="P227" t="n">
        <v>0</v>
      </c>
      <c r="Q227" t="n">
        <v>0</v>
      </c>
      <c r="R227" t="n">
        <v>0</v>
      </c>
      <c r="S227" t="n">
        <v>0</v>
      </c>
      <c r="T227" t="n">
        <v>0</v>
      </c>
      <c r="U227" s="2" t="inlineStr"/>
    </row>
    <row r="228" ht="15" customHeight="1">
      <c r="A228" t="inlineStr">
        <is>
          <t>A 30779-2025</t>
        </is>
      </c>
      <c r="B228" t="inlineStr">
        <is>
          <t>avverkningsanmälan</t>
        </is>
      </c>
      <c r="C228" t="inlineStr">
        <is>
          <t>Föryngringsavverkning</t>
        </is>
      </c>
      <c r="D228" s="1" t="n">
        <v>45831</v>
      </c>
      <c r="E228" s="1" t="n">
        <v>46216</v>
      </c>
      <c r="F228" t="inlineStr">
        <is>
          <t>VÄSTERBOTTENS LÄN</t>
        </is>
      </c>
      <c r="G228" t="inlineStr">
        <is>
          <t>ÅSELE</t>
        </is>
      </c>
      <c r="H228" t="inlineStr">
        <is>
          <t>Sveaskog</t>
        </is>
      </c>
      <c r="I228" t="n">
        <v>21.6</v>
      </c>
      <c r="J228" t="n">
        <v>0</v>
      </c>
      <c r="K228" t="n">
        <v>0</v>
      </c>
      <c r="L228" t="n">
        <v>0</v>
      </c>
      <c r="M228" t="n">
        <v>0</v>
      </c>
      <c r="N228" t="n">
        <v>0</v>
      </c>
      <c r="O228" t="n">
        <v>0</v>
      </c>
      <c r="P228" t="n">
        <v>0</v>
      </c>
      <c r="Q228" t="n">
        <v>0</v>
      </c>
      <c r="R228" t="n">
        <v>0</v>
      </c>
      <c r="S228" t="n">
        <v>0</v>
      </c>
      <c r="T228" t="n">
        <v>0</v>
      </c>
      <c r="U228" s="2" t="inlineStr"/>
    </row>
    <row r="229" ht="15" customHeight="1">
      <c r="A229" t="inlineStr">
        <is>
          <t>A 31080-2025</t>
        </is>
      </c>
      <c r="B229" t="inlineStr">
        <is>
          <t>avverkningsanmälan</t>
        </is>
      </c>
      <c r="C229" t="inlineStr">
        <is>
          <t>Föryngringsavverkning</t>
        </is>
      </c>
      <c r="D229" s="1" t="n">
        <v>45831</v>
      </c>
      <c r="E229" s="1" t="n">
        <v>46216</v>
      </c>
      <c r="F229" t="inlineStr">
        <is>
          <t>VÄSTERBOTTENS LÄN</t>
        </is>
      </c>
      <c r="G229" t="inlineStr">
        <is>
          <t>ÅSELE</t>
        </is>
      </c>
      <c r="I229" t="n">
        <v>4.9</v>
      </c>
      <c r="J229" t="n">
        <v>0</v>
      </c>
      <c r="K229" t="n">
        <v>0</v>
      </c>
      <c r="L229" t="n">
        <v>0</v>
      </c>
      <c r="M229" t="n">
        <v>0</v>
      </c>
      <c r="N229" t="n">
        <v>0</v>
      </c>
      <c r="O229" t="n">
        <v>0</v>
      </c>
      <c r="P229" t="n">
        <v>0</v>
      </c>
      <c r="Q229" t="n">
        <v>0</v>
      </c>
      <c r="R229" t="n">
        <v>0</v>
      </c>
      <c r="S229" t="n">
        <v>0</v>
      </c>
      <c r="T229" t="n">
        <v>0</v>
      </c>
      <c r="U229" s="2" t="inlineStr"/>
    </row>
    <row r="230" ht="15" customHeight="1">
      <c r="A230" t="inlineStr">
        <is>
          <t>A 10770-2024</t>
        </is>
      </c>
      <c r="B230" t="inlineStr">
        <is>
          <t>avverkningsanmälan</t>
        </is>
      </c>
      <c r="C230" t="inlineStr">
        <is>
          <t>Föryngringsavverkning</t>
        </is>
      </c>
      <c r="D230" s="1" t="n">
        <v>45369</v>
      </c>
      <c r="E230" s="1" t="n">
        <v>46216</v>
      </c>
      <c r="F230" t="inlineStr">
        <is>
          <t>VÄSTERBOTTENS LÄN</t>
        </is>
      </c>
      <c r="G230" t="inlineStr">
        <is>
          <t>ÅSELE</t>
        </is>
      </c>
      <c r="H230" t="inlineStr">
        <is>
          <t>Holmen skog AB</t>
        </is>
      </c>
      <c r="I230" t="n">
        <v>4.2</v>
      </c>
      <c r="J230" t="n">
        <v>0</v>
      </c>
      <c r="K230" t="n">
        <v>0</v>
      </c>
      <c r="L230" t="n">
        <v>0</v>
      </c>
      <c r="M230" t="n">
        <v>0</v>
      </c>
      <c r="N230" t="n">
        <v>0</v>
      </c>
      <c r="O230" t="n">
        <v>0</v>
      </c>
      <c r="P230" t="n">
        <v>0</v>
      </c>
      <c r="Q230" t="n">
        <v>0</v>
      </c>
      <c r="R230" t="n">
        <v>0</v>
      </c>
      <c r="S230" t="n">
        <v>0</v>
      </c>
      <c r="T230" t="n">
        <v>0</v>
      </c>
      <c r="U230" s="2" t="inlineStr"/>
    </row>
    <row r="231" ht="15" customHeight="1">
      <c r="A231" t="inlineStr">
        <is>
          <t>A 42935-2025</t>
        </is>
      </c>
      <c r="B231" t="inlineStr">
        <is>
          <t>avverkningsanmälan</t>
        </is>
      </c>
      <c r="C231" t="inlineStr">
        <is>
          <t>Föryngringsavverkning</t>
        </is>
      </c>
      <c r="D231" s="1" t="n">
        <v>45909</v>
      </c>
      <c r="E231" s="1" t="n">
        <v>46216</v>
      </c>
      <c r="F231" t="inlineStr">
        <is>
          <t>VÄSTERBOTTENS LÄN</t>
        </is>
      </c>
      <c r="G231" t="inlineStr">
        <is>
          <t>ÅSELE</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31445-2025</t>
        </is>
      </c>
      <c r="B232" t="inlineStr">
        <is>
          <t>avverkningsanmälan</t>
        </is>
      </c>
      <c r="C232" t="inlineStr">
        <is>
          <t>Föryngringsavverkning</t>
        </is>
      </c>
      <c r="D232" s="1" t="n">
        <v>45833</v>
      </c>
      <c r="E232" s="1" t="n">
        <v>46216</v>
      </c>
      <c r="F232" t="inlineStr">
        <is>
          <t>VÄSTERBOTTENS LÄN</t>
        </is>
      </c>
      <c r="G232" t="inlineStr">
        <is>
          <t>ÅSELE</t>
        </is>
      </c>
      <c r="H232" t="inlineStr">
        <is>
          <t>Holmen skog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30940-2025</t>
        </is>
      </c>
      <c r="B233" t="inlineStr">
        <is>
          <t>avverkningsanmälan</t>
        </is>
      </c>
      <c r="C233" t="inlineStr">
        <is>
          <t>Föryngringsavverkning</t>
        </is>
      </c>
      <c r="D233" s="1" t="n">
        <v>45832</v>
      </c>
      <c r="E233" s="1" t="n">
        <v>46216</v>
      </c>
      <c r="F233" t="inlineStr">
        <is>
          <t>VÄSTERBOTTENS LÄN</t>
        </is>
      </c>
      <c r="G233" t="inlineStr">
        <is>
          <t>ÅSELE</t>
        </is>
      </c>
      <c r="I233" t="n">
        <v>10.1</v>
      </c>
      <c r="J233" t="n">
        <v>0</v>
      </c>
      <c r="K233" t="n">
        <v>0</v>
      </c>
      <c r="L233" t="n">
        <v>0</v>
      </c>
      <c r="M233" t="n">
        <v>0</v>
      </c>
      <c r="N233" t="n">
        <v>0</v>
      </c>
      <c r="O233" t="n">
        <v>0</v>
      </c>
      <c r="P233" t="n">
        <v>0</v>
      </c>
      <c r="Q233" t="n">
        <v>0</v>
      </c>
      <c r="R233" t="n">
        <v>0</v>
      </c>
      <c r="S233" t="n">
        <v>0</v>
      </c>
      <c r="T233" t="n">
        <v>0</v>
      </c>
      <c r="U233" s="2" t="inlineStr"/>
    </row>
    <row r="234" ht="15" customHeight="1">
      <c r="A234" t="inlineStr">
        <is>
          <t>A 31219-2025</t>
        </is>
      </c>
      <c r="B234" t="inlineStr">
        <is>
          <t>avverkningsanmälan</t>
        </is>
      </c>
      <c r="C234" t="inlineStr">
        <is>
          <t>Föryngringsavverkning</t>
        </is>
      </c>
      <c r="D234" s="1" t="n">
        <v>45832</v>
      </c>
      <c r="E234" s="1" t="n">
        <v>46216</v>
      </c>
      <c r="F234" t="inlineStr">
        <is>
          <t>VÄSTERBOTTENS LÄN</t>
        </is>
      </c>
      <c r="G234" t="inlineStr">
        <is>
          <t>ÅSELE</t>
        </is>
      </c>
      <c r="I234" t="n">
        <v>3.1</v>
      </c>
      <c r="J234" t="n">
        <v>0</v>
      </c>
      <c r="K234" t="n">
        <v>0</v>
      </c>
      <c r="L234" t="n">
        <v>0</v>
      </c>
      <c r="M234" t="n">
        <v>0</v>
      </c>
      <c r="N234" t="n">
        <v>0</v>
      </c>
      <c r="O234" t="n">
        <v>0</v>
      </c>
      <c r="P234" t="n">
        <v>0</v>
      </c>
      <c r="Q234" t="n">
        <v>0</v>
      </c>
      <c r="R234" t="n">
        <v>0</v>
      </c>
      <c r="S234" t="n">
        <v>0</v>
      </c>
      <c r="T234" t="n">
        <v>0</v>
      </c>
      <c r="U234" s="2" t="inlineStr"/>
    </row>
    <row r="235" ht="15" customHeight="1">
      <c r="A235" t="inlineStr">
        <is>
          <t>A 31313-2025</t>
        </is>
      </c>
      <c r="B235" t="inlineStr">
        <is>
          <t>avverkningsanmälan</t>
        </is>
      </c>
      <c r="C235" t="inlineStr">
        <is>
          <t>Föryngringsavverkning</t>
        </is>
      </c>
      <c r="D235" s="1" t="n">
        <v>45833</v>
      </c>
      <c r="E235" s="1" t="n">
        <v>46216</v>
      </c>
      <c r="F235" t="inlineStr">
        <is>
          <t>VÄSTERBOTTENS LÄN</t>
        </is>
      </c>
      <c r="G235" t="inlineStr">
        <is>
          <t>ÅSELE</t>
        </is>
      </c>
      <c r="H235" t="inlineStr">
        <is>
          <t>Holmen skog AB</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31217-2025</t>
        </is>
      </c>
      <c r="B236" t="inlineStr">
        <is>
          <t>avverkningsanmälan</t>
        </is>
      </c>
      <c r="C236" t="inlineStr">
        <is>
          <t>Föryngringsavverkning</t>
        </is>
      </c>
      <c r="D236" s="1" t="n">
        <v>45832</v>
      </c>
      <c r="E236" s="1" t="n">
        <v>46216</v>
      </c>
      <c r="F236" t="inlineStr">
        <is>
          <t>VÄSTERBOTTENS LÄN</t>
        </is>
      </c>
      <c r="G236" t="inlineStr">
        <is>
          <t>ÅSELE</t>
        </is>
      </c>
      <c r="I236" t="n">
        <v>10.6</v>
      </c>
      <c r="J236" t="n">
        <v>0</v>
      </c>
      <c r="K236" t="n">
        <v>0</v>
      </c>
      <c r="L236" t="n">
        <v>0</v>
      </c>
      <c r="M236" t="n">
        <v>0</v>
      </c>
      <c r="N236" t="n">
        <v>0</v>
      </c>
      <c r="O236" t="n">
        <v>0</v>
      </c>
      <c r="P236" t="n">
        <v>0</v>
      </c>
      <c r="Q236" t="n">
        <v>0</v>
      </c>
      <c r="R236" t="n">
        <v>0</v>
      </c>
      <c r="S236" t="n">
        <v>0</v>
      </c>
      <c r="T236" t="n">
        <v>0</v>
      </c>
      <c r="U236" s="2" t="inlineStr"/>
    </row>
    <row r="237" ht="15" customHeight="1">
      <c r="A237" t="inlineStr">
        <is>
          <t>A 31224-2025</t>
        </is>
      </c>
      <c r="B237" t="inlineStr">
        <is>
          <t>avverkningsanmälan</t>
        </is>
      </c>
      <c r="C237" t="inlineStr">
        <is>
          <t>Föryngringsavverkning</t>
        </is>
      </c>
      <c r="D237" s="1" t="n">
        <v>45832</v>
      </c>
      <c r="E237" s="1" t="n">
        <v>46216</v>
      </c>
      <c r="F237" t="inlineStr">
        <is>
          <t>VÄSTERBOTTENS LÄN</t>
        </is>
      </c>
      <c r="G237" t="inlineStr">
        <is>
          <t>ÅSELE</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43518-2025</t>
        </is>
      </c>
      <c r="B238" t="inlineStr">
        <is>
          <t>avverkningsanmälan</t>
        </is>
      </c>
      <c r="C238" t="inlineStr">
        <is>
          <t>Föryngringsavverkning</t>
        </is>
      </c>
      <c r="D238" s="1" t="n">
        <v>45911</v>
      </c>
      <c r="E238" s="1" t="n">
        <v>46216</v>
      </c>
      <c r="F238" t="inlineStr">
        <is>
          <t>VÄSTERBOTTENS LÄN</t>
        </is>
      </c>
      <c r="G238" t="inlineStr">
        <is>
          <t>ÅSELE</t>
        </is>
      </c>
      <c r="H238" t="inlineStr">
        <is>
          <t>SCA</t>
        </is>
      </c>
      <c r="I238" t="n">
        <v>4.5</v>
      </c>
      <c r="J238" t="n">
        <v>0</v>
      </c>
      <c r="K238" t="n">
        <v>0</v>
      </c>
      <c r="L238" t="n">
        <v>0</v>
      </c>
      <c r="M238" t="n">
        <v>0</v>
      </c>
      <c r="N238" t="n">
        <v>0</v>
      </c>
      <c r="O238" t="n">
        <v>0</v>
      </c>
      <c r="P238" t="n">
        <v>0</v>
      </c>
      <c r="Q238" t="n">
        <v>0</v>
      </c>
      <c r="R238" t="n">
        <v>0</v>
      </c>
      <c r="S238" t="n">
        <v>0</v>
      </c>
      <c r="T238" t="n">
        <v>0</v>
      </c>
      <c r="U238" s="2" t="inlineStr"/>
    </row>
    <row r="239" ht="15" customHeight="1">
      <c r="A239" t="inlineStr">
        <is>
          <t>A 28724-2023</t>
        </is>
      </c>
      <c r="B239" t="inlineStr">
        <is>
          <t>avverkningsanmälan</t>
        </is>
      </c>
      <c r="C239" t="inlineStr">
        <is>
          <t>Föryngringsavverkning</t>
        </is>
      </c>
      <c r="D239" s="1" t="n">
        <v>45103</v>
      </c>
      <c r="E239" s="1" t="n">
        <v>46216</v>
      </c>
      <c r="F239" t="inlineStr">
        <is>
          <t>VÄSTERBOTTENS LÄN</t>
        </is>
      </c>
      <c r="G239" t="inlineStr">
        <is>
          <t>ÅSELE</t>
        </is>
      </c>
      <c r="H239" t="inlineStr">
        <is>
          <t>Sveaskog</t>
        </is>
      </c>
      <c r="I239" t="n">
        <v>9.199999999999999</v>
      </c>
      <c r="J239" t="n">
        <v>0</v>
      </c>
      <c r="K239" t="n">
        <v>0</v>
      </c>
      <c r="L239" t="n">
        <v>0</v>
      </c>
      <c r="M239" t="n">
        <v>0</v>
      </c>
      <c r="N239" t="n">
        <v>0</v>
      </c>
      <c r="O239" t="n">
        <v>0</v>
      </c>
      <c r="P239" t="n">
        <v>0</v>
      </c>
      <c r="Q239" t="n">
        <v>0</v>
      </c>
      <c r="R239" t="n">
        <v>0</v>
      </c>
      <c r="S239" t="n">
        <v>0</v>
      </c>
      <c r="T239" t="n">
        <v>0</v>
      </c>
      <c r="U239" s="2" t="inlineStr"/>
    </row>
    <row r="240" ht="15" customHeight="1">
      <c r="A240" t="inlineStr">
        <is>
          <t>A 43547-2025</t>
        </is>
      </c>
      <c r="B240" t="inlineStr">
        <is>
          <t>avverkningsanmälan</t>
        </is>
      </c>
      <c r="C240" t="inlineStr">
        <is>
          <t>Föryngringsavverkning</t>
        </is>
      </c>
      <c r="D240" s="1" t="n">
        <v>45911</v>
      </c>
      <c r="E240" s="1" t="n">
        <v>46216</v>
      </c>
      <c r="F240" t="inlineStr">
        <is>
          <t>VÄSTERBOTTENS LÄN</t>
        </is>
      </c>
      <c r="G240" t="inlineStr">
        <is>
          <t>ÅSELE</t>
        </is>
      </c>
      <c r="H240" t="inlineStr">
        <is>
          <t>SCA</t>
        </is>
      </c>
      <c r="I240" t="n">
        <v>4.8</v>
      </c>
      <c r="J240" t="n">
        <v>0</v>
      </c>
      <c r="K240" t="n">
        <v>0</v>
      </c>
      <c r="L240" t="n">
        <v>0</v>
      </c>
      <c r="M240" t="n">
        <v>0</v>
      </c>
      <c r="N240" t="n">
        <v>0</v>
      </c>
      <c r="O240" t="n">
        <v>0</v>
      </c>
      <c r="P240" t="n">
        <v>0</v>
      </c>
      <c r="Q240" t="n">
        <v>0</v>
      </c>
      <c r="R240" t="n">
        <v>0</v>
      </c>
      <c r="S240" t="n">
        <v>0</v>
      </c>
      <c r="T240" t="n">
        <v>0</v>
      </c>
      <c r="U240" s="2" t="inlineStr"/>
    </row>
    <row r="241" ht="15" customHeight="1">
      <c r="A241" t="inlineStr">
        <is>
          <t>A 43489-2025</t>
        </is>
      </c>
      <c r="B241" t="inlineStr">
        <is>
          <t>avverkningsanmälan</t>
        </is>
      </c>
      <c r="C241" t="inlineStr">
        <is>
          <t>Föryngringsavverkning</t>
        </is>
      </c>
      <c r="D241" s="1" t="n">
        <v>45911</v>
      </c>
      <c r="E241" s="1" t="n">
        <v>46216</v>
      </c>
      <c r="F241" t="inlineStr">
        <is>
          <t>VÄSTERBOTTENS LÄN</t>
        </is>
      </c>
      <c r="G241" t="inlineStr">
        <is>
          <t>ÅSELE</t>
        </is>
      </c>
      <c r="H241" t="inlineStr">
        <is>
          <t>SCA</t>
        </is>
      </c>
      <c r="I241" t="n">
        <v>9.9</v>
      </c>
      <c r="J241" t="n">
        <v>0</v>
      </c>
      <c r="K241" t="n">
        <v>0</v>
      </c>
      <c r="L241" t="n">
        <v>0</v>
      </c>
      <c r="M241" t="n">
        <v>0</v>
      </c>
      <c r="N241" t="n">
        <v>0</v>
      </c>
      <c r="O241" t="n">
        <v>0</v>
      </c>
      <c r="P241" t="n">
        <v>0</v>
      </c>
      <c r="Q241" t="n">
        <v>0</v>
      </c>
      <c r="R241" t="n">
        <v>0</v>
      </c>
      <c r="S241" t="n">
        <v>0</v>
      </c>
      <c r="T241" t="n">
        <v>0</v>
      </c>
      <c r="U241" s="2" t="inlineStr"/>
    </row>
    <row r="242" ht="15" customHeight="1">
      <c r="A242" t="inlineStr">
        <is>
          <t>A 32289-2025</t>
        </is>
      </c>
      <c r="B242" t="inlineStr">
        <is>
          <t>avverkningsanmälan</t>
        </is>
      </c>
      <c r="C242" t="inlineStr">
        <is>
          <t>Föryngringsavverkning</t>
        </is>
      </c>
      <c r="D242" s="1" t="n">
        <v>45835</v>
      </c>
      <c r="E242" s="1" t="n">
        <v>46216</v>
      </c>
      <c r="F242" t="inlineStr">
        <is>
          <t>VÄSTERBOTTENS LÄN</t>
        </is>
      </c>
      <c r="G242" t="inlineStr">
        <is>
          <t>ÅSELE</t>
        </is>
      </c>
      <c r="H242" t="inlineStr">
        <is>
          <t>SCA</t>
        </is>
      </c>
      <c r="I242" t="n">
        <v>21.2</v>
      </c>
      <c r="J242" t="n">
        <v>0</v>
      </c>
      <c r="K242" t="n">
        <v>0</v>
      </c>
      <c r="L242" t="n">
        <v>0</v>
      </c>
      <c r="M242" t="n">
        <v>0</v>
      </c>
      <c r="N242" t="n">
        <v>0</v>
      </c>
      <c r="O242" t="n">
        <v>0</v>
      </c>
      <c r="P242" t="n">
        <v>0</v>
      </c>
      <c r="Q242" t="n">
        <v>0</v>
      </c>
      <c r="R242" t="n">
        <v>0</v>
      </c>
      <c r="S242" t="n">
        <v>0</v>
      </c>
      <c r="T242" t="n">
        <v>0</v>
      </c>
      <c r="U242" s="2" t="inlineStr"/>
    </row>
    <row r="243" ht="15" customHeight="1">
      <c r="A243" t="inlineStr">
        <is>
          <t>A 41399-2023</t>
        </is>
      </c>
      <c r="B243" t="inlineStr">
        <is>
          <t>avverkningsanmälan</t>
        </is>
      </c>
      <c r="C243" t="inlineStr">
        <is>
          <t>Föryngringsavverkning</t>
        </is>
      </c>
      <c r="D243" s="1" t="n">
        <v>45174</v>
      </c>
      <c r="E243" s="1" t="n">
        <v>46216</v>
      </c>
      <c r="F243" t="inlineStr">
        <is>
          <t>VÄSTERBOTTENS LÄN</t>
        </is>
      </c>
      <c r="G243" t="inlineStr">
        <is>
          <t>ÅSELE</t>
        </is>
      </c>
      <c r="H243" t="inlineStr">
        <is>
          <t>SCA</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32143-2025</t>
        </is>
      </c>
      <c r="B244" t="inlineStr">
        <is>
          <t>avverkningsanmälan</t>
        </is>
      </c>
      <c r="C244" t="inlineStr">
        <is>
          <t>Föryngringsavverkning</t>
        </is>
      </c>
      <c r="D244" s="1" t="n">
        <v>45835</v>
      </c>
      <c r="E244" s="1" t="n">
        <v>46216</v>
      </c>
      <c r="F244" t="inlineStr">
        <is>
          <t>VÄSTERBOTTENS LÄN</t>
        </is>
      </c>
      <c r="G244" t="inlineStr">
        <is>
          <t>ÅSELE</t>
        </is>
      </c>
      <c r="H244" t="inlineStr">
        <is>
          <t>Holmen skog AB</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44005-2025</t>
        </is>
      </c>
      <c r="B245" t="inlineStr">
        <is>
          <t>avverkningsanmälan</t>
        </is>
      </c>
      <c r="C245" t="inlineStr">
        <is>
          <t>Föryngringsavverkning</t>
        </is>
      </c>
      <c r="D245" s="1" t="n">
        <v>45915</v>
      </c>
      <c r="E245" s="1" t="n">
        <v>46216</v>
      </c>
      <c r="F245" t="inlineStr">
        <is>
          <t>VÄSTERBOTTENS LÄN</t>
        </is>
      </c>
      <c r="G245" t="inlineStr">
        <is>
          <t>ÅSELE</t>
        </is>
      </c>
      <c r="H245" t="inlineStr">
        <is>
          <t>Holmen skog AB</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44242-2025</t>
        </is>
      </c>
      <c r="B246" t="inlineStr">
        <is>
          <t>avverkningsanmälan</t>
        </is>
      </c>
      <c r="C246" t="inlineStr">
        <is>
          <t>Föryngringsavverkning</t>
        </is>
      </c>
      <c r="D246" s="1" t="n">
        <v>45915</v>
      </c>
      <c r="E246" s="1" t="n">
        <v>46216</v>
      </c>
      <c r="F246" t="inlineStr">
        <is>
          <t>VÄSTERBOTTENS LÄN</t>
        </is>
      </c>
      <c r="G246" t="inlineStr">
        <is>
          <t>ÅSELE</t>
        </is>
      </c>
      <c r="H246" t="inlineStr">
        <is>
          <t>SCA</t>
        </is>
      </c>
      <c r="I246" t="n">
        <v>39.9</v>
      </c>
      <c r="J246" t="n">
        <v>0</v>
      </c>
      <c r="K246" t="n">
        <v>0</v>
      </c>
      <c r="L246" t="n">
        <v>0</v>
      </c>
      <c r="M246" t="n">
        <v>0</v>
      </c>
      <c r="N246" t="n">
        <v>0</v>
      </c>
      <c r="O246" t="n">
        <v>0</v>
      </c>
      <c r="P246" t="n">
        <v>0</v>
      </c>
      <c r="Q246" t="n">
        <v>0</v>
      </c>
      <c r="R246" t="n">
        <v>0</v>
      </c>
      <c r="S246" t="n">
        <v>0</v>
      </c>
      <c r="T246" t="n">
        <v>0</v>
      </c>
      <c r="U246" s="2" t="inlineStr"/>
    </row>
    <row r="247" ht="15" customHeight="1">
      <c r="A247" t="inlineStr">
        <is>
          <t>A 2321-2026</t>
        </is>
      </c>
      <c r="B247" t="inlineStr">
        <is>
          <t>avverkningsanmälan</t>
        </is>
      </c>
      <c r="C247" t="inlineStr">
        <is>
          <t>Föryngringsavverkning</t>
        </is>
      </c>
      <c r="D247" s="1" t="n">
        <v>46036</v>
      </c>
      <c r="E247" s="1" t="n">
        <v>46216</v>
      </c>
      <c r="F247" t="inlineStr">
        <is>
          <t>VÄSTERBOTTENS LÄN</t>
        </is>
      </c>
      <c r="G247" t="inlineStr">
        <is>
          <t>ÅSELE</t>
        </is>
      </c>
      <c r="H247" t="inlineStr">
        <is>
          <t>Sveaskog</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43657-2025</t>
        </is>
      </c>
      <c r="B248" t="inlineStr">
        <is>
          <t>avverkningsanmälan</t>
        </is>
      </c>
      <c r="C248" t="inlineStr">
        <is>
          <t>Föryngringsavverkning</t>
        </is>
      </c>
      <c r="D248" s="1" t="n">
        <v>45912</v>
      </c>
      <c r="E248" s="1" t="n">
        <v>46216</v>
      </c>
      <c r="F248" t="inlineStr">
        <is>
          <t>VÄSTERBOTTENS LÄN</t>
        </is>
      </c>
      <c r="G248" t="inlineStr">
        <is>
          <t>ÅSELE</t>
        </is>
      </c>
      <c r="H248" t="inlineStr">
        <is>
          <t>SCA</t>
        </is>
      </c>
      <c r="I248" t="n">
        <v>4.2</v>
      </c>
      <c r="J248" t="n">
        <v>0</v>
      </c>
      <c r="K248" t="n">
        <v>0</v>
      </c>
      <c r="L248" t="n">
        <v>0</v>
      </c>
      <c r="M248" t="n">
        <v>0</v>
      </c>
      <c r="N248" t="n">
        <v>0</v>
      </c>
      <c r="O248" t="n">
        <v>0</v>
      </c>
      <c r="P248" t="n">
        <v>0</v>
      </c>
      <c r="Q248" t="n">
        <v>0</v>
      </c>
      <c r="R248" t="n">
        <v>0</v>
      </c>
      <c r="S248" t="n">
        <v>0</v>
      </c>
      <c r="T248" t="n">
        <v>0</v>
      </c>
      <c r="U248" s="2" t="inlineStr"/>
    </row>
    <row r="249" ht="15" customHeight="1">
      <c r="A249" t="inlineStr">
        <is>
          <t>A 32648-2025</t>
        </is>
      </c>
      <c r="B249" t="inlineStr">
        <is>
          <t>avverkningsanmälan</t>
        </is>
      </c>
      <c r="C249" t="inlineStr">
        <is>
          <t>Föryngringsavverkning</t>
        </is>
      </c>
      <c r="D249" s="1" t="n">
        <v>45838</v>
      </c>
      <c r="E249" s="1" t="n">
        <v>46216</v>
      </c>
      <c r="F249" t="inlineStr">
        <is>
          <t>VÄSTERBOTTENS LÄN</t>
        </is>
      </c>
      <c r="G249" t="inlineStr">
        <is>
          <t>ÅSELE</t>
        </is>
      </c>
      <c r="H249" t="inlineStr">
        <is>
          <t>Holmen skog AB</t>
        </is>
      </c>
      <c r="I249" t="n">
        <v>20</v>
      </c>
      <c r="J249" t="n">
        <v>0</v>
      </c>
      <c r="K249" t="n">
        <v>0</v>
      </c>
      <c r="L249" t="n">
        <v>0</v>
      </c>
      <c r="M249" t="n">
        <v>0</v>
      </c>
      <c r="N249" t="n">
        <v>0</v>
      </c>
      <c r="O249" t="n">
        <v>0</v>
      </c>
      <c r="P249" t="n">
        <v>0</v>
      </c>
      <c r="Q249" t="n">
        <v>0</v>
      </c>
      <c r="R249" t="n">
        <v>0</v>
      </c>
      <c r="S249" t="n">
        <v>0</v>
      </c>
      <c r="T249" t="n">
        <v>0</v>
      </c>
      <c r="U249" s="2" t="inlineStr"/>
    </row>
    <row r="250" ht="15" customHeight="1">
      <c r="A250" t="inlineStr">
        <is>
          <t>A 32945-2025</t>
        </is>
      </c>
      <c r="B250" t="inlineStr">
        <is>
          <t>avverkningsanmälan</t>
        </is>
      </c>
      <c r="C250" t="inlineStr">
        <is>
          <t>Föryngringsavverkning</t>
        </is>
      </c>
      <c r="D250" s="1" t="n">
        <v>45839</v>
      </c>
      <c r="E250" s="1" t="n">
        <v>46216</v>
      </c>
      <c r="F250" t="inlineStr">
        <is>
          <t>VÄSTERBOTTENS LÄN</t>
        </is>
      </c>
      <c r="G250" t="inlineStr">
        <is>
          <t>ÅSELE</t>
        </is>
      </c>
      <c r="H250" t="inlineStr">
        <is>
          <t>Holmen skog AB</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45298-2024</t>
        </is>
      </c>
      <c r="B251" t="inlineStr">
        <is>
          <t>avverkningsanmälan</t>
        </is>
      </c>
      <c r="C251" t="inlineStr">
        <is>
          <t>Föryngringsavverkning</t>
        </is>
      </c>
      <c r="D251" s="1" t="n">
        <v>45576</v>
      </c>
      <c r="E251" s="1" t="n">
        <v>46216</v>
      </c>
      <c r="F251" t="inlineStr">
        <is>
          <t>VÄSTERBOTTENS LÄN</t>
        </is>
      </c>
      <c r="G251" t="inlineStr">
        <is>
          <t>ÅSELE</t>
        </is>
      </c>
      <c r="H251" t="inlineStr">
        <is>
          <t>Sveaskog</t>
        </is>
      </c>
      <c r="I251" t="n">
        <v>5.8</v>
      </c>
      <c r="J251" t="n">
        <v>0</v>
      </c>
      <c r="K251" t="n">
        <v>0</v>
      </c>
      <c r="L251" t="n">
        <v>0</v>
      </c>
      <c r="M251" t="n">
        <v>0</v>
      </c>
      <c r="N251" t="n">
        <v>0</v>
      </c>
      <c r="O251" t="n">
        <v>0</v>
      </c>
      <c r="P251" t="n">
        <v>0</v>
      </c>
      <c r="Q251" t="n">
        <v>0</v>
      </c>
      <c r="R251" t="n">
        <v>0</v>
      </c>
      <c r="S251" t="n">
        <v>0</v>
      </c>
      <c r="T251" t="n">
        <v>0</v>
      </c>
      <c r="U251" s="2" t="inlineStr"/>
    </row>
    <row r="252" ht="15" customHeight="1">
      <c r="A252" t="inlineStr">
        <is>
          <t>A 44488-2025</t>
        </is>
      </c>
      <c r="B252" t="inlineStr">
        <is>
          <t>avverkningsanmälan</t>
        </is>
      </c>
      <c r="C252" t="inlineStr">
        <is>
          <t>Föryngringsavverkning</t>
        </is>
      </c>
      <c r="D252" s="1" t="n">
        <v>45916</v>
      </c>
      <c r="E252" s="1" t="n">
        <v>46216</v>
      </c>
      <c r="F252" t="inlineStr">
        <is>
          <t>VÄSTERBOTTENS LÄN</t>
        </is>
      </c>
      <c r="G252" t="inlineStr">
        <is>
          <t>ÅSELE</t>
        </is>
      </c>
      <c r="I252" t="n">
        <v>7</v>
      </c>
      <c r="J252" t="n">
        <v>0</v>
      </c>
      <c r="K252" t="n">
        <v>0</v>
      </c>
      <c r="L252" t="n">
        <v>0</v>
      </c>
      <c r="M252" t="n">
        <v>0</v>
      </c>
      <c r="N252" t="n">
        <v>0</v>
      </c>
      <c r="O252" t="n">
        <v>0</v>
      </c>
      <c r="P252" t="n">
        <v>0</v>
      </c>
      <c r="Q252" t="n">
        <v>0</v>
      </c>
      <c r="R252" t="n">
        <v>0</v>
      </c>
      <c r="S252" t="n">
        <v>0</v>
      </c>
      <c r="T252" t="n">
        <v>0</v>
      </c>
      <c r="U252" s="2" t="inlineStr"/>
    </row>
    <row r="253" ht="15" customHeight="1">
      <c r="A253" t="inlineStr">
        <is>
          <t>A 32810-2025</t>
        </is>
      </c>
      <c r="B253" t="inlineStr">
        <is>
          <t>avverkningsanmälan</t>
        </is>
      </c>
      <c r="C253" t="inlineStr">
        <is>
          <t>Föryngringsavverkning</t>
        </is>
      </c>
      <c r="D253" s="1" t="n">
        <v>45839</v>
      </c>
      <c r="E253" s="1" t="n">
        <v>46216</v>
      </c>
      <c r="F253" t="inlineStr">
        <is>
          <t>VÄSTERBOTTENS LÄN</t>
        </is>
      </c>
      <c r="G253" t="inlineStr">
        <is>
          <t>ÅSELE</t>
        </is>
      </c>
      <c r="H253" t="inlineStr">
        <is>
          <t>Holmen skog AB</t>
        </is>
      </c>
      <c r="I253" t="n">
        <v>3.7</v>
      </c>
      <c r="J253" t="n">
        <v>0</v>
      </c>
      <c r="K253" t="n">
        <v>0</v>
      </c>
      <c r="L253" t="n">
        <v>0</v>
      </c>
      <c r="M253" t="n">
        <v>0</v>
      </c>
      <c r="N253" t="n">
        <v>0</v>
      </c>
      <c r="O253" t="n">
        <v>0</v>
      </c>
      <c r="P253" t="n">
        <v>0</v>
      </c>
      <c r="Q253" t="n">
        <v>0</v>
      </c>
      <c r="R253" t="n">
        <v>0</v>
      </c>
      <c r="S253" t="n">
        <v>0</v>
      </c>
      <c r="T253" t="n">
        <v>0</v>
      </c>
      <c r="U253" s="2" t="inlineStr"/>
    </row>
    <row r="254" ht="15" customHeight="1">
      <c r="A254" t="inlineStr">
        <is>
          <t>A 48051-2024</t>
        </is>
      </c>
      <c r="B254" t="inlineStr">
        <is>
          <t>avverkningsanmälan</t>
        </is>
      </c>
      <c r="C254" t="inlineStr">
        <is>
          <t>Föryngringsavverkning</t>
        </is>
      </c>
      <c r="D254" s="1" t="n">
        <v>45589</v>
      </c>
      <c r="E254" s="1" t="n">
        <v>46216</v>
      </c>
      <c r="F254" t="inlineStr">
        <is>
          <t>VÄSTERBOTTENS LÄN</t>
        </is>
      </c>
      <c r="G254" t="inlineStr">
        <is>
          <t>ÅSELE</t>
        </is>
      </c>
      <c r="H254" t="inlineStr">
        <is>
          <t>SCA</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44279-2025</t>
        </is>
      </c>
      <c r="B255" t="inlineStr">
        <is>
          <t>avverkningsanmälan</t>
        </is>
      </c>
      <c r="C255" t="inlineStr">
        <is>
          <t>Föryngringsavverkning</t>
        </is>
      </c>
      <c r="D255" s="1" t="n">
        <v>45916</v>
      </c>
      <c r="E255" s="1" t="n">
        <v>46216</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7475-2025</t>
        </is>
      </c>
      <c r="B256" t="inlineStr">
        <is>
          <t>avverkningsanmälan</t>
        </is>
      </c>
      <c r="C256" t="inlineStr">
        <is>
          <t>Föryngringsavverkning</t>
        </is>
      </c>
      <c r="D256" s="1" t="n">
        <v>45705</v>
      </c>
      <c r="E256" s="1" t="n">
        <v>46216</v>
      </c>
      <c r="F256" t="inlineStr">
        <is>
          <t>VÄSTERBOTTENS LÄN</t>
        </is>
      </c>
      <c r="G256" t="inlineStr">
        <is>
          <t>ÅSELE</t>
        </is>
      </c>
      <c r="I256" t="n">
        <v>4.4</v>
      </c>
      <c r="J256" t="n">
        <v>0</v>
      </c>
      <c r="K256" t="n">
        <v>0</v>
      </c>
      <c r="L256" t="n">
        <v>0</v>
      </c>
      <c r="M256" t="n">
        <v>0</v>
      </c>
      <c r="N256" t="n">
        <v>0</v>
      </c>
      <c r="O256" t="n">
        <v>0</v>
      </c>
      <c r="P256" t="n">
        <v>0</v>
      </c>
      <c r="Q256" t="n">
        <v>0</v>
      </c>
      <c r="R256" t="n">
        <v>0</v>
      </c>
      <c r="S256" t="n">
        <v>0</v>
      </c>
      <c r="T256" t="n">
        <v>0</v>
      </c>
      <c r="U256" s="2" t="inlineStr"/>
    </row>
    <row r="257" ht="15" customHeight="1">
      <c r="A257" t="inlineStr">
        <is>
          <t>A 41408-2023</t>
        </is>
      </c>
      <c r="B257" t="inlineStr">
        <is>
          <t>avverkningsanmälan</t>
        </is>
      </c>
      <c r="C257" t="inlineStr">
        <is>
          <t>Föryngringsavverkning</t>
        </is>
      </c>
      <c r="D257" s="1" t="n">
        <v>45174</v>
      </c>
      <c r="E257" s="1" t="n">
        <v>46216</v>
      </c>
      <c r="F257" t="inlineStr">
        <is>
          <t>VÄSTERBOTTENS LÄN</t>
        </is>
      </c>
      <c r="G257" t="inlineStr">
        <is>
          <t>ÅSELE</t>
        </is>
      </c>
      <c r="H257" t="inlineStr">
        <is>
          <t>SCA</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28955-2024</t>
        </is>
      </c>
      <c r="B258" t="inlineStr">
        <is>
          <t>avverkningsanmälan</t>
        </is>
      </c>
      <c r="C258" t="inlineStr">
        <is>
          <t>Föryngringsavverkning</t>
        </is>
      </c>
      <c r="D258" s="1" t="n">
        <v>45481</v>
      </c>
      <c r="E258" s="1" t="n">
        <v>46216</v>
      </c>
      <c r="F258" t="inlineStr">
        <is>
          <t>VÄSTERBOTTENS LÄN</t>
        </is>
      </c>
      <c r="G258" t="inlineStr">
        <is>
          <t>ÅSELE</t>
        </is>
      </c>
      <c r="H258" t="inlineStr">
        <is>
          <t>Sveaskog</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45689-2022</t>
        </is>
      </c>
      <c r="B259" t="inlineStr">
        <is>
          <t>avverkningsanmälan</t>
        </is>
      </c>
      <c r="C259" t="inlineStr">
        <is>
          <t>Föryngringsavverkning</t>
        </is>
      </c>
      <c r="D259" s="1" t="n">
        <v>44845</v>
      </c>
      <c r="E259" s="1" t="n">
        <v>46216</v>
      </c>
      <c r="F259" t="inlineStr">
        <is>
          <t>VÄSTERBOTTENS LÄN</t>
        </is>
      </c>
      <c r="G259" t="inlineStr">
        <is>
          <t>ÅSELE</t>
        </is>
      </c>
      <c r="H259" t="inlineStr">
        <is>
          <t>SCA</t>
        </is>
      </c>
      <c r="I259" t="n">
        <v>9.5</v>
      </c>
      <c r="J259" t="n">
        <v>0</v>
      </c>
      <c r="K259" t="n">
        <v>0</v>
      </c>
      <c r="L259" t="n">
        <v>0</v>
      </c>
      <c r="M259" t="n">
        <v>0</v>
      </c>
      <c r="N259" t="n">
        <v>0</v>
      </c>
      <c r="O259" t="n">
        <v>0</v>
      </c>
      <c r="P259" t="n">
        <v>0</v>
      </c>
      <c r="Q259" t="n">
        <v>0</v>
      </c>
      <c r="R259" t="n">
        <v>0</v>
      </c>
      <c r="S259" t="n">
        <v>0</v>
      </c>
      <c r="T259" t="n">
        <v>0</v>
      </c>
      <c r="U259" s="2" t="inlineStr"/>
    </row>
    <row r="260" ht="15" customHeight="1">
      <c r="A260" t="inlineStr">
        <is>
          <t>A 13348-2023</t>
        </is>
      </c>
      <c r="B260" t="inlineStr">
        <is>
          <t>avverkningsanmälan</t>
        </is>
      </c>
      <c r="C260" t="inlineStr">
        <is>
          <t>Föryngringsavverkning</t>
        </is>
      </c>
      <c r="D260" s="1" t="n">
        <v>45005</v>
      </c>
      <c r="E260" s="1" t="n">
        <v>46216</v>
      </c>
      <c r="F260" t="inlineStr">
        <is>
          <t>VÄSTERBOTTENS LÄN</t>
        </is>
      </c>
      <c r="G260" t="inlineStr">
        <is>
          <t>ÅSELE</t>
        </is>
      </c>
      <c r="I260" t="n">
        <v>4.5</v>
      </c>
      <c r="J260" t="n">
        <v>0</v>
      </c>
      <c r="K260" t="n">
        <v>0</v>
      </c>
      <c r="L260" t="n">
        <v>0</v>
      </c>
      <c r="M260" t="n">
        <v>0</v>
      </c>
      <c r="N260" t="n">
        <v>0</v>
      </c>
      <c r="O260" t="n">
        <v>0</v>
      </c>
      <c r="P260" t="n">
        <v>0</v>
      </c>
      <c r="Q260" t="n">
        <v>0</v>
      </c>
      <c r="R260" t="n">
        <v>0</v>
      </c>
      <c r="S260" t="n">
        <v>0</v>
      </c>
      <c r="T260" t="n">
        <v>0</v>
      </c>
      <c r="U260" s="2" t="inlineStr"/>
    </row>
    <row r="261" ht="15" customHeight="1">
      <c r="A261" t="inlineStr">
        <is>
          <t>A 20384-2025</t>
        </is>
      </c>
      <c r="B261" t="inlineStr">
        <is>
          <t>avverkningsanmälan</t>
        </is>
      </c>
      <c r="C261" t="inlineStr">
        <is>
          <t>Föryngringsavverkning</t>
        </is>
      </c>
      <c r="D261" s="1" t="n">
        <v>45775</v>
      </c>
      <c r="E261" s="1" t="n">
        <v>46216</v>
      </c>
      <c r="F261" t="inlineStr">
        <is>
          <t>VÄSTERBOTTENS LÄN</t>
        </is>
      </c>
      <c r="G261" t="inlineStr">
        <is>
          <t>ÅSELE</t>
        </is>
      </c>
      <c r="I261" t="n">
        <v>12.6</v>
      </c>
      <c r="J261" t="n">
        <v>0</v>
      </c>
      <c r="K261" t="n">
        <v>0</v>
      </c>
      <c r="L261" t="n">
        <v>0</v>
      </c>
      <c r="M261" t="n">
        <v>0</v>
      </c>
      <c r="N261" t="n">
        <v>0</v>
      </c>
      <c r="O261" t="n">
        <v>0</v>
      </c>
      <c r="P261" t="n">
        <v>0</v>
      </c>
      <c r="Q261" t="n">
        <v>0</v>
      </c>
      <c r="R261" t="n">
        <v>0</v>
      </c>
      <c r="S261" t="n">
        <v>0</v>
      </c>
      <c r="T261" t="n">
        <v>0</v>
      </c>
      <c r="U261" s="2" t="inlineStr"/>
    </row>
    <row r="262" ht="15" customHeight="1">
      <c r="A262" t="inlineStr">
        <is>
          <t>A 50539-2022</t>
        </is>
      </c>
      <c r="B262" t="inlineStr">
        <is>
          <t>avverkningsanmälan</t>
        </is>
      </c>
      <c r="C262" t="inlineStr">
        <is>
          <t>Avverkning för annat ändamål</t>
        </is>
      </c>
      <c r="D262" s="1" t="n">
        <v>44866</v>
      </c>
      <c r="E262" s="1" t="n">
        <v>46216</v>
      </c>
      <c r="F262" t="inlineStr">
        <is>
          <t>VÄSTERBOTTENS LÄN</t>
        </is>
      </c>
      <c r="G262" t="inlineStr">
        <is>
          <t>ÅSELE</t>
        </is>
      </c>
      <c r="H262" t="inlineStr">
        <is>
          <t>Holmen skog AB</t>
        </is>
      </c>
      <c r="I262" t="n">
        <v>4.9</v>
      </c>
      <c r="J262" t="n">
        <v>0</v>
      </c>
      <c r="K262" t="n">
        <v>0</v>
      </c>
      <c r="L262" t="n">
        <v>0</v>
      </c>
      <c r="M262" t="n">
        <v>0</v>
      </c>
      <c r="N262" t="n">
        <v>0</v>
      </c>
      <c r="O262" t="n">
        <v>0</v>
      </c>
      <c r="P262" t="n">
        <v>0</v>
      </c>
      <c r="Q262" t="n">
        <v>0</v>
      </c>
      <c r="R262" t="n">
        <v>0</v>
      </c>
      <c r="S262" t="n">
        <v>0</v>
      </c>
      <c r="T262" t="n">
        <v>0</v>
      </c>
      <c r="U262" s="2" t="inlineStr"/>
    </row>
    <row r="263" ht="15" customHeight="1">
      <c r="A263" t="inlineStr">
        <is>
          <t>A 61800-2023</t>
        </is>
      </c>
      <c r="B263" t="inlineStr">
        <is>
          <t>avverkningsanmälan</t>
        </is>
      </c>
      <c r="C263" t="inlineStr">
        <is>
          <t>Föryngringsavverkning</t>
        </is>
      </c>
      <c r="D263" s="1" t="n">
        <v>45265</v>
      </c>
      <c r="E263" s="1" t="n">
        <v>46216</v>
      </c>
      <c r="F263" t="inlineStr">
        <is>
          <t>VÄSTERBOTTENS LÄN</t>
        </is>
      </c>
      <c r="G263" t="inlineStr">
        <is>
          <t>ÅSELE</t>
        </is>
      </c>
      <c r="H263" t="inlineStr">
        <is>
          <t>SCA</t>
        </is>
      </c>
      <c r="I263" t="n">
        <v>3.8</v>
      </c>
      <c r="J263" t="n">
        <v>0</v>
      </c>
      <c r="K263" t="n">
        <v>0</v>
      </c>
      <c r="L263" t="n">
        <v>0</v>
      </c>
      <c r="M263" t="n">
        <v>0</v>
      </c>
      <c r="N263" t="n">
        <v>0</v>
      </c>
      <c r="O263" t="n">
        <v>0</v>
      </c>
      <c r="P263" t="n">
        <v>0</v>
      </c>
      <c r="Q263" t="n">
        <v>0</v>
      </c>
      <c r="R263" t="n">
        <v>0</v>
      </c>
      <c r="S263" t="n">
        <v>0</v>
      </c>
      <c r="T263" t="n">
        <v>0</v>
      </c>
      <c r="U263" s="2" t="inlineStr"/>
    </row>
    <row r="264" ht="15" customHeight="1">
      <c r="A264" t="inlineStr">
        <is>
          <t>A 61801-2023</t>
        </is>
      </c>
      <c r="B264" t="inlineStr">
        <is>
          <t>avverkningsanmälan</t>
        </is>
      </c>
      <c r="C264" t="inlineStr">
        <is>
          <t>Föryngringsavverkning</t>
        </is>
      </c>
      <c r="D264" s="1" t="n">
        <v>45265</v>
      </c>
      <c r="E264" s="1" t="n">
        <v>46216</v>
      </c>
      <c r="F264" t="inlineStr">
        <is>
          <t>VÄSTERBOTTENS LÄN</t>
        </is>
      </c>
      <c r="G264" t="inlineStr">
        <is>
          <t>ÅSELE</t>
        </is>
      </c>
      <c r="H264" t="inlineStr">
        <is>
          <t>SCA</t>
        </is>
      </c>
      <c r="I264" t="n">
        <v>3.1</v>
      </c>
      <c r="J264" t="n">
        <v>0</v>
      </c>
      <c r="K264" t="n">
        <v>0</v>
      </c>
      <c r="L264" t="n">
        <v>0</v>
      </c>
      <c r="M264" t="n">
        <v>0</v>
      </c>
      <c r="N264" t="n">
        <v>0</v>
      </c>
      <c r="O264" t="n">
        <v>0</v>
      </c>
      <c r="P264" t="n">
        <v>0</v>
      </c>
      <c r="Q264" t="n">
        <v>0</v>
      </c>
      <c r="R264" t="n">
        <v>0</v>
      </c>
      <c r="S264" t="n">
        <v>0</v>
      </c>
      <c r="T264" t="n">
        <v>0</v>
      </c>
      <c r="U264" s="2" t="inlineStr"/>
    </row>
    <row r="265" ht="15" customHeight="1">
      <c r="A265" t="inlineStr">
        <is>
          <t>A 45257-2025</t>
        </is>
      </c>
      <c r="B265" t="inlineStr">
        <is>
          <t>avverkningsanmälan</t>
        </is>
      </c>
      <c r="C265" t="inlineStr">
        <is>
          <t>Föryngringsavverkning</t>
        </is>
      </c>
      <c r="D265" s="1" t="n">
        <v>45919</v>
      </c>
      <c r="E265" s="1" t="n">
        <v>46216</v>
      </c>
      <c r="F265" t="inlineStr">
        <is>
          <t>VÄSTERBOTTENS LÄN</t>
        </is>
      </c>
      <c r="G265" t="inlineStr">
        <is>
          <t>ÅSELE</t>
        </is>
      </c>
      <c r="H265" t="inlineStr">
        <is>
          <t>Holmen skog AB</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44992-2025</t>
        </is>
      </c>
      <c r="B266" t="inlineStr">
        <is>
          <t>avverkningsanmälan</t>
        </is>
      </c>
      <c r="C266" t="inlineStr">
        <is>
          <t>Föryngringsavverkning</t>
        </is>
      </c>
      <c r="D266" s="1" t="n">
        <v>45918</v>
      </c>
      <c r="E266" s="1" t="n">
        <v>46216</v>
      </c>
      <c r="F266" t="inlineStr">
        <is>
          <t>VÄSTERBOTTENS LÄN</t>
        </is>
      </c>
      <c r="G266" t="inlineStr">
        <is>
          <t>ÅSELE</t>
        </is>
      </c>
      <c r="H266" t="inlineStr">
        <is>
          <t>SCA</t>
        </is>
      </c>
      <c r="I266" t="n">
        <v>5.2</v>
      </c>
      <c r="J266" t="n">
        <v>0</v>
      </c>
      <c r="K266" t="n">
        <v>0</v>
      </c>
      <c r="L266" t="n">
        <v>0</v>
      </c>
      <c r="M266" t="n">
        <v>0</v>
      </c>
      <c r="N266" t="n">
        <v>0</v>
      </c>
      <c r="O266" t="n">
        <v>0</v>
      </c>
      <c r="P266" t="n">
        <v>0</v>
      </c>
      <c r="Q266" t="n">
        <v>0</v>
      </c>
      <c r="R266" t="n">
        <v>0</v>
      </c>
      <c r="S266" t="n">
        <v>0</v>
      </c>
      <c r="T266" t="n">
        <v>0</v>
      </c>
      <c r="U266" s="2" t="inlineStr"/>
    </row>
    <row r="267" ht="15" customHeight="1">
      <c r="A267" t="inlineStr">
        <is>
          <t>A 32561-2023</t>
        </is>
      </c>
      <c r="B267" t="inlineStr">
        <is>
          <t>avverkningsanmälan</t>
        </is>
      </c>
      <c r="C267" t="inlineStr">
        <is>
          <t>Föryngringsavverkning</t>
        </is>
      </c>
      <c r="D267" s="1" t="n">
        <v>45121</v>
      </c>
      <c r="E267" s="1" t="n">
        <v>46216</v>
      </c>
      <c r="F267" t="inlineStr">
        <is>
          <t>VÄSTERBOTTENS LÄN</t>
        </is>
      </c>
      <c r="G267" t="inlineStr">
        <is>
          <t>ÅSELE</t>
        </is>
      </c>
      <c r="H267" t="inlineStr">
        <is>
          <t>Naturvårdsverket</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45399-2025</t>
        </is>
      </c>
      <c r="B268" t="inlineStr">
        <is>
          <t>avverkningsanmälan</t>
        </is>
      </c>
      <c r="C268" t="inlineStr">
        <is>
          <t>Föryngringsavverkning</t>
        </is>
      </c>
      <c r="D268" s="1" t="n">
        <v>45922</v>
      </c>
      <c r="E268" s="1" t="n">
        <v>46216</v>
      </c>
      <c r="F268" t="inlineStr">
        <is>
          <t>VÄSTERBOTTENS LÄN</t>
        </is>
      </c>
      <c r="G268" t="inlineStr">
        <is>
          <t>ÅSELE</t>
        </is>
      </c>
      <c r="H268" t="inlineStr">
        <is>
          <t>Holmen skog AB</t>
        </is>
      </c>
      <c r="I268" t="n">
        <v>17.7</v>
      </c>
      <c r="J268" t="n">
        <v>0</v>
      </c>
      <c r="K268" t="n">
        <v>0</v>
      </c>
      <c r="L268" t="n">
        <v>0</v>
      </c>
      <c r="M268" t="n">
        <v>0</v>
      </c>
      <c r="N268" t="n">
        <v>0</v>
      </c>
      <c r="O268" t="n">
        <v>0</v>
      </c>
      <c r="P268" t="n">
        <v>0</v>
      </c>
      <c r="Q268" t="n">
        <v>0</v>
      </c>
      <c r="R268" t="n">
        <v>0</v>
      </c>
      <c r="S268" t="n">
        <v>0</v>
      </c>
      <c r="T268" t="n">
        <v>0</v>
      </c>
      <c r="U268" s="2" t="inlineStr"/>
    </row>
    <row r="269" ht="15" customHeight="1">
      <c r="A269" t="inlineStr">
        <is>
          <t>A 45745-2025</t>
        </is>
      </c>
      <c r="B269" t="inlineStr">
        <is>
          <t>avverkningsanmälan</t>
        </is>
      </c>
      <c r="C269" t="inlineStr">
        <is>
          <t>Avverkning för annat ändamål</t>
        </is>
      </c>
      <c r="D269" s="1" t="n">
        <v>45923</v>
      </c>
      <c r="E269" s="1" t="n">
        <v>46216</v>
      </c>
      <c r="F269" t="inlineStr">
        <is>
          <t>VÄSTERBOTTENS LÄN</t>
        </is>
      </c>
      <c r="G269" t="inlineStr">
        <is>
          <t>ÅSELE</t>
        </is>
      </c>
      <c r="H269" t="inlineStr">
        <is>
          <t>Sveaskog</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45746-2025</t>
        </is>
      </c>
      <c r="B270" t="inlineStr">
        <is>
          <t>avverkningsanmälan</t>
        </is>
      </c>
      <c r="C270" t="inlineStr">
        <is>
          <t>Avverkning för annat ändamål</t>
        </is>
      </c>
      <c r="D270" s="1" t="n">
        <v>45923</v>
      </c>
      <c r="E270" s="1" t="n">
        <v>46216</v>
      </c>
      <c r="F270" t="inlineStr">
        <is>
          <t>VÄSTERBOTTENS LÄN</t>
        </is>
      </c>
      <c r="G270" t="inlineStr">
        <is>
          <t>ÅSELE</t>
        </is>
      </c>
      <c r="H270" t="inlineStr">
        <is>
          <t>Sveaskog</t>
        </is>
      </c>
      <c r="I270" t="n">
        <v>4.1</v>
      </c>
      <c r="J270" t="n">
        <v>0</v>
      </c>
      <c r="K270" t="n">
        <v>0</v>
      </c>
      <c r="L270" t="n">
        <v>0</v>
      </c>
      <c r="M270" t="n">
        <v>0</v>
      </c>
      <c r="N270" t="n">
        <v>0</v>
      </c>
      <c r="O270" t="n">
        <v>0</v>
      </c>
      <c r="P270" t="n">
        <v>0</v>
      </c>
      <c r="Q270" t="n">
        <v>0</v>
      </c>
      <c r="R270" t="n">
        <v>0</v>
      </c>
      <c r="S270" t="n">
        <v>0</v>
      </c>
      <c r="T270" t="n">
        <v>0</v>
      </c>
      <c r="U270" s="2" t="inlineStr"/>
    </row>
    <row r="271" ht="15" customHeight="1">
      <c r="A271" t="inlineStr">
        <is>
          <t>A 22078-2023</t>
        </is>
      </c>
      <c r="B271" t="inlineStr">
        <is>
          <t>avverkningsanmälan</t>
        </is>
      </c>
      <c r="C271" t="inlineStr">
        <is>
          <t>Föryngringsavverkning</t>
        </is>
      </c>
      <c r="D271" s="1" t="n">
        <v>45068</v>
      </c>
      <c r="E271" s="1" t="n">
        <v>46216</v>
      </c>
      <c r="F271" t="inlineStr">
        <is>
          <t>VÄSTERBOTTENS LÄN</t>
        </is>
      </c>
      <c r="G271" t="inlineStr">
        <is>
          <t>ÅSELE</t>
        </is>
      </c>
      <c r="I271" t="n">
        <v>2.7</v>
      </c>
      <c r="J271" t="n">
        <v>0</v>
      </c>
      <c r="K271" t="n">
        <v>0</v>
      </c>
      <c r="L271" t="n">
        <v>0</v>
      </c>
      <c r="M271" t="n">
        <v>0</v>
      </c>
      <c r="N271" t="n">
        <v>0</v>
      </c>
      <c r="O271" t="n">
        <v>0</v>
      </c>
      <c r="P271" t="n">
        <v>0</v>
      </c>
      <c r="Q271" t="n">
        <v>0</v>
      </c>
      <c r="R271" t="n">
        <v>0</v>
      </c>
      <c r="S271" t="n">
        <v>0</v>
      </c>
      <c r="T271" t="n">
        <v>0</v>
      </c>
      <c r="U271" s="2" t="inlineStr"/>
    </row>
    <row r="272" ht="15" customHeight="1">
      <c r="A272" t="inlineStr">
        <is>
          <t>A 25553-2024</t>
        </is>
      </c>
      <c r="B272" t="inlineStr">
        <is>
          <t>avverkningsanmälan</t>
        </is>
      </c>
      <c r="C272" t="inlineStr">
        <is>
          <t>Föryngringsavverkning</t>
        </is>
      </c>
      <c r="D272" s="1" t="n">
        <v>45463</v>
      </c>
      <c r="E272" s="1" t="n">
        <v>46216</v>
      </c>
      <c r="F272" t="inlineStr">
        <is>
          <t>VÄSTERBOTTENS LÄN</t>
        </is>
      </c>
      <c r="G272" t="inlineStr">
        <is>
          <t>ÅSELE</t>
        </is>
      </c>
      <c r="H272" t="inlineStr">
        <is>
          <t>Sveaskog</t>
        </is>
      </c>
      <c r="I272" t="n">
        <v>13.5</v>
      </c>
      <c r="J272" t="n">
        <v>0</v>
      </c>
      <c r="K272" t="n">
        <v>0</v>
      </c>
      <c r="L272" t="n">
        <v>0</v>
      </c>
      <c r="M272" t="n">
        <v>0</v>
      </c>
      <c r="N272" t="n">
        <v>0</v>
      </c>
      <c r="O272" t="n">
        <v>0</v>
      </c>
      <c r="P272" t="n">
        <v>0</v>
      </c>
      <c r="Q272" t="n">
        <v>0</v>
      </c>
      <c r="R272" t="n">
        <v>0</v>
      </c>
      <c r="S272" t="n">
        <v>0</v>
      </c>
      <c r="T272" t="n">
        <v>0</v>
      </c>
      <c r="U272" s="2" t="inlineStr"/>
    </row>
    <row r="273" ht="15" customHeight="1">
      <c r="A273" t="inlineStr">
        <is>
          <t>A 2378-2026</t>
        </is>
      </c>
      <c r="B273" t="inlineStr">
        <is>
          <t>avverkningsanmälan</t>
        </is>
      </c>
      <c r="C273" t="inlineStr">
        <is>
          <t>Föryngringsavverkning</t>
        </is>
      </c>
      <c r="D273" s="1" t="n">
        <v>46036</v>
      </c>
      <c r="E273" s="1" t="n">
        <v>46216</v>
      </c>
      <c r="F273" t="inlineStr">
        <is>
          <t>VÄSTERBOTTENS LÄN</t>
        </is>
      </c>
      <c r="G273" t="inlineStr">
        <is>
          <t>ÅSELE</t>
        </is>
      </c>
      <c r="H273" t="inlineStr">
        <is>
          <t>Sveaskog</t>
        </is>
      </c>
      <c r="I273" t="n">
        <v>17.1</v>
      </c>
      <c r="J273" t="n">
        <v>0</v>
      </c>
      <c r="K273" t="n">
        <v>0</v>
      </c>
      <c r="L273" t="n">
        <v>0</v>
      </c>
      <c r="M273" t="n">
        <v>0</v>
      </c>
      <c r="N273" t="n">
        <v>0</v>
      </c>
      <c r="O273" t="n">
        <v>0</v>
      </c>
      <c r="P273" t="n">
        <v>0</v>
      </c>
      <c r="Q273" t="n">
        <v>0</v>
      </c>
      <c r="R273" t="n">
        <v>0</v>
      </c>
      <c r="S273" t="n">
        <v>0</v>
      </c>
      <c r="T273" t="n">
        <v>0</v>
      </c>
      <c r="U273" s="2" t="inlineStr"/>
    </row>
    <row r="274" ht="15" customHeight="1">
      <c r="A274" t="inlineStr">
        <is>
          <t>A 34295-2025</t>
        </is>
      </c>
      <c r="B274" t="inlineStr">
        <is>
          <t>avverkningsanmälan</t>
        </is>
      </c>
      <c r="C274" t="inlineStr">
        <is>
          <t>Föryngringsavverkning</t>
        </is>
      </c>
      <c r="D274" s="1" t="n">
        <v>45846</v>
      </c>
      <c r="E274" s="1" t="n">
        <v>46216</v>
      </c>
      <c r="F274" t="inlineStr">
        <is>
          <t>VÄSTERBOTTENS LÄN</t>
        </is>
      </c>
      <c r="G274" t="inlineStr">
        <is>
          <t>ÅSELE</t>
        </is>
      </c>
      <c r="H274" t="inlineStr">
        <is>
          <t>SCA</t>
        </is>
      </c>
      <c r="I274" t="n">
        <v>1.7</v>
      </c>
      <c r="J274" t="n">
        <v>0</v>
      </c>
      <c r="K274" t="n">
        <v>0</v>
      </c>
      <c r="L274" t="n">
        <v>0</v>
      </c>
      <c r="M274" t="n">
        <v>0</v>
      </c>
      <c r="N274" t="n">
        <v>0</v>
      </c>
      <c r="O274" t="n">
        <v>0</v>
      </c>
      <c r="P274" t="n">
        <v>0</v>
      </c>
      <c r="Q274" t="n">
        <v>0</v>
      </c>
      <c r="R274" t="n">
        <v>0</v>
      </c>
      <c r="S274" t="n">
        <v>0</v>
      </c>
      <c r="T274" t="n">
        <v>0</v>
      </c>
      <c r="U274" s="2" t="inlineStr"/>
    </row>
    <row r="275" ht="15" customHeight="1">
      <c r="A275" t="inlineStr">
        <is>
          <t>A 2294-2026</t>
        </is>
      </c>
      <c r="B275" t="inlineStr">
        <is>
          <t>avverkningsanmälan</t>
        </is>
      </c>
      <c r="C275" t="inlineStr">
        <is>
          <t>Föryngringsavverkning</t>
        </is>
      </c>
      <c r="D275" s="1" t="n">
        <v>46036</v>
      </c>
      <c r="E275" s="1" t="n">
        <v>46216</v>
      </c>
      <c r="F275" t="inlineStr">
        <is>
          <t>VÄSTERBOTTENS LÄN</t>
        </is>
      </c>
      <c r="G275" t="inlineStr">
        <is>
          <t>ÅSELE</t>
        </is>
      </c>
      <c r="H275" t="inlineStr">
        <is>
          <t>Sveaskog</t>
        </is>
      </c>
      <c r="I275" t="n">
        <v>7.4</v>
      </c>
      <c r="J275" t="n">
        <v>0</v>
      </c>
      <c r="K275" t="n">
        <v>0</v>
      </c>
      <c r="L275" t="n">
        <v>0</v>
      </c>
      <c r="M275" t="n">
        <v>0</v>
      </c>
      <c r="N275" t="n">
        <v>0</v>
      </c>
      <c r="O275" t="n">
        <v>0</v>
      </c>
      <c r="P275" t="n">
        <v>0</v>
      </c>
      <c r="Q275" t="n">
        <v>0</v>
      </c>
      <c r="R275" t="n">
        <v>0</v>
      </c>
      <c r="S275" t="n">
        <v>0</v>
      </c>
      <c r="T275" t="n">
        <v>0</v>
      </c>
      <c r="U275" s="2" t="inlineStr"/>
    </row>
    <row r="276" ht="15" customHeight="1">
      <c r="A276" t="inlineStr">
        <is>
          <t>A 48044-2024</t>
        </is>
      </c>
      <c r="B276" t="inlineStr">
        <is>
          <t>avverkningsanmälan</t>
        </is>
      </c>
      <c r="C276" t="inlineStr">
        <is>
          <t>Föryngringsavverkning</t>
        </is>
      </c>
      <c r="D276" s="1" t="n">
        <v>45589</v>
      </c>
      <c r="E276" s="1" t="n">
        <v>46216</v>
      </c>
      <c r="F276" t="inlineStr">
        <is>
          <t>VÄSTERBOTTENS LÄN</t>
        </is>
      </c>
      <c r="G276" t="inlineStr">
        <is>
          <t>ÅSELE</t>
        </is>
      </c>
      <c r="H276" t="inlineStr">
        <is>
          <t>SCA</t>
        </is>
      </c>
      <c r="I276" t="n">
        <v>2.4</v>
      </c>
      <c r="J276" t="n">
        <v>0</v>
      </c>
      <c r="K276" t="n">
        <v>0</v>
      </c>
      <c r="L276" t="n">
        <v>0</v>
      </c>
      <c r="M276" t="n">
        <v>0</v>
      </c>
      <c r="N276" t="n">
        <v>0</v>
      </c>
      <c r="O276" t="n">
        <v>0</v>
      </c>
      <c r="P276" t="n">
        <v>0</v>
      </c>
      <c r="Q276" t="n">
        <v>0</v>
      </c>
      <c r="R276" t="n">
        <v>0</v>
      </c>
      <c r="S276" t="n">
        <v>0</v>
      </c>
      <c r="T276" t="n">
        <v>0</v>
      </c>
      <c r="U276" s="2" t="inlineStr"/>
    </row>
    <row r="277" ht="15" customHeight="1">
      <c r="A277" t="inlineStr">
        <is>
          <t>A 48440-2023</t>
        </is>
      </c>
      <c r="B277" t="inlineStr">
        <is>
          <t>avverkningsanmälan</t>
        </is>
      </c>
      <c r="C277" t="inlineStr">
        <is>
          <t>Avverkning för annat ändamål</t>
        </is>
      </c>
      <c r="D277" s="1" t="n">
        <v>45205</v>
      </c>
      <c r="E277" s="1" t="n">
        <v>46216</v>
      </c>
      <c r="F277" t="inlineStr">
        <is>
          <t>VÄSTERBOTTENS LÄN</t>
        </is>
      </c>
      <c r="G277" t="inlineStr">
        <is>
          <t>ÅSELE</t>
        </is>
      </c>
      <c r="H277" t="inlineStr">
        <is>
          <t>SCA</t>
        </is>
      </c>
      <c r="I277" t="n">
        <v>8.199999999999999</v>
      </c>
      <c r="J277" t="n">
        <v>0</v>
      </c>
      <c r="K277" t="n">
        <v>0</v>
      </c>
      <c r="L277" t="n">
        <v>0</v>
      </c>
      <c r="M277" t="n">
        <v>0</v>
      </c>
      <c r="N277" t="n">
        <v>0</v>
      </c>
      <c r="O277" t="n">
        <v>0</v>
      </c>
      <c r="P277" t="n">
        <v>0</v>
      </c>
      <c r="Q277" t="n">
        <v>0</v>
      </c>
      <c r="R277" t="n">
        <v>0</v>
      </c>
      <c r="S277" t="n">
        <v>0</v>
      </c>
      <c r="T277" t="n">
        <v>0</v>
      </c>
      <c r="U277" s="2" t="inlineStr"/>
    </row>
    <row r="278" ht="15" customHeight="1">
      <c r="A278" t="inlineStr">
        <is>
          <t>A 34808-2025</t>
        </is>
      </c>
      <c r="B278" t="inlineStr">
        <is>
          <t>avverkningsanmälan</t>
        </is>
      </c>
      <c r="C278" t="inlineStr">
        <is>
          <t>Föryngringsavverkning</t>
        </is>
      </c>
      <c r="D278" s="1" t="n">
        <v>45849</v>
      </c>
      <c r="E278" s="1" t="n">
        <v>46216</v>
      </c>
      <c r="F278" t="inlineStr">
        <is>
          <t>VÄSTERBOTTENS LÄN</t>
        </is>
      </c>
      <c r="G278" t="inlineStr">
        <is>
          <t>ÅSELE</t>
        </is>
      </c>
      <c r="H278" t="inlineStr">
        <is>
          <t>Holmen skog AB</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34659-2025</t>
        </is>
      </c>
      <c r="B279" t="inlineStr">
        <is>
          <t>avverkningsanmälan</t>
        </is>
      </c>
      <c r="C279" t="inlineStr">
        <is>
          <t>Föryngringsavverkning</t>
        </is>
      </c>
      <c r="D279" s="1" t="n">
        <v>45848</v>
      </c>
      <c r="E279" s="1" t="n">
        <v>46216</v>
      </c>
      <c r="F279" t="inlineStr">
        <is>
          <t>VÄSTERBOTTENS LÄN</t>
        </is>
      </c>
      <c r="G279" t="inlineStr">
        <is>
          <t>ÅSELE</t>
        </is>
      </c>
      <c r="I279" t="n">
        <v>2.6</v>
      </c>
      <c r="J279" t="n">
        <v>0</v>
      </c>
      <c r="K279" t="n">
        <v>0</v>
      </c>
      <c r="L279" t="n">
        <v>0</v>
      </c>
      <c r="M279" t="n">
        <v>0</v>
      </c>
      <c r="N279" t="n">
        <v>0</v>
      </c>
      <c r="O279" t="n">
        <v>0</v>
      </c>
      <c r="P279" t="n">
        <v>0</v>
      </c>
      <c r="Q279" t="n">
        <v>0</v>
      </c>
      <c r="R279" t="n">
        <v>0</v>
      </c>
      <c r="S279" t="n">
        <v>0</v>
      </c>
      <c r="T279" t="n">
        <v>0</v>
      </c>
      <c r="U279" s="2" t="inlineStr"/>
    </row>
    <row r="280" ht="15" customHeight="1">
      <c r="A280" t="inlineStr">
        <is>
          <t>A 34661-2025</t>
        </is>
      </c>
      <c r="B280" t="inlineStr">
        <is>
          <t>avverkningsanmälan</t>
        </is>
      </c>
      <c r="C280" t="inlineStr">
        <is>
          <t>Föryngringsavverkning</t>
        </is>
      </c>
      <c r="D280" s="1" t="n">
        <v>45848</v>
      </c>
      <c r="E280" s="1" t="n">
        <v>46216</v>
      </c>
      <c r="F280" t="inlineStr">
        <is>
          <t>VÄSTERBOTTENS LÄN</t>
        </is>
      </c>
      <c r="G280" t="inlineStr">
        <is>
          <t>ÅSELE</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34843-2025</t>
        </is>
      </c>
      <c r="B281" t="inlineStr">
        <is>
          <t>avverkningsanmälan</t>
        </is>
      </c>
      <c r="C281" t="inlineStr">
        <is>
          <t>Föryngringsavverkning</t>
        </is>
      </c>
      <c r="D281" s="1" t="n">
        <v>45849</v>
      </c>
      <c r="E281" s="1" t="n">
        <v>46216</v>
      </c>
      <c r="F281" t="inlineStr">
        <is>
          <t>VÄSTERBOTTENS LÄN</t>
        </is>
      </c>
      <c r="G281" t="inlineStr">
        <is>
          <t>ÅSELE</t>
        </is>
      </c>
      <c r="H281" t="inlineStr">
        <is>
          <t>Sveaskog</t>
        </is>
      </c>
      <c r="I281" t="n">
        <v>4.2</v>
      </c>
      <c r="J281" t="n">
        <v>0</v>
      </c>
      <c r="K281" t="n">
        <v>0</v>
      </c>
      <c r="L281" t="n">
        <v>0</v>
      </c>
      <c r="M281" t="n">
        <v>0</v>
      </c>
      <c r="N281" t="n">
        <v>0</v>
      </c>
      <c r="O281" t="n">
        <v>0</v>
      </c>
      <c r="P281" t="n">
        <v>0</v>
      </c>
      <c r="Q281" t="n">
        <v>0</v>
      </c>
      <c r="R281" t="n">
        <v>0</v>
      </c>
      <c r="S281" t="n">
        <v>0</v>
      </c>
      <c r="T281" t="n">
        <v>0</v>
      </c>
      <c r="U281" s="2" t="inlineStr"/>
    </row>
    <row r="282" ht="15" customHeight="1">
      <c r="A282" t="inlineStr">
        <is>
          <t>A 34900-2025</t>
        </is>
      </c>
      <c r="B282" t="inlineStr">
        <is>
          <t>avverkningsanmälan</t>
        </is>
      </c>
      <c r="C282" t="inlineStr">
        <is>
          <t>Föryngringsavverkning</t>
        </is>
      </c>
      <c r="D282" s="1" t="n">
        <v>45849</v>
      </c>
      <c r="E282" s="1" t="n">
        <v>46216</v>
      </c>
      <c r="F282" t="inlineStr">
        <is>
          <t>VÄSTERBOTTENS LÄN</t>
        </is>
      </c>
      <c r="G282" t="inlineStr">
        <is>
          <t>ÅSELE</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46251-2025</t>
        </is>
      </c>
      <c r="B283" t="inlineStr">
        <is>
          <t>avverkningsanmälan</t>
        </is>
      </c>
      <c r="C283" t="inlineStr">
        <is>
          <t>Föryngringsavverkning</t>
        </is>
      </c>
      <c r="D283" s="1" t="n">
        <v>45925</v>
      </c>
      <c r="E283" s="1" t="n">
        <v>46216</v>
      </c>
      <c r="F283" t="inlineStr">
        <is>
          <t>VÄSTERBOTTENS LÄN</t>
        </is>
      </c>
      <c r="G283" t="inlineStr">
        <is>
          <t>ÅSELE</t>
        </is>
      </c>
      <c r="H283" t="inlineStr">
        <is>
          <t>SCA</t>
        </is>
      </c>
      <c r="I283" t="n">
        <v>4</v>
      </c>
      <c r="J283" t="n">
        <v>0</v>
      </c>
      <c r="K283" t="n">
        <v>0</v>
      </c>
      <c r="L283" t="n">
        <v>0</v>
      </c>
      <c r="M283" t="n">
        <v>0</v>
      </c>
      <c r="N283" t="n">
        <v>0</v>
      </c>
      <c r="O283" t="n">
        <v>0</v>
      </c>
      <c r="P283" t="n">
        <v>0</v>
      </c>
      <c r="Q283" t="n">
        <v>0</v>
      </c>
      <c r="R283" t="n">
        <v>0</v>
      </c>
      <c r="S283" t="n">
        <v>0</v>
      </c>
      <c r="T283" t="n">
        <v>0</v>
      </c>
      <c r="U283" s="2" t="inlineStr"/>
    </row>
    <row r="284" ht="15" customHeight="1">
      <c r="A284" t="inlineStr">
        <is>
          <t>A 3063-2024</t>
        </is>
      </c>
      <c r="B284" t="inlineStr">
        <is>
          <t>avverkningsanmälan</t>
        </is>
      </c>
      <c r="C284" t="inlineStr">
        <is>
          <t>Föryngringsavverkning</t>
        </is>
      </c>
      <c r="D284" s="1" t="n">
        <v>45316</v>
      </c>
      <c r="E284" s="1" t="n">
        <v>46216</v>
      </c>
      <c r="F284" t="inlineStr">
        <is>
          <t>VÄSTERBOTTENS LÄN</t>
        </is>
      </c>
      <c r="G284" t="inlineStr">
        <is>
          <t>ÅSELE</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51405-2024</t>
        </is>
      </c>
      <c r="B285" t="inlineStr">
        <is>
          <t>avverkningsanmälan</t>
        </is>
      </c>
      <c r="C285" t="inlineStr">
        <is>
          <t>Föryngringsavverkning</t>
        </is>
      </c>
      <c r="D285" s="1" t="n">
        <v>45604</v>
      </c>
      <c r="E285" s="1" t="n">
        <v>46216</v>
      </c>
      <c r="F285" t="inlineStr">
        <is>
          <t>VÄSTERBOTTENS LÄN</t>
        </is>
      </c>
      <c r="G285" t="inlineStr">
        <is>
          <t>ÅSELE</t>
        </is>
      </c>
      <c r="H285" t="inlineStr">
        <is>
          <t>SCA</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35281-2025</t>
        </is>
      </c>
      <c r="B286" t="inlineStr">
        <is>
          <t>avverkningsanmälan</t>
        </is>
      </c>
      <c r="C286" t="inlineStr">
        <is>
          <t>Föryngringsavverkning</t>
        </is>
      </c>
      <c r="D286" s="1" t="n">
        <v>45854</v>
      </c>
      <c r="E286" s="1" t="n">
        <v>46216</v>
      </c>
      <c r="F286" t="inlineStr">
        <is>
          <t>VÄSTERBOTTENS LÄN</t>
        </is>
      </c>
      <c r="G286" t="inlineStr">
        <is>
          <t>ÅSELE</t>
        </is>
      </c>
      <c r="H286" t="inlineStr">
        <is>
          <t>Holmen skog AB</t>
        </is>
      </c>
      <c r="I286" t="n">
        <v>3.8</v>
      </c>
      <c r="J286" t="n">
        <v>0</v>
      </c>
      <c r="K286" t="n">
        <v>0</v>
      </c>
      <c r="L286" t="n">
        <v>0</v>
      </c>
      <c r="M286" t="n">
        <v>0</v>
      </c>
      <c r="N286" t="n">
        <v>0</v>
      </c>
      <c r="O286" t="n">
        <v>0</v>
      </c>
      <c r="P286" t="n">
        <v>0</v>
      </c>
      <c r="Q286" t="n">
        <v>0</v>
      </c>
      <c r="R286" t="n">
        <v>0</v>
      </c>
      <c r="S286" t="n">
        <v>0</v>
      </c>
      <c r="T286" t="n">
        <v>0</v>
      </c>
      <c r="U286" s="2" t="inlineStr"/>
    </row>
    <row r="287" ht="15" customHeight="1">
      <c r="A287" t="inlineStr">
        <is>
          <t>A 35549-2025</t>
        </is>
      </c>
      <c r="B287" t="inlineStr">
        <is>
          <t>avverkningsanmälan</t>
        </is>
      </c>
      <c r="C287" t="inlineStr">
        <is>
          <t>Föryngringsavverkning</t>
        </is>
      </c>
      <c r="D287" s="1" t="n">
        <v>45856</v>
      </c>
      <c r="E287" s="1" t="n">
        <v>46216</v>
      </c>
      <c r="F287" t="inlineStr">
        <is>
          <t>VÄSTERBOTTENS LÄN</t>
        </is>
      </c>
      <c r="G287" t="inlineStr">
        <is>
          <t>ÅSELE</t>
        </is>
      </c>
      <c r="H287" t="inlineStr">
        <is>
          <t>Naturvårdsverket</t>
        </is>
      </c>
      <c r="I287" t="n">
        <v>2.4</v>
      </c>
      <c r="J287" t="n">
        <v>0</v>
      </c>
      <c r="K287" t="n">
        <v>0</v>
      </c>
      <c r="L287" t="n">
        <v>0</v>
      </c>
      <c r="M287" t="n">
        <v>0</v>
      </c>
      <c r="N287" t="n">
        <v>0</v>
      </c>
      <c r="O287" t="n">
        <v>0</v>
      </c>
      <c r="P287" t="n">
        <v>0</v>
      </c>
      <c r="Q287" t="n">
        <v>0</v>
      </c>
      <c r="R287" t="n">
        <v>0</v>
      </c>
      <c r="S287" t="n">
        <v>0</v>
      </c>
      <c r="T287" t="n">
        <v>0</v>
      </c>
      <c r="U287" s="2" t="inlineStr"/>
    </row>
    <row r="288" ht="15" customHeight="1">
      <c r="A288" t="inlineStr">
        <is>
          <t>A 46541-2025</t>
        </is>
      </c>
      <c r="B288" t="inlineStr">
        <is>
          <t>avverkningsanmälan</t>
        </is>
      </c>
      <c r="C288" t="inlineStr">
        <is>
          <t>Föryngringsavverkning</t>
        </is>
      </c>
      <c r="D288" s="1" t="n">
        <v>45926</v>
      </c>
      <c r="E288" s="1" t="n">
        <v>46216</v>
      </c>
      <c r="F288" t="inlineStr">
        <is>
          <t>VÄSTERBOTTENS LÄN</t>
        </is>
      </c>
      <c r="G288" t="inlineStr">
        <is>
          <t>ÅSELE</t>
        </is>
      </c>
      <c r="H288" t="inlineStr">
        <is>
          <t>SCA</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35556-2025</t>
        </is>
      </c>
      <c r="B289" t="inlineStr">
        <is>
          <t>avverkningsanmälan</t>
        </is>
      </c>
      <c r="C289" t="inlineStr">
        <is>
          <t>Föryngringsavverkning</t>
        </is>
      </c>
      <c r="D289" s="1" t="n">
        <v>45856</v>
      </c>
      <c r="E289" s="1" t="n">
        <v>46216</v>
      </c>
      <c r="F289" t="inlineStr">
        <is>
          <t>VÄSTERBOTTENS LÄN</t>
        </is>
      </c>
      <c r="G289" t="inlineStr">
        <is>
          <t>ÅSELE</t>
        </is>
      </c>
      <c r="H289" t="inlineStr">
        <is>
          <t>Naturvårdsverket</t>
        </is>
      </c>
      <c r="I289" t="n">
        <v>8.9</v>
      </c>
      <c r="J289" t="n">
        <v>0</v>
      </c>
      <c r="K289" t="n">
        <v>0</v>
      </c>
      <c r="L289" t="n">
        <v>0</v>
      </c>
      <c r="M289" t="n">
        <v>0</v>
      </c>
      <c r="N289" t="n">
        <v>0</v>
      </c>
      <c r="O289" t="n">
        <v>0</v>
      </c>
      <c r="P289" t="n">
        <v>0</v>
      </c>
      <c r="Q289" t="n">
        <v>0</v>
      </c>
      <c r="R289" t="n">
        <v>0</v>
      </c>
      <c r="S289" t="n">
        <v>0</v>
      </c>
      <c r="T289" t="n">
        <v>0</v>
      </c>
      <c r="U289" s="2" t="inlineStr"/>
    </row>
    <row r="290" ht="15" customHeight="1">
      <c r="A290" t="inlineStr">
        <is>
          <t>A 35554-2025</t>
        </is>
      </c>
      <c r="B290" t="inlineStr">
        <is>
          <t>avverkningsanmälan</t>
        </is>
      </c>
      <c r="C290" t="inlineStr">
        <is>
          <t>Föryngringsavverkning</t>
        </is>
      </c>
      <c r="D290" s="1" t="n">
        <v>45856</v>
      </c>
      <c r="E290" s="1" t="n">
        <v>46216</v>
      </c>
      <c r="F290" t="inlineStr">
        <is>
          <t>VÄSTERBOTTENS LÄN</t>
        </is>
      </c>
      <c r="G290" t="inlineStr">
        <is>
          <t>ÅSELE</t>
        </is>
      </c>
      <c r="H290" t="inlineStr">
        <is>
          <t>Holmen skog AB</t>
        </is>
      </c>
      <c r="I290" t="n">
        <v>4.7</v>
      </c>
      <c r="J290" t="n">
        <v>0</v>
      </c>
      <c r="K290" t="n">
        <v>0</v>
      </c>
      <c r="L290" t="n">
        <v>0</v>
      </c>
      <c r="M290" t="n">
        <v>0</v>
      </c>
      <c r="N290" t="n">
        <v>0</v>
      </c>
      <c r="O290" t="n">
        <v>0</v>
      </c>
      <c r="P290" t="n">
        <v>0</v>
      </c>
      <c r="Q290" t="n">
        <v>0</v>
      </c>
      <c r="R290" t="n">
        <v>0</v>
      </c>
      <c r="S290" t="n">
        <v>0</v>
      </c>
      <c r="T290" t="n">
        <v>0</v>
      </c>
      <c r="U290" s="2" t="inlineStr"/>
    </row>
    <row r="291" ht="15" customHeight="1">
      <c r="A291" t="inlineStr">
        <is>
          <t>A 48488-2023</t>
        </is>
      </c>
      <c r="B291" t="inlineStr">
        <is>
          <t>avverkningsanmälan</t>
        </is>
      </c>
      <c r="C291" t="inlineStr">
        <is>
          <t>Avverkning för annat ändamål</t>
        </is>
      </c>
      <c r="D291" s="1" t="n">
        <v>45206</v>
      </c>
      <c r="E291" s="1" t="n">
        <v>46216</v>
      </c>
      <c r="F291" t="inlineStr">
        <is>
          <t>VÄSTERBOTTENS LÄN</t>
        </is>
      </c>
      <c r="G291" t="inlineStr">
        <is>
          <t>ÅSELE</t>
        </is>
      </c>
      <c r="H291" t="inlineStr">
        <is>
          <t>SCA</t>
        </is>
      </c>
      <c r="I291" t="n">
        <v>8.199999999999999</v>
      </c>
      <c r="J291" t="n">
        <v>0</v>
      </c>
      <c r="K291" t="n">
        <v>0</v>
      </c>
      <c r="L291" t="n">
        <v>0</v>
      </c>
      <c r="M291" t="n">
        <v>0</v>
      </c>
      <c r="N291" t="n">
        <v>0</v>
      </c>
      <c r="O291" t="n">
        <v>0</v>
      </c>
      <c r="P291" t="n">
        <v>0</v>
      </c>
      <c r="Q291" t="n">
        <v>0</v>
      </c>
      <c r="R291" t="n">
        <v>0</v>
      </c>
      <c r="S291" t="n">
        <v>0</v>
      </c>
      <c r="T291" t="n">
        <v>0</v>
      </c>
      <c r="U291" s="2" t="inlineStr"/>
    </row>
    <row r="292" ht="15" customHeight="1">
      <c r="A292" t="inlineStr">
        <is>
          <t>A 47341-2025</t>
        </is>
      </c>
      <c r="B292" t="inlineStr">
        <is>
          <t>avverkningsanmälan</t>
        </is>
      </c>
      <c r="C292" t="inlineStr">
        <is>
          <t>Föryngringsavverkning</t>
        </is>
      </c>
      <c r="D292" s="1" t="n">
        <v>45930</v>
      </c>
      <c r="E292" s="1" t="n">
        <v>46216</v>
      </c>
      <c r="F292" t="inlineStr">
        <is>
          <t>VÄSTERBOTTENS LÄN</t>
        </is>
      </c>
      <c r="G292" t="inlineStr">
        <is>
          <t>ÅSELE</t>
        </is>
      </c>
      <c r="H292" t="inlineStr">
        <is>
          <t>Holmen skog AB</t>
        </is>
      </c>
      <c r="I292" t="n">
        <v>5.3</v>
      </c>
      <c r="J292" t="n">
        <v>0</v>
      </c>
      <c r="K292" t="n">
        <v>0</v>
      </c>
      <c r="L292" t="n">
        <v>0</v>
      </c>
      <c r="M292" t="n">
        <v>0</v>
      </c>
      <c r="N292" t="n">
        <v>0</v>
      </c>
      <c r="O292" t="n">
        <v>0</v>
      </c>
      <c r="P292" t="n">
        <v>0</v>
      </c>
      <c r="Q292" t="n">
        <v>0</v>
      </c>
      <c r="R292" t="n">
        <v>0</v>
      </c>
      <c r="S292" t="n">
        <v>0</v>
      </c>
      <c r="T292" t="n">
        <v>0</v>
      </c>
      <c r="U292" s="2" t="inlineStr"/>
    </row>
    <row r="293" ht="15" customHeight="1">
      <c r="A293" t="inlineStr">
        <is>
          <t>A 52103-2023</t>
        </is>
      </c>
      <c r="B293" t="inlineStr">
        <is>
          <t>avverkningsanmälan</t>
        </is>
      </c>
      <c r="C293" t="inlineStr">
        <is>
          <t>Föryngringsavverkning</t>
        </is>
      </c>
      <c r="D293" s="1" t="n">
        <v>45223</v>
      </c>
      <c r="E293" s="1" t="n">
        <v>46216</v>
      </c>
      <c r="F293" t="inlineStr">
        <is>
          <t>VÄSTERBOTTENS LÄN</t>
        </is>
      </c>
      <c r="G293" t="inlineStr">
        <is>
          <t>ÅSELE</t>
        </is>
      </c>
      <c r="H293" t="inlineStr">
        <is>
          <t>Holmen skog AB</t>
        </is>
      </c>
      <c r="I293" t="n">
        <v>4.1</v>
      </c>
      <c r="J293" t="n">
        <v>0</v>
      </c>
      <c r="K293" t="n">
        <v>0</v>
      </c>
      <c r="L293" t="n">
        <v>0</v>
      </c>
      <c r="M293" t="n">
        <v>0</v>
      </c>
      <c r="N293" t="n">
        <v>0</v>
      </c>
      <c r="O293" t="n">
        <v>0</v>
      </c>
      <c r="P293" t="n">
        <v>0</v>
      </c>
      <c r="Q293" t="n">
        <v>0</v>
      </c>
      <c r="R293" t="n">
        <v>0</v>
      </c>
      <c r="S293" t="n">
        <v>0</v>
      </c>
      <c r="T293" t="n">
        <v>0</v>
      </c>
      <c r="U293" s="2" t="inlineStr"/>
    </row>
    <row r="294" ht="15" customHeight="1">
      <c r="A294" t="inlineStr">
        <is>
          <t>A 36275-2025</t>
        </is>
      </c>
      <c r="B294" t="inlineStr">
        <is>
          <t>avverkningsanmälan</t>
        </is>
      </c>
      <c r="C294" t="inlineStr">
        <is>
          <t>Föryngringsavverkning</t>
        </is>
      </c>
      <c r="D294" s="1" t="n">
        <v>45867</v>
      </c>
      <c r="E294" s="1" t="n">
        <v>46216</v>
      </c>
      <c r="F294" t="inlineStr">
        <is>
          <t>VÄSTERBOTTENS LÄN</t>
        </is>
      </c>
      <c r="G294" t="inlineStr">
        <is>
          <t>ÅSELE</t>
        </is>
      </c>
      <c r="H294" t="inlineStr">
        <is>
          <t>SCA</t>
        </is>
      </c>
      <c r="I294" t="n">
        <v>3.8</v>
      </c>
      <c r="J294" t="n">
        <v>0</v>
      </c>
      <c r="K294" t="n">
        <v>0</v>
      </c>
      <c r="L294" t="n">
        <v>0</v>
      </c>
      <c r="M294" t="n">
        <v>0</v>
      </c>
      <c r="N294" t="n">
        <v>0</v>
      </c>
      <c r="O294" t="n">
        <v>0</v>
      </c>
      <c r="P294" t="n">
        <v>0</v>
      </c>
      <c r="Q294" t="n">
        <v>0</v>
      </c>
      <c r="R294" t="n">
        <v>0</v>
      </c>
      <c r="S294" t="n">
        <v>0</v>
      </c>
      <c r="T294" t="n">
        <v>0</v>
      </c>
      <c r="U294" s="2" t="inlineStr"/>
    </row>
    <row r="295" ht="15" customHeight="1">
      <c r="A295" t="inlineStr">
        <is>
          <t>A 47825-2025</t>
        </is>
      </c>
      <c r="B295" t="inlineStr">
        <is>
          <t>avverkningsanmälan</t>
        </is>
      </c>
      <c r="C295" t="inlineStr">
        <is>
          <t>Föryngringsavverkning</t>
        </is>
      </c>
      <c r="D295" s="1" t="n">
        <v>45932</v>
      </c>
      <c r="E295" s="1" t="n">
        <v>46216</v>
      </c>
      <c r="F295" t="inlineStr">
        <is>
          <t>VÄSTERBOTTENS LÄN</t>
        </is>
      </c>
      <c r="G295" t="inlineStr">
        <is>
          <t>ÅSELE</t>
        </is>
      </c>
      <c r="H295" t="inlineStr">
        <is>
          <t>SCA</t>
        </is>
      </c>
      <c r="I295" t="n">
        <v>8.4</v>
      </c>
      <c r="J295" t="n">
        <v>0</v>
      </c>
      <c r="K295" t="n">
        <v>0</v>
      </c>
      <c r="L295" t="n">
        <v>0</v>
      </c>
      <c r="M295" t="n">
        <v>0</v>
      </c>
      <c r="N295" t="n">
        <v>0</v>
      </c>
      <c r="O295" t="n">
        <v>0</v>
      </c>
      <c r="P295" t="n">
        <v>0</v>
      </c>
      <c r="Q295" t="n">
        <v>0</v>
      </c>
      <c r="R295" t="n">
        <v>0</v>
      </c>
      <c r="S295" t="n">
        <v>0</v>
      </c>
      <c r="T295" t="n">
        <v>0</v>
      </c>
      <c r="U295" s="2" t="inlineStr"/>
    </row>
    <row r="296" ht="15" customHeight="1">
      <c r="A296" t="inlineStr">
        <is>
          <t>A 36174-2025</t>
        </is>
      </c>
      <c r="B296" t="inlineStr">
        <is>
          <t>avverkningsanmälan</t>
        </is>
      </c>
      <c r="C296" t="inlineStr">
        <is>
          <t>Föryngringsavverkning</t>
        </is>
      </c>
      <c r="D296" s="1" t="n">
        <v>45867</v>
      </c>
      <c r="E296" s="1" t="n">
        <v>46216</v>
      </c>
      <c r="F296" t="inlineStr">
        <is>
          <t>VÄSTERBOTTENS LÄN</t>
        </is>
      </c>
      <c r="G296" t="inlineStr">
        <is>
          <t>ÅSELE</t>
        </is>
      </c>
      <c r="H296" t="inlineStr">
        <is>
          <t>Holmen skog AB</t>
        </is>
      </c>
      <c r="I296" t="n">
        <v>4.5</v>
      </c>
      <c r="J296" t="n">
        <v>0</v>
      </c>
      <c r="K296" t="n">
        <v>0</v>
      </c>
      <c r="L296" t="n">
        <v>0</v>
      </c>
      <c r="M296" t="n">
        <v>0</v>
      </c>
      <c r="N296" t="n">
        <v>0</v>
      </c>
      <c r="O296" t="n">
        <v>0</v>
      </c>
      <c r="P296" t="n">
        <v>0</v>
      </c>
      <c r="Q296" t="n">
        <v>0</v>
      </c>
      <c r="R296" t="n">
        <v>0</v>
      </c>
      <c r="S296" t="n">
        <v>0</v>
      </c>
      <c r="T296" t="n">
        <v>0</v>
      </c>
      <c r="U296" s="2" t="inlineStr"/>
    </row>
    <row r="297" ht="15" customHeight="1">
      <c r="A297" t="inlineStr">
        <is>
          <t>A 60873-2022</t>
        </is>
      </c>
      <c r="B297" t="inlineStr">
        <is>
          <t>avverkningsanmälan</t>
        </is>
      </c>
      <c r="C297" t="inlineStr">
        <is>
          <t>Föryngringsavverkning</t>
        </is>
      </c>
      <c r="D297" s="1" t="n">
        <v>44908</v>
      </c>
      <c r="E297" s="1" t="n">
        <v>46216</v>
      </c>
      <c r="F297" t="inlineStr">
        <is>
          <t>VÄSTERBOTTENS LÄN</t>
        </is>
      </c>
      <c r="G297" t="inlineStr">
        <is>
          <t>ÅSELE</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36198-2025</t>
        </is>
      </c>
      <c r="B298" t="inlineStr">
        <is>
          <t>avverkningsanmälan</t>
        </is>
      </c>
      <c r="C298" t="inlineStr">
        <is>
          <t>Föryngringsavverkning</t>
        </is>
      </c>
      <c r="D298" s="1" t="n">
        <v>45867</v>
      </c>
      <c r="E298" s="1" t="n">
        <v>46216</v>
      </c>
      <c r="F298" t="inlineStr">
        <is>
          <t>VÄSTERBOTTENS LÄN</t>
        </is>
      </c>
      <c r="G298" t="inlineStr">
        <is>
          <t>ÅSELE</t>
        </is>
      </c>
      <c r="H298" t="inlineStr">
        <is>
          <t>Holmen skog AB</t>
        </is>
      </c>
      <c r="I298" t="n">
        <v>14.9</v>
      </c>
      <c r="J298" t="n">
        <v>0</v>
      </c>
      <c r="K298" t="n">
        <v>0</v>
      </c>
      <c r="L298" t="n">
        <v>0</v>
      </c>
      <c r="M298" t="n">
        <v>0</v>
      </c>
      <c r="N298" t="n">
        <v>0</v>
      </c>
      <c r="O298" t="n">
        <v>0</v>
      </c>
      <c r="P298" t="n">
        <v>0</v>
      </c>
      <c r="Q298" t="n">
        <v>0</v>
      </c>
      <c r="R298" t="n">
        <v>0</v>
      </c>
      <c r="S298" t="n">
        <v>0</v>
      </c>
      <c r="T298" t="n">
        <v>0</v>
      </c>
      <c r="U298" s="2" t="inlineStr"/>
    </row>
    <row r="299" ht="15" customHeight="1">
      <c r="A299" t="inlineStr">
        <is>
          <t>A 36220-2025</t>
        </is>
      </c>
      <c r="B299" t="inlineStr">
        <is>
          <t>avverkningsanmälan</t>
        </is>
      </c>
      <c r="C299" t="inlineStr">
        <is>
          <t>Föryngringsavverkning</t>
        </is>
      </c>
      <c r="D299" s="1" t="n">
        <v>45867</v>
      </c>
      <c r="E299" s="1" t="n">
        <v>46216</v>
      </c>
      <c r="F299" t="inlineStr">
        <is>
          <t>VÄSTERBOTTENS LÄN</t>
        </is>
      </c>
      <c r="G299" t="inlineStr">
        <is>
          <t>ÅSELE</t>
        </is>
      </c>
      <c r="H299" t="inlineStr">
        <is>
          <t>Holmen skog AB</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36400-2025</t>
        </is>
      </c>
      <c r="B300" t="inlineStr">
        <is>
          <t>avverkningsanmälan</t>
        </is>
      </c>
      <c r="C300" t="inlineStr">
        <is>
          <t>Föryngringsavverkning</t>
        </is>
      </c>
      <c r="D300" s="1" t="n">
        <v>45868</v>
      </c>
      <c r="E300" s="1" t="n">
        <v>46216</v>
      </c>
      <c r="F300" t="inlineStr">
        <is>
          <t>VÄSTERBOTTENS LÄN</t>
        </is>
      </c>
      <c r="G300" t="inlineStr">
        <is>
          <t>ÅSELE</t>
        </is>
      </c>
      <c r="H300" t="inlineStr">
        <is>
          <t>Holmen skog AB</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36393-2025</t>
        </is>
      </c>
      <c r="B301" t="inlineStr">
        <is>
          <t>avverkningsanmälan</t>
        </is>
      </c>
      <c r="C301" t="inlineStr">
        <is>
          <t>Föryngringsavverkning</t>
        </is>
      </c>
      <c r="D301" s="1" t="n">
        <v>45868</v>
      </c>
      <c r="E301" s="1" t="n">
        <v>46216</v>
      </c>
      <c r="F301" t="inlineStr">
        <is>
          <t>VÄSTERBOTTENS LÄN</t>
        </is>
      </c>
      <c r="G301" t="inlineStr">
        <is>
          <t>ÅSELE</t>
        </is>
      </c>
      <c r="H301" t="inlineStr">
        <is>
          <t>Holmen skog AB</t>
        </is>
      </c>
      <c r="I301" t="n">
        <v>4.7</v>
      </c>
      <c r="J301" t="n">
        <v>0</v>
      </c>
      <c r="K301" t="n">
        <v>0</v>
      </c>
      <c r="L301" t="n">
        <v>0</v>
      </c>
      <c r="M301" t="n">
        <v>0</v>
      </c>
      <c r="N301" t="n">
        <v>0</v>
      </c>
      <c r="O301" t="n">
        <v>0</v>
      </c>
      <c r="P301" t="n">
        <v>0</v>
      </c>
      <c r="Q301" t="n">
        <v>0</v>
      </c>
      <c r="R301" t="n">
        <v>0</v>
      </c>
      <c r="S301" t="n">
        <v>0</v>
      </c>
      <c r="T301" t="n">
        <v>0</v>
      </c>
      <c r="U301" s="2" t="inlineStr"/>
    </row>
    <row r="302" ht="15" customHeight="1">
      <c r="A302" t="inlineStr">
        <is>
          <t>A 25713-2024</t>
        </is>
      </c>
      <c r="B302" t="inlineStr">
        <is>
          <t>avverkningsanmälan</t>
        </is>
      </c>
      <c r="C302" t="inlineStr">
        <is>
          <t>Föryngringsavverkning</t>
        </is>
      </c>
      <c r="D302" s="1" t="n">
        <v>45463</v>
      </c>
      <c r="E302" s="1" t="n">
        <v>46216</v>
      </c>
      <c r="F302" t="inlineStr">
        <is>
          <t>VÄSTERBOTTENS LÄN</t>
        </is>
      </c>
      <c r="G302" t="inlineStr">
        <is>
          <t>ÅSELE</t>
        </is>
      </c>
      <c r="H302" t="inlineStr">
        <is>
          <t>SCA</t>
        </is>
      </c>
      <c r="I302" t="n">
        <v>7.7</v>
      </c>
      <c r="J302" t="n">
        <v>0</v>
      </c>
      <c r="K302" t="n">
        <v>0</v>
      </c>
      <c r="L302" t="n">
        <v>0</v>
      </c>
      <c r="M302" t="n">
        <v>0</v>
      </c>
      <c r="N302" t="n">
        <v>0</v>
      </c>
      <c r="O302" t="n">
        <v>0</v>
      </c>
      <c r="P302" t="n">
        <v>0</v>
      </c>
      <c r="Q302" t="n">
        <v>0</v>
      </c>
      <c r="R302" t="n">
        <v>0</v>
      </c>
      <c r="S302" t="n">
        <v>0</v>
      </c>
      <c r="T302" t="n">
        <v>0</v>
      </c>
      <c r="U302" s="2" t="inlineStr"/>
    </row>
    <row r="303" ht="15" customHeight="1">
      <c r="A303" t="inlineStr">
        <is>
          <t>A 36413-2025</t>
        </is>
      </c>
      <c r="B303" t="inlineStr">
        <is>
          <t>avverkningsanmälan</t>
        </is>
      </c>
      <c r="C303" t="inlineStr">
        <is>
          <t>Föryngringsavverkning</t>
        </is>
      </c>
      <c r="D303" s="1" t="n">
        <v>45868</v>
      </c>
      <c r="E303" s="1" t="n">
        <v>46216</v>
      </c>
      <c r="F303" t="inlineStr">
        <is>
          <t>VÄSTERBOTTENS LÄN</t>
        </is>
      </c>
      <c r="G303" t="inlineStr">
        <is>
          <t>ÅSELE</t>
        </is>
      </c>
      <c r="H303" t="inlineStr">
        <is>
          <t>Holmen skog AB</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47823-2025</t>
        </is>
      </c>
      <c r="B304" t="inlineStr">
        <is>
          <t>avverkningsanmälan</t>
        </is>
      </c>
      <c r="C304" t="inlineStr">
        <is>
          <t>Föryngringsavverkning</t>
        </is>
      </c>
      <c r="D304" s="1" t="n">
        <v>45932</v>
      </c>
      <c r="E304" s="1" t="n">
        <v>46216</v>
      </c>
      <c r="F304" t="inlineStr">
        <is>
          <t>VÄSTERBOTTENS LÄN</t>
        </is>
      </c>
      <c r="G304" t="inlineStr">
        <is>
          <t>ÅSELE</t>
        </is>
      </c>
      <c r="H304" t="inlineStr">
        <is>
          <t>SCA</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31541-2024</t>
        </is>
      </c>
      <c r="B305" t="inlineStr">
        <is>
          <t>avverkningsanmälan</t>
        </is>
      </c>
      <c r="C305" t="inlineStr">
        <is>
          <t>Avverkning för att bevara och utveckla /försöksver</t>
        </is>
      </c>
      <c r="D305" s="1" t="n">
        <v>45505</v>
      </c>
      <c r="E305" s="1" t="n">
        <v>46216</v>
      </c>
      <c r="F305" t="inlineStr">
        <is>
          <t>VÄSTERBOTTENS LÄN</t>
        </is>
      </c>
      <c r="G305" t="inlineStr">
        <is>
          <t>ÅSELE</t>
        </is>
      </c>
      <c r="H305" t="inlineStr">
        <is>
          <t>SCA</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31193-2023</t>
        </is>
      </c>
      <c r="B306" t="inlineStr">
        <is>
          <t>avverkningsanmälan</t>
        </is>
      </c>
      <c r="C306" t="inlineStr">
        <is>
          <t>Föryngringsavverkning</t>
        </is>
      </c>
      <c r="D306" s="1" t="n">
        <v>45113</v>
      </c>
      <c r="E306" s="1" t="n">
        <v>46216</v>
      </c>
      <c r="F306" t="inlineStr">
        <is>
          <t>VÄSTERBOTTENS LÄN</t>
        </is>
      </c>
      <c r="G306" t="inlineStr">
        <is>
          <t>ÅSELE</t>
        </is>
      </c>
      <c r="H306" t="inlineStr">
        <is>
          <t>SCA</t>
        </is>
      </c>
      <c r="I306" t="n">
        <v>4.8</v>
      </c>
      <c r="J306" t="n">
        <v>0</v>
      </c>
      <c r="K306" t="n">
        <v>0</v>
      </c>
      <c r="L306" t="n">
        <v>0</v>
      </c>
      <c r="M306" t="n">
        <v>0</v>
      </c>
      <c r="N306" t="n">
        <v>0</v>
      </c>
      <c r="O306" t="n">
        <v>0</v>
      </c>
      <c r="P306" t="n">
        <v>0</v>
      </c>
      <c r="Q306" t="n">
        <v>0</v>
      </c>
      <c r="R306" t="n">
        <v>0</v>
      </c>
      <c r="S306" t="n">
        <v>0</v>
      </c>
      <c r="T306" t="n">
        <v>0</v>
      </c>
      <c r="U306" s="2" t="inlineStr"/>
    </row>
    <row r="307" ht="15" customHeight="1">
      <c r="A307" t="inlineStr">
        <is>
          <t>A 36634-2025</t>
        </is>
      </c>
      <c r="B307" t="inlineStr">
        <is>
          <t>avverkningsanmälan</t>
        </is>
      </c>
      <c r="C307" t="inlineStr">
        <is>
          <t>Föryngringsavverkning</t>
        </is>
      </c>
      <c r="D307" s="1" t="n">
        <v>45870</v>
      </c>
      <c r="E307" s="1" t="n">
        <v>46216</v>
      </c>
      <c r="F307" t="inlineStr">
        <is>
          <t>VÄSTERBOTTENS LÄN</t>
        </is>
      </c>
      <c r="G307" t="inlineStr">
        <is>
          <t>ÅSELE</t>
        </is>
      </c>
      <c r="H307" t="inlineStr">
        <is>
          <t>Holmen skog AB</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48945-2025</t>
        </is>
      </c>
      <c r="B308" t="inlineStr">
        <is>
          <t>avverkningsanmälan</t>
        </is>
      </c>
      <c r="C308" t="inlineStr">
        <is>
          <t>Föryngringsavverkning</t>
        </is>
      </c>
      <c r="D308" s="1" t="n">
        <v>45937</v>
      </c>
      <c r="E308" s="1" t="n">
        <v>46216</v>
      </c>
      <c r="F308" t="inlineStr">
        <is>
          <t>VÄSTERBOTTENS LÄN</t>
        </is>
      </c>
      <c r="G308" t="inlineStr">
        <is>
          <t>ÅSELE</t>
        </is>
      </c>
      <c r="H308" t="inlineStr">
        <is>
          <t>Holmen skog AB</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24958-2025</t>
        </is>
      </c>
      <c r="B309" t="inlineStr">
        <is>
          <t>avverkningsanmälan</t>
        </is>
      </c>
      <c r="C309" t="inlineStr">
        <is>
          <t>Föryngringsavverkning</t>
        </is>
      </c>
      <c r="D309" s="1" t="n">
        <v>45799</v>
      </c>
      <c r="E309" s="1" t="n">
        <v>46216</v>
      </c>
      <c r="F309" t="inlineStr">
        <is>
          <t>VÄSTERBOTTENS LÄN</t>
        </is>
      </c>
      <c r="G309" t="inlineStr">
        <is>
          <t>ÅSELE</t>
        </is>
      </c>
      <c r="I309" t="n">
        <v>2.9</v>
      </c>
      <c r="J309" t="n">
        <v>0</v>
      </c>
      <c r="K309" t="n">
        <v>0</v>
      </c>
      <c r="L309" t="n">
        <v>0</v>
      </c>
      <c r="M309" t="n">
        <v>0</v>
      </c>
      <c r="N309" t="n">
        <v>0</v>
      </c>
      <c r="O309" t="n">
        <v>0</v>
      </c>
      <c r="P309" t="n">
        <v>0</v>
      </c>
      <c r="Q309" t="n">
        <v>0</v>
      </c>
      <c r="R309" t="n">
        <v>0</v>
      </c>
      <c r="S309" t="n">
        <v>0</v>
      </c>
      <c r="T309" t="n">
        <v>0</v>
      </c>
      <c r="U309" s="2" t="inlineStr"/>
    </row>
    <row r="310" ht="15" customHeight="1">
      <c r="A310" t="inlineStr">
        <is>
          <t>A 49482-2025</t>
        </is>
      </c>
      <c r="B310" t="inlineStr">
        <is>
          <t>avverkningsanmälan</t>
        </is>
      </c>
      <c r="C310" t="inlineStr">
        <is>
          <t>Föryngringsavverkning</t>
        </is>
      </c>
      <c r="D310" s="1" t="n">
        <v>45939</v>
      </c>
      <c r="E310" s="1" t="n">
        <v>46216</v>
      </c>
      <c r="F310" t="inlineStr">
        <is>
          <t>VÄSTERBOTTENS LÄN</t>
        </is>
      </c>
      <c r="G310" t="inlineStr">
        <is>
          <t>ÅSELE</t>
        </is>
      </c>
      <c r="H310" t="inlineStr">
        <is>
          <t>Sveaskog</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49028-2025</t>
        </is>
      </c>
      <c r="B311" t="inlineStr">
        <is>
          <t>avverkningsanmälan</t>
        </is>
      </c>
      <c r="C311" t="inlineStr">
        <is>
          <t>Föryngringsavverkning</t>
        </is>
      </c>
      <c r="D311" s="1" t="n">
        <v>45937</v>
      </c>
      <c r="E311" s="1" t="n">
        <v>46216</v>
      </c>
      <c r="F311" t="inlineStr">
        <is>
          <t>VÄSTERBOTTENS LÄN</t>
        </is>
      </c>
      <c r="G311" t="inlineStr">
        <is>
          <t>ÅSELE</t>
        </is>
      </c>
      <c r="H311" t="inlineStr">
        <is>
          <t>Holmen skog AB</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49174-2025</t>
        </is>
      </c>
      <c r="B312" t="inlineStr">
        <is>
          <t>avverkningsanmälan</t>
        </is>
      </c>
      <c r="C312" t="inlineStr">
        <is>
          <t>Föryngringsavverkning</t>
        </is>
      </c>
      <c r="D312" s="1" t="n">
        <v>45938</v>
      </c>
      <c r="E312" s="1" t="n">
        <v>46216</v>
      </c>
      <c r="F312" t="inlineStr">
        <is>
          <t>VÄSTERBOTTENS LÄN</t>
        </is>
      </c>
      <c r="G312" t="inlineStr">
        <is>
          <t>ÅSELE</t>
        </is>
      </c>
      <c r="H312" t="inlineStr">
        <is>
          <t>Holmen skog AB</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48786-2025</t>
        </is>
      </c>
      <c r="B313" t="inlineStr">
        <is>
          <t>avverkningsanmälan</t>
        </is>
      </c>
      <c r="C313" t="inlineStr">
        <is>
          <t>Föryngringsavverkning</t>
        </is>
      </c>
      <c r="D313" s="1" t="n">
        <v>45937</v>
      </c>
      <c r="E313" s="1" t="n">
        <v>46216</v>
      </c>
      <c r="F313" t="inlineStr">
        <is>
          <t>VÄSTERBOTTENS LÄN</t>
        </is>
      </c>
      <c r="G313" t="inlineStr">
        <is>
          <t>ÅSELE</t>
        </is>
      </c>
      <c r="H313" t="inlineStr">
        <is>
          <t>Holmen skog AB</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4093-2023</t>
        </is>
      </c>
      <c r="B314" t="inlineStr">
        <is>
          <t>avverkningsanmälan</t>
        </is>
      </c>
      <c r="C314" t="inlineStr">
        <is>
          <t>Föryngringsavverkning</t>
        </is>
      </c>
      <c r="D314" s="1" t="n">
        <v>44952</v>
      </c>
      <c r="E314" s="1" t="n">
        <v>46216</v>
      </c>
      <c r="F314" t="inlineStr">
        <is>
          <t>VÄSTERBOTTENS LÄN</t>
        </is>
      </c>
      <c r="G314" t="inlineStr">
        <is>
          <t>ÅSELE</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49623-2025</t>
        </is>
      </c>
      <c r="B315" t="inlineStr">
        <is>
          <t>avverkningsanmälan</t>
        </is>
      </c>
      <c r="C315" t="inlineStr">
        <is>
          <t>Föryngringsavverkning</t>
        </is>
      </c>
      <c r="D315" s="1" t="n">
        <v>45939</v>
      </c>
      <c r="E315" s="1" t="n">
        <v>46216</v>
      </c>
      <c r="F315" t="inlineStr">
        <is>
          <t>VÄSTERBOTTENS LÄN</t>
        </is>
      </c>
      <c r="G315" t="inlineStr">
        <is>
          <t>ÅSELE</t>
        </is>
      </c>
      <c r="H315" t="inlineStr">
        <is>
          <t>Holmen skog AB</t>
        </is>
      </c>
      <c r="I315" t="n">
        <v>4</v>
      </c>
      <c r="J315" t="n">
        <v>0</v>
      </c>
      <c r="K315" t="n">
        <v>0</v>
      </c>
      <c r="L315" t="n">
        <v>0</v>
      </c>
      <c r="M315" t="n">
        <v>0</v>
      </c>
      <c r="N315" t="n">
        <v>0</v>
      </c>
      <c r="O315" t="n">
        <v>0</v>
      </c>
      <c r="P315" t="n">
        <v>0</v>
      </c>
      <c r="Q315" t="n">
        <v>0</v>
      </c>
      <c r="R315" t="n">
        <v>0</v>
      </c>
      <c r="S315" t="n">
        <v>0</v>
      </c>
      <c r="T315" t="n">
        <v>0</v>
      </c>
      <c r="U315" s="2" t="inlineStr"/>
    </row>
    <row r="316" ht="15" customHeight="1">
      <c r="A316" t="inlineStr">
        <is>
          <t>A 49465-2025</t>
        </is>
      </c>
      <c r="B316" t="inlineStr">
        <is>
          <t>avverkningsanmälan</t>
        </is>
      </c>
      <c r="C316" t="inlineStr">
        <is>
          <t>Föryngringsavverkning</t>
        </is>
      </c>
      <c r="D316" s="1" t="n">
        <v>45939</v>
      </c>
      <c r="E316" s="1" t="n">
        <v>46216</v>
      </c>
      <c r="F316" t="inlineStr">
        <is>
          <t>VÄSTERBOTTENS LÄN</t>
        </is>
      </c>
      <c r="G316" t="inlineStr">
        <is>
          <t>ÅSELE</t>
        </is>
      </c>
      <c r="H316" t="inlineStr">
        <is>
          <t>Holmen skog AB</t>
        </is>
      </c>
      <c r="I316" t="n">
        <v>7</v>
      </c>
      <c r="J316" t="n">
        <v>0</v>
      </c>
      <c r="K316" t="n">
        <v>0</v>
      </c>
      <c r="L316" t="n">
        <v>0</v>
      </c>
      <c r="M316" t="n">
        <v>0</v>
      </c>
      <c r="N316" t="n">
        <v>0</v>
      </c>
      <c r="O316" t="n">
        <v>0</v>
      </c>
      <c r="P316" t="n">
        <v>0</v>
      </c>
      <c r="Q316" t="n">
        <v>0</v>
      </c>
      <c r="R316" t="n">
        <v>0</v>
      </c>
      <c r="S316" t="n">
        <v>0</v>
      </c>
      <c r="T316" t="n">
        <v>0</v>
      </c>
      <c r="U316" s="2" t="inlineStr"/>
    </row>
    <row r="317" ht="15" customHeight="1">
      <c r="A317" t="inlineStr">
        <is>
          <t>A 48878-2025</t>
        </is>
      </c>
      <c r="B317" t="inlineStr">
        <is>
          <t>avverkningsanmälan</t>
        </is>
      </c>
      <c r="C317" t="inlineStr">
        <is>
          <t>Föryngringsavverkning</t>
        </is>
      </c>
      <c r="D317" s="1" t="n">
        <v>45937</v>
      </c>
      <c r="E317" s="1" t="n">
        <v>46216</v>
      </c>
      <c r="F317" t="inlineStr">
        <is>
          <t>VÄSTERBOTTENS LÄN</t>
        </is>
      </c>
      <c r="G317" t="inlineStr">
        <is>
          <t>ÅSELE</t>
        </is>
      </c>
      <c r="H317" t="inlineStr">
        <is>
          <t>Sveaskog</t>
        </is>
      </c>
      <c r="I317" t="n">
        <v>16.6</v>
      </c>
      <c r="J317" t="n">
        <v>0</v>
      </c>
      <c r="K317" t="n">
        <v>0</v>
      </c>
      <c r="L317" t="n">
        <v>0</v>
      </c>
      <c r="M317" t="n">
        <v>0</v>
      </c>
      <c r="N317" t="n">
        <v>0</v>
      </c>
      <c r="O317" t="n">
        <v>0</v>
      </c>
      <c r="P317" t="n">
        <v>0</v>
      </c>
      <c r="Q317" t="n">
        <v>0</v>
      </c>
      <c r="R317" t="n">
        <v>0</v>
      </c>
      <c r="S317" t="n">
        <v>0</v>
      </c>
      <c r="T317" t="n">
        <v>0</v>
      </c>
      <c r="U317" s="2" t="inlineStr"/>
    </row>
    <row r="318" ht="15" customHeight="1">
      <c r="A318" t="inlineStr">
        <is>
          <t>A 49208-2025</t>
        </is>
      </c>
      <c r="B318" t="inlineStr">
        <is>
          <t>avverkningsanmälan</t>
        </is>
      </c>
      <c r="C318" t="inlineStr">
        <is>
          <t>Föryngringsavverkning</t>
        </is>
      </c>
      <c r="D318" s="1" t="n">
        <v>45938</v>
      </c>
      <c r="E318" s="1" t="n">
        <v>46216</v>
      </c>
      <c r="F318" t="inlineStr">
        <is>
          <t>VÄSTERBOTTENS LÄN</t>
        </is>
      </c>
      <c r="G318" t="inlineStr">
        <is>
          <t>ÅSELE</t>
        </is>
      </c>
      <c r="H318" t="inlineStr">
        <is>
          <t>Holmen skog AB</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49210-2025</t>
        </is>
      </c>
      <c r="B319" t="inlineStr">
        <is>
          <t>avverkningsanmälan</t>
        </is>
      </c>
      <c r="C319" t="inlineStr">
        <is>
          <t>Föryngringsavverkning</t>
        </is>
      </c>
      <c r="D319" s="1" t="n">
        <v>45938</v>
      </c>
      <c r="E319" s="1" t="n">
        <v>46216</v>
      </c>
      <c r="F319" t="inlineStr">
        <is>
          <t>VÄSTERBOTTENS LÄN</t>
        </is>
      </c>
      <c r="G319" t="inlineStr">
        <is>
          <t>ÅSELE</t>
        </is>
      </c>
      <c r="H319" t="inlineStr">
        <is>
          <t>Holmen skog AB</t>
        </is>
      </c>
      <c r="I319" t="n">
        <v>2.9</v>
      </c>
      <c r="J319" t="n">
        <v>0</v>
      </c>
      <c r="K319" t="n">
        <v>0</v>
      </c>
      <c r="L319" t="n">
        <v>0</v>
      </c>
      <c r="M319" t="n">
        <v>0</v>
      </c>
      <c r="N319" t="n">
        <v>0</v>
      </c>
      <c r="O319" t="n">
        <v>0</v>
      </c>
      <c r="P319" t="n">
        <v>0</v>
      </c>
      <c r="Q319" t="n">
        <v>0</v>
      </c>
      <c r="R319" t="n">
        <v>0</v>
      </c>
      <c r="S319" t="n">
        <v>0</v>
      </c>
      <c r="T319" t="n">
        <v>0</v>
      </c>
      <c r="U319" s="2" t="inlineStr"/>
    </row>
    <row r="320" ht="15" customHeight="1">
      <c r="A320" t="inlineStr">
        <is>
          <t>A 30058-2024</t>
        </is>
      </c>
      <c r="B320" t="inlineStr">
        <is>
          <t>avverkningsanmälan</t>
        </is>
      </c>
      <c r="C320" t="inlineStr">
        <is>
          <t>Avverkning för att bevara och utveckla /försöksver</t>
        </is>
      </c>
      <c r="D320" s="1" t="n">
        <v>45488</v>
      </c>
      <c r="E320" s="1" t="n">
        <v>46216</v>
      </c>
      <c r="F320" t="inlineStr">
        <is>
          <t>VÄSTERBOTTENS LÄN</t>
        </is>
      </c>
      <c r="G320" t="inlineStr">
        <is>
          <t>ÅSELE</t>
        </is>
      </c>
      <c r="H320" t="inlineStr">
        <is>
          <t>SCA</t>
        </is>
      </c>
      <c r="I320" t="n">
        <v>7.6</v>
      </c>
      <c r="J320" t="n">
        <v>0</v>
      </c>
      <c r="K320" t="n">
        <v>0</v>
      </c>
      <c r="L320" t="n">
        <v>0</v>
      </c>
      <c r="M320" t="n">
        <v>0</v>
      </c>
      <c r="N320" t="n">
        <v>0</v>
      </c>
      <c r="O320" t="n">
        <v>0</v>
      </c>
      <c r="P320" t="n">
        <v>0</v>
      </c>
      <c r="Q320" t="n">
        <v>0</v>
      </c>
      <c r="R320" t="n">
        <v>0</v>
      </c>
      <c r="S320" t="n">
        <v>0</v>
      </c>
      <c r="T320" t="n">
        <v>0</v>
      </c>
      <c r="U320" s="2" t="inlineStr"/>
    </row>
    <row r="321" ht="15" customHeight="1">
      <c r="A321" t="inlineStr">
        <is>
          <t>A 28977-2024</t>
        </is>
      </c>
      <c r="B321" t="inlineStr">
        <is>
          <t>avverkningsanmälan</t>
        </is>
      </c>
      <c r="C321" t="inlineStr">
        <is>
          <t>Föryngringsavverkning</t>
        </is>
      </c>
      <c r="D321" s="1" t="n">
        <v>45481</v>
      </c>
      <c r="E321" s="1" t="n">
        <v>46216</v>
      </c>
      <c r="F321" t="inlineStr">
        <is>
          <t>VÄSTERBOTTENS LÄN</t>
        </is>
      </c>
      <c r="G321" t="inlineStr">
        <is>
          <t>ÅSELE</t>
        </is>
      </c>
      <c r="H321" t="inlineStr">
        <is>
          <t>Sveaskog</t>
        </is>
      </c>
      <c r="I321" t="n">
        <v>5.4</v>
      </c>
      <c r="J321" t="n">
        <v>0</v>
      </c>
      <c r="K321" t="n">
        <v>0</v>
      </c>
      <c r="L321" t="n">
        <v>0</v>
      </c>
      <c r="M321" t="n">
        <v>0</v>
      </c>
      <c r="N321" t="n">
        <v>0</v>
      </c>
      <c r="O321" t="n">
        <v>0</v>
      </c>
      <c r="P321" t="n">
        <v>0</v>
      </c>
      <c r="Q321" t="n">
        <v>0</v>
      </c>
      <c r="R321" t="n">
        <v>0</v>
      </c>
      <c r="S321" t="n">
        <v>0</v>
      </c>
      <c r="T321" t="n">
        <v>0</v>
      </c>
      <c r="U321" s="2" t="inlineStr"/>
    </row>
    <row r="322" ht="15" customHeight="1">
      <c r="A322" t="inlineStr">
        <is>
          <t>A 38449-2025</t>
        </is>
      </c>
      <c r="B322" t="inlineStr">
        <is>
          <t>avverkningsanmälan</t>
        </is>
      </c>
      <c r="C322" t="inlineStr">
        <is>
          <t>Föryngringsavverkning</t>
        </is>
      </c>
      <c r="D322" s="1" t="n">
        <v>45883</v>
      </c>
      <c r="E322" s="1" t="n">
        <v>46216</v>
      </c>
      <c r="F322" t="inlineStr">
        <is>
          <t>VÄSTERBOTTENS LÄN</t>
        </is>
      </c>
      <c r="G322" t="inlineStr">
        <is>
          <t>ÅSELE</t>
        </is>
      </c>
      <c r="H322" t="inlineStr">
        <is>
          <t>SCA</t>
        </is>
      </c>
      <c r="I322" t="n">
        <v>6.4</v>
      </c>
      <c r="J322" t="n">
        <v>0</v>
      </c>
      <c r="K322" t="n">
        <v>0</v>
      </c>
      <c r="L322" t="n">
        <v>0</v>
      </c>
      <c r="M322" t="n">
        <v>0</v>
      </c>
      <c r="N322" t="n">
        <v>0</v>
      </c>
      <c r="O322" t="n">
        <v>0</v>
      </c>
      <c r="P322" t="n">
        <v>0</v>
      </c>
      <c r="Q322" t="n">
        <v>0</v>
      </c>
      <c r="R322" t="n">
        <v>0</v>
      </c>
      <c r="S322" t="n">
        <v>0</v>
      </c>
      <c r="T322" t="n">
        <v>0</v>
      </c>
      <c r="U322" s="2" t="inlineStr"/>
    </row>
    <row r="323" ht="15" customHeight="1">
      <c r="A323" t="inlineStr">
        <is>
          <t>A 50301-2025</t>
        </is>
      </c>
      <c r="B323" t="inlineStr">
        <is>
          <t>avverkningsanmälan</t>
        </is>
      </c>
      <c r="C323" t="inlineStr">
        <is>
          <t>Föryngringsavverkning</t>
        </is>
      </c>
      <c r="D323" s="1" t="n">
        <v>45944</v>
      </c>
      <c r="E323" s="1" t="n">
        <v>46216</v>
      </c>
      <c r="F323" t="inlineStr">
        <is>
          <t>VÄSTERBOTTENS LÄN</t>
        </is>
      </c>
      <c r="G323" t="inlineStr">
        <is>
          <t>ÅSELE</t>
        </is>
      </c>
      <c r="H323" t="inlineStr">
        <is>
          <t>Sveaskog</t>
        </is>
      </c>
      <c r="I323" t="n">
        <v>21.8</v>
      </c>
      <c r="J323" t="n">
        <v>0</v>
      </c>
      <c r="K323" t="n">
        <v>0</v>
      </c>
      <c r="L323" t="n">
        <v>0</v>
      </c>
      <c r="M323" t="n">
        <v>0</v>
      </c>
      <c r="N323" t="n">
        <v>0</v>
      </c>
      <c r="O323" t="n">
        <v>0</v>
      </c>
      <c r="P323" t="n">
        <v>0</v>
      </c>
      <c r="Q323" t="n">
        <v>0</v>
      </c>
      <c r="R323" t="n">
        <v>0</v>
      </c>
      <c r="S323" t="n">
        <v>0</v>
      </c>
      <c r="T323" t="n">
        <v>0</v>
      </c>
      <c r="U323" s="2" t="inlineStr"/>
    </row>
    <row r="324" ht="15" customHeight="1">
      <c r="A324" t="inlineStr">
        <is>
          <t>A 50288-2025</t>
        </is>
      </c>
      <c r="B324" t="inlineStr">
        <is>
          <t>avverkningsanmälan</t>
        </is>
      </c>
      <c r="C324" t="inlineStr">
        <is>
          <t>Föryngringsavverkning</t>
        </is>
      </c>
      <c r="D324" s="1" t="n">
        <v>45944</v>
      </c>
      <c r="E324" s="1" t="n">
        <v>46216</v>
      </c>
      <c r="F324" t="inlineStr">
        <is>
          <t>VÄSTERBOTTENS LÄN</t>
        </is>
      </c>
      <c r="G324" t="inlineStr">
        <is>
          <t>ÅSELE</t>
        </is>
      </c>
      <c r="H324" t="inlineStr">
        <is>
          <t>Sveaskog</t>
        </is>
      </c>
      <c r="I324" t="n">
        <v>25.2</v>
      </c>
      <c r="J324" t="n">
        <v>0</v>
      </c>
      <c r="K324" t="n">
        <v>0</v>
      </c>
      <c r="L324" t="n">
        <v>0</v>
      </c>
      <c r="M324" t="n">
        <v>0</v>
      </c>
      <c r="N324" t="n">
        <v>0</v>
      </c>
      <c r="O324" t="n">
        <v>0</v>
      </c>
      <c r="P324" t="n">
        <v>0</v>
      </c>
      <c r="Q324" t="n">
        <v>0</v>
      </c>
      <c r="R324" t="n">
        <v>0</v>
      </c>
      <c r="S324" t="n">
        <v>0</v>
      </c>
      <c r="T324" t="n">
        <v>0</v>
      </c>
      <c r="U324" s="2" t="inlineStr"/>
    </row>
    <row r="325" ht="15" customHeight="1">
      <c r="A325" t="inlineStr">
        <is>
          <t>A 46693-2023</t>
        </is>
      </c>
      <c r="B325" t="inlineStr">
        <is>
          <t>avverkningsanmälan</t>
        </is>
      </c>
      <c r="C325" t="inlineStr">
        <is>
          <t>Föryngringsavverkning</t>
        </is>
      </c>
      <c r="D325" s="1" t="n">
        <v>45198</v>
      </c>
      <c r="E325" s="1" t="n">
        <v>46216</v>
      </c>
      <c r="F325" t="inlineStr">
        <is>
          <t>VÄSTERBOTTENS LÄN</t>
        </is>
      </c>
      <c r="G325" t="inlineStr">
        <is>
          <t>ÅSELE</t>
        </is>
      </c>
      <c r="H325" t="inlineStr">
        <is>
          <t>Sveaskog</t>
        </is>
      </c>
      <c r="I325" t="n">
        <v>14.8</v>
      </c>
      <c r="J325" t="n">
        <v>0</v>
      </c>
      <c r="K325" t="n">
        <v>0</v>
      </c>
      <c r="L325" t="n">
        <v>0</v>
      </c>
      <c r="M325" t="n">
        <v>0</v>
      </c>
      <c r="N325" t="n">
        <v>0</v>
      </c>
      <c r="O325" t="n">
        <v>0</v>
      </c>
      <c r="P325" t="n">
        <v>0</v>
      </c>
      <c r="Q325" t="n">
        <v>0</v>
      </c>
      <c r="R325" t="n">
        <v>0</v>
      </c>
      <c r="S325" t="n">
        <v>0</v>
      </c>
      <c r="T325" t="n">
        <v>0</v>
      </c>
      <c r="U325" s="2" t="inlineStr"/>
    </row>
    <row r="326" ht="15" customHeight="1">
      <c r="A326" t="inlineStr">
        <is>
          <t>A 1225-2023</t>
        </is>
      </c>
      <c r="B326" t="inlineStr">
        <is>
          <t>avverkningsanmälan</t>
        </is>
      </c>
      <c r="C326" t="inlineStr">
        <is>
          <t>Föryngringsavverkning</t>
        </is>
      </c>
      <c r="D326" s="1" t="n">
        <v>44935</v>
      </c>
      <c r="E326" s="1" t="n">
        <v>46216</v>
      </c>
      <c r="F326" t="inlineStr">
        <is>
          <t>VÄSTERBOTTENS LÄN</t>
        </is>
      </c>
      <c r="G326" t="inlineStr">
        <is>
          <t>ÅSELE</t>
        </is>
      </c>
      <c r="H326" t="inlineStr">
        <is>
          <t>SCA</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38189-2025</t>
        </is>
      </c>
      <c r="B327" t="inlineStr">
        <is>
          <t>avverkningsanmälan</t>
        </is>
      </c>
      <c r="C327" t="inlineStr">
        <is>
          <t>Föryngringsavverkning</t>
        </is>
      </c>
      <c r="D327" s="1" t="n">
        <v>45882</v>
      </c>
      <c r="E327" s="1" t="n">
        <v>46216</v>
      </c>
      <c r="F327" t="inlineStr">
        <is>
          <t>VÄSTERBOTTENS LÄN</t>
        </is>
      </c>
      <c r="G327" t="inlineStr">
        <is>
          <t>ÅSELE</t>
        </is>
      </c>
      <c r="I327" t="n">
        <v>3</v>
      </c>
      <c r="J327" t="n">
        <v>0</v>
      </c>
      <c r="K327" t="n">
        <v>0</v>
      </c>
      <c r="L327" t="n">
        <v>0</v>
      </c>
      <c r="M327" t="n">
        <v>0</v>
      </c>
      <c r="N327" t="n">
        <v>0</v>
      </c>
      <c r="O327" t="n">
        <v>0</v>
      </c>
      <c r="P327" t="n">
        <v>0</v>
      </c>
      <c r="Q327" t="n">
        <v>0</v>
      </c>
      <c r="R327" t="n">
        <v>0</v>
      </c>
      <c r="S327" t="n">
        <v>0</v>
      </c>
      <c r="T327" t="n">
        <v>0</v>
      </c>
      <c r="U327" s="2" t="inlineStr"/>
    </row>
    <row r="328" ht="15" customHeight="1">
      <c r="A328" t="inlineStr">
        <is>
          <t>A 38460-2025</t>
        </is>
      </c>
      <c r="B328" t="inlineStr">
        <is>
          <t>avverkningsanmälan</t>
        </is>
      </c>
      <c r="C328" t="inlineStr">
        <is>
          <t>Föryngringsavverkning</t>
        </is>
      </c>
      <c r="D328" s="1" t="n">
        <v>45883</v>
      </c>
      <c r="E328" s="1" t="n">
        <v>46216</v>
      </c>
      <c r="F328" t="inlineStr">
        <is>
          <t>VÄSTERBOTTENS LÄN</t>
        </is>
      </c>
      <c r="G328" t="inlineStr">
        <is>
          <t>ÅSELE</t>
        </is>
      </c>
      <c r="H328" t="inlineStr">
        <is>
          <t>SCA</t>
        </is>
      </c>
      <c r="I328" t="n">
        <v>10.2</v>
      </c>
      <c r="J328" t="n">
        <v>0</v>
      </c>
      <c r="K328" t="n">
        <v>0</v>
      </c>
      <c r="L328" t="n">
        <v>0</v>
      </c>
      <c r="M328" t="n">
        <v>0</v>
      </c>
      <c r="N328" t="n">
        <v>0</v>
      </c>
      <c r="O328" t="n">
        <v>0</v>
      </c>
      <c r="P328" t="n">
        <v>0</v>
      </c>
      <c r="Q328" t="n">
        <v>0</v>
      </c>
      <c r="R328" t="n">
        <v>0</v>
      </c>
      <c r="S328" t="n">
        <v>0</v>
      </c>
      <c r="T328" t="n">
        <v>0</v>
      </c>
      <c r="U328" s="2" t="inlineStr"/>
    </row>
    <row r="329" ht="15" customHeight="1">
      <c r="A329" t="inlineStr">
        <is>
          <t>A 38184-2025</t>
        </is>
      </c>
      <c r="B329" t="inlineStr">
        <is>
          <t>avverkningsanmälan</t>
        </is>
      </c>
      <c r="C329" t="inlineStr">
        <is>
          <t>Föryngringsavverkning</t>
        </is>
      </c>
      <c r="D329" s="1" t="n">
        <v>45882</v>
      </c>
      <c r="E329" s="1" t="n">
        <v>46216</v>
      </c>
      <c r="F329" t="inlineStr">
        <is>
          <t>VÄSTERBOTTENS LÄN</t>
        </is>
      </c>
      <c r="G329" t="inlineStr">
        <is>
          <t>ÅSELE</t>
        </is>
      </c>
      <c r="I329" t="n">
        <v>9.800000000000001</v>
      </c>
      <c r="J329" t="n">
        <v>0</v>
      </c>
      <c r="K329" t="n">
        <v>0</v>
      </c>
      <c r="L329" t="n">
        <v>0</v>
      </c>
      <c r="M329" t="n">
        <v>0</v>
      </c>
      <c r="N329" t="n">
        <v>0</v>
      </c>
      <c r="O329" t="n">
        <v>0</v>
      </c>
      <c r="P329" t="n">
        <v>0</v>
      </c>
      <c r="Q329" t="n">
        <v>0</v>
      </c>
      <c r="R329" t="n">
        <v>0</v>
      </c>
      <c r="S329" t="n">
        <v>0</v>
      </c>
      <c r="T329" t="n">
        <v>0</v>
      </c>
      <c r="U329" s="2" t="inlineStr"/>
    </row>
    <row r="330" ht="15" customHeight="1">
      <c r="A330" t="inlineStr">
        <is>
          <t>A 38451-2025</t>
        </is>
      </c>
      <c r="B330" t="inlineStr">
        <is>
          <t>avverkningsanmälan</t>
        </is>
      </c>
      <c r="C330" t="inlineStr">
        <is>
          <t>Föryngringsavverkning</t>
        </is>
      </c>
      <c r="D330" s="1" t="n">
        <v>45883</v>
      </c>
      <c r="E330" s="1" t="n">
        <v>46216</v>
      </c>
      <c r="F330" t="inlineStr">
        <is>
          <t>VÄSTERBOTTENS LÄN</t>
        </is>
      </c>
      <c r="G330" t="inlineStr">
        <is>
          <t>ÅSELE</t>
        </is>
      </c>
      <c r="H330" t="inlineStr">
        <is>
          <t>SCA</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50322-2025</t>
        </is>
      </c>
      <c r="B331" t="inlineStr">
        <is>
          <t>avverkningsanmälan</t>
        </is>
      </c>
      <c r="C331" t="inlineStr">
        <is>
          <t>Föryngringsavverkning</t>
        </is>
      </c>
      <c r="D331" s="1" t="n">
        <v>45944</v>
      </c>
      <c r="E331" s="1" t="n">
        <v>46216</v>
      </c>
      <c r="F331" t="inlineStr">
        <is>
          <t>VÄSTERBOTTENS LÄN</t>
        </is>
      </c>
      <c r="G331" t="inlineStr">
        <is>
          <t>ÅSELE</t>
        </is>
      </c>
      <c r="H331" t="inlineStr">
        <is>
          <t>Sveaskog</t>
        </is>
      </c>
      <c r="I331" t="n">
        <v>13.8</v>
      </c>
      <c r="J331" t="n">
        <v>0</v>
      </c>
      <c r="K331" t="n">
        <v>0</v>
      </c>
      <c r="L331" t="n">
        <v>0</v>
      </c>
      <c r="M331" t="n">
        <v>0</v>
      </c>
      <c r="N331" t="n">
        <v>0</v>
      </c>
      <c r="O331" t="n">
        <v>0</v>
      </c>
      <c r="P331" t="n">
        <v>0</v>
      </c>
      <c r="Q331" t="n">
        <v>0</v>
      </c>
      <c r="R331" t="n">
        <v>0</v>
      </c>
      <c r="S331" t="n">
        <v>0</v>
      </c>
      <c r="T331" t="n">
        <v>0</v>
      </c>
      <c r="U331" s="2" t="inlineStr"/>
    </row>
    <row r="332" ht="15" customHeight="1">
      <c r="A332" t="inlineStr">
        <is>
          <t>A 50354-2025</t>
        </is>
      </c>
      <c r="B332" t="inlineStr">
        <is>
          <t>avverkningsanmälan</t>
        </is>
      </c>
      <c r="C332" t="inlineStr">
        <is>
          <t>Föryngringsavverkning</t>
        </is>
      </c>
      <c r="D332" s="1" t="n">
        <v>45944</v>
      </c>
      <c r="E332" s="1" t="n">
        <v>46216</v>
      </c>
      <c r="F332" t="inlineStr">
        <is>
          <t>VÄSTERBOTTENS LÄN</t>
        </is>
      </c>
      <c r="G332" t="inlineStr">
        <is>
          <t>ÅSELE</t>
        </is>
      </c>
      <c r="H332" t="inlineStr">
        <is>
          <t>Sveaskog</t>
        </is>
      </c>
      <c r="I332" t="n">
        <v>13.1</v>
      </c>
      <c r="J332" t="n">
        <v>0</v>
      </c>
      <c r="K332" t="n">
        <v>0</v>
      </c>
      <c r="L332" t="n">
        <v>0</v>
      </c>
      <c r="M332" t="n">
        <v>0</v>
      </c>
      <c r="N332" t="n">
        <v>0</v>
      </c>
      <c r="O332" t="n">
        <v>0</v>
      </c>
      <c r="P332" t="n">
        <v>0</v>
      </c>
      <c r="Q332" t="n">
        <v>0</v>
      </c>
      <c r="R332" t="n">
        <v>0</v>
      </c>
      <c r="S332" t="n">
        <v>0</v>
      </c>
      <c r="T332" t="n">
        <v>0</v>
      </c>
      <c r="U332" s="2" t="inlineStr"/>
    </row>
    <row r="333" ht="15" customHeight="1">
      <c r="A333" t="inlineStr">
        <is>
          <t>A 50374-2025</t>
        </is>
      </c>
      <c r="B333" t="inlineStr">
        <is>
          <t>avverkningsanmälan</t>
        </is>
      </c>
      <c r="C333" t="inlineStr">
        <is>
          <t>Föryngringsavverkning</t>
        </is>
      </c>
      <c r="D333" s="1" t="n">
        <v>45944</v>
      </c>
      <c r="E333" s="1" t="n">
        <v>46216</v>
      </c>
      <c r="F333" t="inlineStr">
        <is>
          <t>VÄSTERBOTTENS LÄN</t>
        </is>
      </c>
      <c r="G333" t="inlineStr">
        <is>
          <t>ÅSELE</t>
        </is>
      </c>
      <c r="H333" t="inlineStr">
        <is>
          <t>Holmen skog AB</t>
        </is>
      </c>
      <c r="I333" t="n">
        <v>6.9</v>
      </c>
      <c r="J333" t="n">
        <v>0</v>
      </c>
      <c r="K333" t="n">
        <v>0</v>
      </c>
      <c r="L333" t="n">
        <v>0</v>
      </c>
      <c r="M333" t="n">
        <v>0</v>
      </c>
      <c r="N333" t="n">
        <v>0</v>
      </c>
      <c r="O333" t="n">
        <v>0</v>
      </c>
      <c r="P333" t="n">
        <v>0</v>
      </c>
      <c r="Q333" t="n">
        <v>0</v>
      </c>
      <c r="R333" t="n">
        <v>0</v>
      </c>
      <c r="S333" t="n">
        <v>0</v>
      </c>
      <c r="T333" t="n">
        <v>0</v>
      </c>
      <c r="U333" s="2" t="inlineStr"/>
    </row>
    <row r="334" ht="15" customHeight="1">
      <c r="A334" t="inlineStr">
        <is>
          <t>A 38195-2025</t>
        </is>
      </c>
      <c r="B334" t="inlineStr">
        <is>
          <t>avverkningsanmälan</t>
        </is>
      </c>
      <c r="C334" t="inlineStr">
        <is>
          <t>Föryngringsavverkning</t>
        </is>
      </c>
      <c r="D334" s="1" t="n">
        <v>45882</v>
      </c>
      <c r="E334" s="1" t="n">
        <v>46216</v>
      </c>
      <c r="F334" t="inlineStr">
        <is>
          <t>VÄSTERBOTTENS LÄN</t>
        </is>
      </c>
      <c r="G334" t="inlineStr">
        <is>
          <t>ÅSELE</t>
        </is>
      </c>
      <c r="I334" t="n">
        <v>4.7</v>
      </c>
      <c r="J334" t="n">
        <v>0</v>
      </c>
      <c r="K334" t="n">
        <v>0</v>
      </c>
      <c r="L334" t="n">
        <v>0</v>
      </c>
      <c r="M334" t="n">
        <v>0</v>
      </c>
      <c r="N334" t="n">
        <v>0</v>
      </c>
      <c r="O334" t="n">
        <v>0</v>
      </c>
      <c r="P334" t="n">
        <v>0</v>
      </c>
      <c r="Q334" t="n">
        <v>0</v>
      </c>
      <c r="R334" t="n">
        <v>0</v>
      </c>
      <c r="S334" t="n">
        <v>0</v>
      </c>
      <c r="T334" t="n">
        <v>0</v>
      </c>
      <c r="U334" s="2" t="inlineStr"/>
    </row>
    <row r="335" ht="15" customHeight="1">
      <c r="A335" t="inlineStr">
        <is>
          <t>A 50239-2025</t>
        </is>
      </c>
      <c r="B335" t="inlineStr">
        <is>
          <t>avverkningsanmälan</t>
        </is>
      </c>
      <c r="C335" t="inlineStr">
        <is>
          <t>Föryngringsavverkning</t>
        </is>
      </c>
      <c r="D335" s="1" t="n">
        <v>45943</v>
      </c>
      <c r="E335" s="1" t="n">
        <v>46216</v>
      </c>
      <c r="F335" t="inlineStr">
        <is>
          <t>VÄSTERBOTTENS LÄN</t>
        </is>
      </c>
      <c r="G335" t="inlineStr">
        <is>
          <t>ÅSELE</t>
        </is>
      </c>
      <c r="H335" t="inlineStr">
        <is>
          <t>Holmen skog AB</t>
        </is>
      </c>
      <c r="I335" t="n">
        <v>8.5</v>
      </c>
      <c r="J335" t="n">
        <v>0</v>
      </c>
      <c r="K335" t="n">
        <v>0</v>
      </c>
      <c r="L335" t="n">
        <v>0</v>
      </c>
      <c r="M335" t="n">
        <v>0</v>
      </c>
      <c r="N335" t="n">
        <v>0</v>
      </c>
      <c r="O335" t="n">
        <v>0</v>
      </c>
      <c r="P335" t="n">
        <v>0</v>
      </c>
      <c r="Q335" t="n">
        <v>0</v>
      </c>
      <c r="R335" t="n">
        <v>0</v>
      </c>
      <c r="S335" t="n">
        <v>0</v>
      </c>
      <c r="T335" t="n">
        <v>0</v>
      </c>
      <c r="U335" s="2" t="inlineStr"/>
    </row>
    <row r="336" ht="15" customHeight="1">
      <c r="A336" t="inlineStr">
        <is>
          <t>A 38222-2025</t>
        </is>
      </c>
      <c r="B336" t="inlineStr">
        <is>
          <t>avverkningsanmälan</t>
        </is>
      </c>
      <c r="C336" t="inlineStr">
        <is>
          <t>Föryngringsavverkning</t>
        </is>
      </c>
      <c r="D336" s="1" t="n">
        <v>45883</v>
      </c>
      <c r="E336" s="1" t="n">
        <v>46216</v>
      </c>
      <c r="F336" t="inlineStr">
        <is>
          <t>VÄSTERBOTTENS LÄN</t>
        </is>
      </c>
      <c r="G336" t="inlineStr">
        <is>
          <t>ÅSELE</t>
        </is>
      </c>
      <c r="H336" t="inlineStr">
        <is>
          <t>SCA</t>
        </is>
      </c>
      <c r="I336" t="n">
        <v>8.699999999999999</v>
      </c>
      <c r="J336" t="n">
        <v>0</v>
      </c>
      <c r="K336" t="n">
        <v>0</v>
      </c>
      <c r="L336" t="n">
        <v>0</v>
      </c>
      <c r="M336" t="n">
        <v>0</v>
      </c>
      <c r="N336" t="n">
        <v>0</v>
      </c>
      <c r="O336" t="n">
        <v>0</v>
      </c>
      <c r="P336" t="n">
        <v>0</v>
      </c>
      <c r="Q336" t="n">
        <v>0</v>
      </c>
      <c r="R336" t="n">
        <v>0</v>
      </c>
      <c r="S336" t="n">
        <v>0</v>
      </c>
      <c r="T336" t="n">
        <v>0</v>
      </c>
      <c r="U336" s="2" t="inlineStr"/>
    </row>
    <row r="337" ht="15" customHeight="1">
      <c r="A337" t="inlineStr">
        <is>
          <t>A 50298-2025</t>
        </is>
      </c>
      <c r="B337" t="inlineStr">
        <is>
          <t>avverkningsanmälan</t>
        </is>
      </c>
      <c r="C337" t="inlineStr">
        <is>
          <t>Föryngringsavverkning</t>
        </is>
      </c>
      <c r="D337" s="1" t="n">
        <v>45944</v>
      </c>
      <c r="E337" s="1" t="n">
        <v>46216</v>
      </c>
      <c r="F337" t="inlineStr">
        <is>
          <t>VÄSTERBOTTENS LÄN</t>
        </is>
      </c>
      <c r="G337" t="inlineStr">
        <is>
          <t>ÅSELE</t>
        </is>
      </c>
      <c r="H337" t="inlineStr">
        <is>
          <t>Sveaskog</t>
        </is>
      </c>
      <c r="I337" t="n">
        <v>21.6</v>
      </c>
      <c r="J337" t="n">
        <v>0</v>
      </c>
      <c r="K337" t="n">
        <v>0</v>
      </c>
      <c r="L337" t="n">
        <v>0</v>
      </c>
      <c r="M337" t="n">
        <v>0</v>
      </c>
      <c r="N337" t="n">
        <v>0</v>
      </c>
      <c r="O337" t="n">
        <v>0</v>
      </c>
      <c r="P337" t="n">
        <v>0</v>
      </c>
      <c r="Q337" t="n">
        <v>0</v>
      </c>
      <c r="R337" t="n">
        <v>0</v>
      </c>
      <c r="S337" t="n">
        <v>0</v>
      </c>
      <c r="T337" t="n">
        <v>0</v>
      </c>
      <c r="U337" s="2" t="inlineStr"/>
    </row>
    <row r="338" ht="15" customHeight="1">
      <c r="A338" t="inlineStr">
        <is>
          <t>A 23803-2025</t>
        </is>
      </c>
      <c r="B338" t="inlineStr">
        <is>
          <t>avverkningsanmälan</t>
        </is>
      </c>
      <c r="C338" t="inlineStr">
        <is>
          <t>Föryngringsavverkning</t>
        </is>
      </c>
      <c r="D338" s="1" t="n">
        <v>45793</v>
      </c>
      <c r="E338" s="1" t="n">
        <v>46216</v>
      </c>
      <c r="F338" t="inlineStr">
        <is>
          <t>VÄSTERBOTTENS LÄN</t>
        </is>
      </c>
      <c r="G338" t="inlineStr">
        <is>
          <t>ÅSELE</t>
        </is>
      </c>
      <c r="I338" t="n">
        <v>4.1</v>
      </c>
      <c r="J338" t="n">
        <v>0</v>
      </c>
      <c r="K338" t="n">
        <v>0</v>
      </c>
      <c r="L338" t="n">
        <v>0</v>
      </c>
      <c r="M338" t="n">
        <v>0</v>
      </c>
      <c r="N338" t="n">
        <v>0</v>
      </c>
      <c r="O338" t="n">
        <v>0</v>
      </c>
      <c r="P338" t="n">
        <v>0</v>
      </c>
      <c r="Q338" t="n">
        <v>0</v>
      </c>
      <c r="R338" t="n">
        <v>0</v>
      </c>
      <c r="S338" t="n">
        <v>0</v>
      </c>
      <c r="T338" t="n">
        <v>0</v>
      </c>
      <c r="U338" s="2" t="inlineStr"/>
    </row>
    <row r="339" ht="15" customHeight="1">
      <c r="A339" t="inlineStr">
        <is>
          <t>A 50261-2025</t>
        </is>
      </c>
      <c r="B339" t="inlineStr">
        <is>
          <t>avverkningsanmälan</t>
        </is>
      </c>
      <c r="C339" t="inlineStr">
        <is>
          <t>Föryngringsavverkning</t>
        </is>
      </c>
      <c r="D339" s="1" t="n">
        <v>45944</v>
      </c>
      <c r="E339" s="1" t="n">
        <v>46216</v>
      </c>
      <c r="F339" t="inlineStr">
        <is>
          <t>VÄSTERBOTTENS LÄN</t>
        </is>
      </c>
      <c r="G339" t="inlineStr">
        <is>
          <t>ÅSELE</t>
        </is>
      </c>
      <c r="H339" t="inlineStr">
        <is>
          <t>SCA</t>
        </is>
      </c>
      <c r="I339" t="n">
        <v>5.7</v>
      </c>
      <c r="J339" t="n">
        <v>0</v>
      </c>
      <c r="K339" t="n">
        <v>0</v>
      </c>
      <c r="L339" t="n">
        <v>0</v>
      </c>
      <c r="M339" t="n">
        <v>0</v>
      </c>
      <c r="N339" t="n">
        <v>0</v>
      </c>
      <c r="O339" t="n">
        <v>0</v>
      </c>
      <c r="P339" t="n">
        <v>0</v>
      </c>
      <c r="Q339" t="n">
        <v>0</v>
      </c>
      <c r="R339" t="n">
        <v>0</v>
      </c>
      <c r="S339" t="n">
        <v>0</v>
      </c>
      <c r="T339" t="n">
        <v>0</v>
      </c>
      <c r="U339" s="2" t="inlineStr"/>
    </row>
    <row r="340" ht="15" customHeight="1">
      <c r="A340" t="inlineStr">
        <is>
          <t>A 50319-2025</t>
        </is>
      </c>
      <c r="B340" t="inlineStr">
        <is>
          <t>avverkningsanmälan</t>
        </is>
      </c>
      <c r="C340" t="inlineStr">
        <is>
          <t>Föryngringsavverkning</t>
        </is>
      </c>
      <c r="D340" s="1" t="n">
        <v>45944</v>
      </c>
      <c r="E340" s="1" t="n">
        <v>46216</v>
      </c>
      <c r="F340" t="inlineStr">
        <is>
          <t>VÄSTERBOTTENS LÄN</t>
        </is>
      </c>
      <c r="G340" t="inlineStr">
        <is>
          <t>ÅSELE</t>
        </is>
      </c>
      <c r="H340" t="inlineStr">
        <is>
          <t>Holmen skog AB</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50323-2025</t>
        </is>
      </c>
      <c r="B341" t="inlineStr">
        <is>
          <t>avverkningsanmälan</t>
        </is>
      </c>
      <c r="C341" t="inlineStr">
        <is>
          <t>Föryngringsavverkning</t>
        </is>
      </c>
      <c r="D341" s="1" t="n">
        <v>45944</v>
      </c>
      <c r="E341" s="1" t="n">
        <v>46216</v>
      </c>
      <c r="F341" t="inlineStr">
        <is>
          <t>VÄSTERBOTTENS LÄN</t>
        </is>
      </c>
      <c r="G341" t="inlineStr">
        <is>
          <t>ÅSELE</t>
        </is>
      </c>
      <c r="H341" t="inlineStr">
        <is>
          <t>Sveaskog</t>
        </is>
      </c>
      <c r="I341" t="n">
        <v>9.199999999999999</v>
      </c>
      <c r="J341" t="n">
        <v>0</v>
      </c>
      <c r="K341" t="n">
        <v>0</v>
      </c>
      <c r="L341" t="n">
        <v>0</v>
      </c>
      <c r="M341" t="n">
        <v>0</v>
      </c>
      <c r="N341" t="n">
        <v>0</v>
      </c>
      <c r="O341" t="n">
        <v>0</v>
      </c>
      <c r="P341" t="n">
        <v>0</v>
      </c>
      <c r="Q341" t="n">
        <v>0</v>
      </c>
      <c r="R341" t="n">
        <v>0</v>
      </c>
      <c r="S341" t="n">
        <v>0</v>
      </c>
      <c r="T341" t="n">
        <v>0</v>
      </c>
      <c r="U341" s="2" t="inlineStr"/>
    </row>
    <row r="342" ht="15" customHeight="1">
      <c r="A342" t="inlineStr">
        <is>
          <t>A 50864-2025</t>
        </is>
      </c>
      <c r="B342" t="inlineStr">
        <is>
          <t>avverkningsanmälan</t>
        </is>
      </c>
      <c r="C342" t="inlineStr">
        <is>
          <t>Föryngringsavverkning</t>
        </is>
      </c>
      <c r="D342" s="1" t="n">
        <v>45946</v>
      </c>
      <c r="E342" s="1" t="n">
        <v>46216</v>
      </c>
      <c r="F342" t="inlineStr">
        <is>
          <t>VÄSTERBOTTENS LÄN</t>
        </is>
      </c>
      <c r="G342" t="inlineStr">
        <is>
          <t>ÅSELE</t>
        </is>
      </c>
      <c r="H342" t="inlineStr">
        <is>
          <t>SCA</t>
        </is>
      </c>
      <c r="I342" t="n">
        <v>6.9</v>
      </c>
      <c r="J342" t="n">
        <v>0</v>
      </c>
      <c r="K342" t="n">
        <v>0</v>
      </c>
      <c r="L342" t="n">
        <v>0</v>
      </c>
      <c r="M342" t="n">
        <v>0</v>
      </c>
      <c r="N342" t="n">
        <v>0</v>
      </c>
      <c r="O342" t="n">
        <v>0</v>
      </c>
      <c r="P342" t="n">
        <v>0</v>
      </c>
      <c r="Q342" t="n">
        <v>0</v>
      </c>
      <c r="R342" t="n">
        <v>0</v>
      </c>
      <c r="S342" t="n">
        <v>0</v>
      </c>
      <c r="T342" t="n">
        <v>0</v>
      </c>
      <c r="U342" s="2" t="inlineStr"/>
    </row>
    <row r="343" ht="15" customHeight="1">
      <c r="A343" t="inlineStr">
        <is>
          <t>A 51099-2025</t>
        </is>
      </c>
      <c r="B343" t="inlineStr">
        <is>
          <t>avverkningsanmälan</t>
        </is>
      </c>
      <c r="C343" t="inlineStr">
        <is>
          <t>Föryngringsavverkning</t>
        </is>
      </c>
      <c r="D343" s="1" t="n">
        <v>45947</v>
      </c>
      <c r="E343" s="1" t="n">
        <v>46216</v>
      </c>
      <c r="F343" t="inlineStr">
        <is>
          <t>VÄSTERBOTTENS LÄN</t>
        </is>
      </c>
      <c r="G343" t="inlineStr">
        <is>
          <t>ÅSELE</t>
        </is>
      </c>
      <c r="H343" t="inlineStr">
        <is>
          <t>Holmen skog AB</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40046-2024</t>
        </is>
      </c>
      <c r="B344" t="inlineStr">
        <is>
          <t>avverkningsanmälan</t>
        </is>
      </c>
      <c r="C344" t="inlineStr">
        <is>
          <t>Föryngringsavverkning</t>
        </is>
      </c>
      <c r="D344" s="1" t="n">
        <v>45553</v>
      </c>
      <c r="E344" s="1" t="n">
        <v>46216</v>
      </c>
      <c r="F344" t="inlineStr">
        <is>
          <t>VÄSTERBOTTENS LÄN</t>
        </is>
      </c>
      <c r="G344" t="inlineStr">
        <is>
          <t>ÅSELE</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2763-2026</t>
        </is>
      </c>
      <c r="B345" t="inlineStr">
        <is>
          <t>avverkningsanmälan</t>
        </is>
      </c>
      <c r="C345" t="inlineStr">
        <is>
          <t>Föryngringsavverkning</t>
        </is>
      </c>
      <c r="D345" s="1" t="n">
        <v>46038</v>
      </c>
      <c r="E345" s="1" t="n">
        <v>46216</v>
      </c>
      <c r="F345" t="inlineStr">
        <is>
          <t>VÄSTERBOTTENS LÄN</t>
        </is>
      </c>
      <c r="G345" t="inlineStr">
        <is>
          <t>ÅSELE</t>
        </is>
      </c>
      <c r="H345" t="inlineStr">
        <is>
          <t>Sveaskog</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50200-2023</t>
        </is>
      </c>
      <c r="B346" t="inlineStr">
        <is>
          <t>avverkningsanmälan</t>
        </is>
      </c>
      <c r="C346" t="inlineStr">
        <is>
          <t>Föryngringsavverkning</t>
        </is>
      </c>
      <c r="D346" s="1" t="n">
        <v>45215</v>
      </c>
      <c r="E346" s="1" t="n">
        <v>46216</v>
      </c>
      <c r="F346" t="inlineStr">
        <is>
          <t>VÄSTERBOTTENS LÄN</t>
        </is>
      </c>
      <c r="G346" t="inlineStr">
        <is>
          <t>ÅSELE</t>
        </is>
      </c>
      <c r="H346" t="inlineStr">
        <is>
          <t>Holmen skog AB</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4086-2023</t>
        </is>
      </c>
      <c r="B347" t="inlineStr">
        <is>
          <t>avverkningsanmälan</t>
        </is>
      </c>
      <c r="C347" t="inlineStr">
        <is>
          <t>Föryngringsavverkning</t>
        </is>
      </c>
      <c r="D347" s="1" t="n">
        <v>44952</v>
      </c>
      <c r="E347" s="1" t="n">
        <v>46216</v>
      </c>
      <c r="F347" t="inlineStr">
        <is>
          <t>VÄSTERBOTTENS LÄN</t>
        </is>
      </c>
      <c r="G347" t="inlineStr">
        <is>
          <t>ÅSELE</t>
        </is>
      </c>
      <c r="I347" t="n">
        <v>5.3</v>
      </c>
      <c r="J347" t="n">
        <v>0</v>
      </c>
      <c r="K347" t="n">
        <v>0</v>
      </c>
      <c r="L347" t="n">
        <v>0</v>
      </c>
      <c r="M347" t="n">
        <v>0</v>
      </c>
      <c r="N347" t="n">
        <v>0</v>
      </c>
      <c r="O347" t="n">
        <v>0</v>
      </c>
      <c r="P347" t="n">
        <v>0</v>
      </c>
      <c r="Q347" t="n">
        <v>0</v>
      </c>
      <c r="R347" t="n">
        <v>0</v>
      </c>
      <c r="S347" t="n">
        <v>0</v>
      </c>
      <c r="T347" t="n">
        <v>0</v>
      </c>
      <c r="U347" s="2" t="inlineStr"/>
    </row>
    <row r="348" ht="15" customHeight="1">
      <c r="A348" t="inlineStr">
        <is>
          <t>A 51059-2025</t>
        </is>
      </c>
      <c r="B348" t="inlineStr">
        <is>
          <t>avverkningsanmälan</t>
        </is>
      </c>
      <c r="C348" t="inlineStr">
        <is>
          <t>Föryngringsavverkning</t>
        </is>
      </c>
      <c r="D348" s="1" t="n">
        <v>45947</v>
      </c>
      <c r="E348" s="1" t="n">
        <v>46216</v>
      </c>
      <c r="F348" t="inlineStr">
        <is>
          <t>VÄSTERBOTTENS LÄN</t>
        </is>
      </c>
      <c r="G348" t="inlineStr">
        <is>
          <t>ÅSELE</t>
        </is>
      </c>
      <c r="H348" t="inlineStr">
        <is>
          <t>Holmen skog AB</t>
        </is>
      </c>
      <c r="I348" t="n">
        <v>3.1</v>
      </c>
      <c r="J348" t="n">
        <v>0</v>
      </c>
      <c r="K348" t="n">
        <v>0</v>
      </c>
      <c r="L348" t="n">
        <v>0</v>
      </c>
      <c r="M348" t="n">
        <v>0</v>
      </c>
      <c r="N348" t="n">
        <v>0</v>
      </c>
      <c r="O348" t="n">
        <v>0</v>
      </c>
      <c r="P348" t="n">
        <v>0</v>
      </c>
      <c r="Q348" t="n">
        <v>0</v>
      </c>
      <c r="R348" t="n">
        <v>0</v>
      </c>
      <c r="S348" t="n">
        <v>0</v>
      </c>
      <c r="T348" t="n">
        <v>0</v>
      </c>
      <c r="U348" s="2" t="inlineStr"/>
    </row>
    <row r="349" ht="15" customHeight="1">
      <c r="A349" t="inlineStr">
        <is>
          <t>A 51518-2025</t>
        </is>
      </c>
      <c r="B349" t="inlineStr">
        <is>
          <t>avverkningsanmälan</t>
        </is>
      </c>
      <c r="C349" t="inlineStr">
        <is>
          <t>Föryngringsavverkning</t>
        </is>
      </c>
      <c r="D349" s="1" t="n">
        <v>45950</v>
      </c>
      <c r="E349" s="1" t="n">
        <v>46216</v>
      </c>
      <c r="F349" t="inlineStr">
        <is>
          <t>VÄSTERBOTTENS LÄN</t>
        </is>
      </c>
      <c r="G349" t="inlineStr">
        <is>
          <t>ÅSELE</t>
        </is>
      </c>
      <c r="H349" t="inlineStr">
        <is>
          <t>SCA</t>
        </is>
      </c>
      <c r="I349" t="n">
        <v>5.4</v>
      </c>
      <c r="J349" t="n">
        <v>0</v>
      </c>
      <c r="K349" t="n">
        <v>0</v>
      </c>
      <c r="L349" t="n">
        <v>0</v>
      </c>
      <c r="M349" t="n">
        <v>0</v>
      </c>
      <c r="N349" t="n">
        <v>0</v>
      </c>
      <c r="O349" t="n">
        <v>0</v>
      </c>
      <c r="P349" t="n">
        <v>0</v>
      </c>
      <c r="Q349" t="n">
        <v>0</v>
      </c>
      <c r="R349" t="n">
        <v>0</v>
      </c>
      <c r="S349" t="n">
        <v>0</v>
      </c>
      <c r="T349" t="n">
        <v>0</v>
      </c>
      <c r="U349" s="2" t="inlineStr"/>
    </row>
    <row r="350" ht="15" customHeight="1">
      <c r="A350" t="inlineStr">
        <is>
          <t>A 42268-2024</t>
        </is>
      </c>
      <c r="B350" t="inlineStr">
        <is>
          <t>avverkningsanmälan</t>
        </is>
      </c>
      <c r="C350" t="inlineStr">
        <is>
          <t>Föryngringsavverkning</t>
        </is>
      </c>
      <c r="D350" s="1" t="n">
        <v>45562</v>
      </c>
      <c r="E350" s="1" t="n">
        <v>46216</v>
      </c>
      <c r="F350" t="inlineStr">
        <is>
          <t>VÄSTERBOTTENS LÄN</t>
        </is>
      </c>
      <c r="G350" t="inlineStr">
        <is>
          <t>ÅSELE</t>
        </is>
      </c>
      <c r="H350" t="inlineStr">
        <is>
          <t>Naturvårdsverket</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51669-2025</t>
        </is>
      </c>
      <c r="B351" t="inlineStr">
        <is>
          <t>avverkningsanmälan</t>
        </is>
      </c>
      <c r="C351" t="inlineStr">
        <is>
          <t>Avverkning för annat ändamål</t>
        </is>
      </c>
      <c r="D351" s="1" t="n">
        <v>45951</v>
      </c>
      <c r="E351" s="1" t="n">
        <v>46216</v>
      </c>
      <c r="F351" t="inlineStr">
        <is>
          <t>VÄSTERBOTTENS LÄN</t>
        </is>
      </c>
      <c r="G351" t="inlineStr">
        <is>
          <t>ÅSELE</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52139-2025</t>
        </is>
      </c>
      <c r="B352" t="inlineStr">
        <is>
          <t>avverkningsanmälan</t>
        </is>
      </c>
      <c r="C352" t="inlineStr">
        <is>
          <t>Föryngringsavverkning</t>
        </is>
      </c>
      <c r="D352" s="1" t="n">
        <v>45953</v>
      </c>
      <c r="E352" s="1" t="n">
        <v>46216</v>
      </c>
      <c r="F352" t="inlineStr">
        <is>
          <t>VÄSTERBOTTENS LÄN</t>
        </is>
      </c>
      <c r="G352" t="inlineStr">
        <is>
          <t>ÅSELE</t>
        </is>
      </c>
      <c r="I352" t="n">
        <v>4.2</v>
      </c>
      <c r="J352" t="n">
        <v>0</v>
      </c>
      <c r="K352" t="n">
        <v>0</v>
      </c>
      <c r="L352" t="n">
        <v>0</v>
      </c>
      <c r="M352" t="n">
        <v>0</v>
      </c>
      <c r="N352" t="n">
        <v>0</v>
      </c>
      <c r="O352" t="n">
        <v>0</v>
      </c>
      <c r="P352" t="n">
        <v>0</v>
      </c>
      <c r="Q352" t="n">
        <v>0</v>
      </c>
      <c r="R352" t="n">
        <v>0</v>
      </c>
      <c r="S352" t="n">
        <v>0</v>
      </c>
      <c r="T352" t="n">
        <v>0</v>
      </c>
      <c r="U352" s="2" t="inlineStr"/>
    </row>
    <row r="353" ht="15" customHeight="1">
      <c r="A353" t="inlineStr">
        <is>
          <t>A 52143-2025</t>
        </is>
      </c>
      <c r="B353" t="inlineStr">
        <is>
          <t>avverkningsanmälan</t>
        </is>
      </c>
      <c r="C353" t="inlineStr">
        <is>
          <t>Föryngringsavverkning</t>
        </is>
      </c>
      <c r="D353" s="1" t="n">
        <v>45953</v>
      </c>
      <c r="E353" s="1" t="n">
        <v>46216</v>
      </c>
      <c r="F353" t="inlineStr">
        <is>
          <t>VÄSTERBOTTENS LÄN</t>
        </is>
      </c>
      <c r="G353" t="inlineStr">
        <is>
          <t>ÅSELE</t>
        </is>
      </c>
      <c r="I353" t="n">
        <v>4.9</v>
      </c>
      <c r="J353" t="n">
        <v>0</v>
      </c>
      <c r="K353" t="n">
        <v>0</v>
      </c>
      <c r="L353" t="n">
        <v>0</v>
      </c>
      <c r="M353" t="n">
        <v>0</v>
      </c>
      <c r="N353" t="n">
        <v>0</v>
      </c>
      <c r="O353" t="n">
        <v>0</v>
      </c>
      <c r="P353" t="n">
        <v>0</v>
      </c>
      <c r="Q353" t="n">
        <v>0</v>
      </c>
      <c r="R353" t="n">
        <v>0</v>
      </c>
      <c r="S353" t="n">
        <v>0</v>
      </c>
      <c r="T353" t="n">
        <v>0</v>
      </c>
      <c r="U353" s="2" t="inlineStr"/>
    </row>
    <row r="354" ht="15" customHeight="1">
      <c r="A354" t="inlineStr">
        <is>
          <t>A 52165-2025</t>
        </is>
      </c>
      <c r="B354" t="inlineStr">
        <is>
          <t>avverkningsanmälan</t>
        </is>
      </c>
      <c r="C354" t="inlineStr">
        <is>
          <t>Föryngringsavverkning</t>
        </is>
      </c>
      <c r="D354" s="1" t="n">
        <v>45953</v>
      </c>
      <c r="E354" s="1" t="n">
        <v>46216</v>
      </c>
      <c r="F354" t="inlineStr">
        <is>
          <t>VÄSTERBOTTENS LÄN</t>
        </is>
      </c>
      <c r="G354" t="inlineStr">
        <is>
          <t>ÅSELE</t>
        </is>
      </c>
      <c r="I354" t="n">
        <v>12.6</v>
      </c>
      <c r="J354" t="n">
        <v>0</v>
      </c>
      <c r="K354" t="n">
        <v>0</v>
      </c>
      <c r="L354" t="n">
        <v>0</v>
      </c>
      <c r="M354" t="n">
        <v>0</v>
      </c>
      <c r="N354" t="n">
        <v>0</v>
      </c>
      <c r="O354" t="n">
        <v>0</v>
      </c>
      <c r="P354" t="n">
        <v>0</v>
      </c>
      <c r="Q354" t="n">
        <v>0</v>
      </c>
      <c r="R354" t="n">
        <v>0</v>
      </c>
      <c r="S354" t="n">
        <v>0</v>
      </c>
      <c r="T354" t="n">
        <v>0</v>
      </c>
      <c r="U354" s="2" t="inlineStr"/>
    </row>
    <row r="355" ht="15" customHeight="1">
      <c r="A355" t="inlineStr">
        <is>
          <t>A 3558-2026</t>
        </is>
      </c>
      <c r="B355" t="inlineStr">
        <is>
          <t>avverkningsanmälan</t>
        </is>
      </c>
      <c r="C355" t="inlineStr">
        <is>
          <t>Föryngringsavverkning</t>
        </is>
      </c>
      <c r="D355" s="1" t="n">
        <v>46042</v>
      </c>
      <c r="E355" s="1" t="n">
        <v>46216</v>
      </c>
      <c r="F355" t="inlineStr">
        <is>
          <t>VÄSTERBOTTENS LÄN</t>
        </is>
      </c>
      <c r="G355" t="inlineStr">
        <is>
          <t>ÅSELE</t>
        </is>
      </c>
      <c r="H355" t="inlineStr">
        <is>
          <t>SCA</t>
        </is>
      </c>
      <c r="I355" t="n">
        <v>6.1</v>
      </c>
      <c r="J355" t="n">
        <v>0</v>
      </c>
      <c r="K355" t="n">
        <v>0</v>
      </c>
      <c r="L355" t="n">
        <v>0</v>
      </c>
      <c r="M355" t="n">
        <v>0</v>
      </c>
      <c r="N355" t="n">
        <v>0</v>
      </c>
      <c r="O355" t="n">
        <v>0</v>
      </c>
      <c r="P355" t="n">
        <v>0</v>
      </c>
      <c r="Q355" t="n">
        <v>0</v>
      </c>
      <c r="R355" t="n">
        <v>0</v>
      </c>
      <c r="S355" t="n">
        <v>0</v>
      </c>
      <c r="T355" t="n">
        <v>0</v>
      </c>
      <c r="U355" s="2" t="inlineStr"/>
    </row>
    <row r="356" ht="15" customHeight="1">
      <c r="A356" t="inlineStr">
        <is>
          <t>A 52064-2025</t>
        </is>
      </c>
      <c r="B356" t="inlineStr">
        <is>
          <t>avverkningsanmälan</t>
        </is>
      </c>
      <c r="C356" t="inlineStr">
        <is>
          <t>Föryngringsavverkning</t>
        </is>
      </c>
      <c r="D356" s="1" t="n">
        <v>45952</v>
      </c>
      <c r="E356" s="1" t="n">
        <v>46216</v>
      </c>
      <c r="F356" t="inlineStr">
        <is>
          <t>VÄSTERBOTTENS LÄN</t>
        </is>
      </c>
      <c r="G356" t="inlineStr">
        <is>
          <t>ÅSELE</t>
        </is>
      </c>
      <c r="I356" t="n">
        <v>14.7</v>
      </c>
      <c r="J356" t="n">
        <v>0</v>
      </c>
      <c r="K356" t="n">
        <v>0</v>
      </c>
      <c r="L356" t="n">
        <v>0</v>
      </c>
      <c r="M356" t="n">
        <v>0</v>
      </c>
      <c r="N356" t="n">
        <v>0</v>
      </c>
      <c r="O356" t="n">
        <v>0</v>
      </c>
      <c r="P356" t="n">
        <v>0</v>
      </c>
      <c r="Q356" t="n">
        <v>0</v>
      </c>
      <c r="R356" t="n">
        <v>0</v>
      </c>
      <c r="S356" t="n">
        <v>0</v>
      </c>
      <c r="T356" t="n">
        <v>0</v>
      </c>
      <c r="U356" s="2" t="inlineStr"/>
    </row>
    <row r="357" ht="15" customHeight="1">
      <c r="A357" t="inlineStr">
        <is>
          <t>A 52663-2025</t>
        </is>
      </c>
      <c r="B357" t="inlineStr">
        <is>
          <t>avverkningsanmälan</t>
        </is>
      </c>
      <c r="C357" t="inlineStr">
        <is>
          <t>Föryngringsavverkning</t>
        </is>
      </c>
      <c r="D357" s="1" t="n">
        <v>45955</v>
      </c>
      <c r="E357" s="1" t="n">
        <v>46216</v>
      </c>
      <c r="F357" t="inlineStr">
        <is>
          <t>VÄSTERBOTTENS LÄN</t>
        </is>
      </c>
      <c r="G357" t="inlineStr">
        <is>
          <t>ÅSELE</t>
        </is>
      </c>
      <c r="H357" t="inlineStr">
        <is>
          <t>SCA</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52632-2025</t>
        </is>
      </c>
      <c r="B358" t="inlineStr">
        <is>
          <t>avverkningsanmälan</t>
        </is>
      </c>
      <c r="C358" t="inlineStr">
        <is>
          <t>Föryngringsavverkning</t>
        </is>
      </c>
      <c r="D358" s="1" t="n">
        <v>45954</v>
      </c>
      <c r="E358" s="1" t="n">
        <v>46216</v>
      </c>
      <c r="F358" t="inlineStr">
        <is>
          <t>VÄSTERBOTTENS LÄN</t>
        </is>
      </c>
      <c r="G358" t="inlineStr">
        <is>
          <t>ÅSELE</t>
        </is>
      </c>
      <c r="H358" t="inlineStr">
        <is>
          <t>SCA</t>
        </is>
      </c>
      <c r="I358" t="n">
        <v>3.2</v>
      </c>
      <c r="J358" t="n">
        <v>0</v>
      </c>
      <c r="K358" t="n">
        <v>0</v>
      </c>
      <c r="L358" t="n">
        <v>0</v>
      </c>
      <c r="M358" t="n">
        <v>0</v>
      </c>
      <c r="N358" t="n">
        <v>0</v>
      </c>
      <c r="O358" t="n">
        <v>0</v>
      </c>
      <c r="P358" t="n">
        <v>0</v>
      </c>
      <c r="Q358" t="n">
        <v>0</v>
      </c>
      <c r="R358" t="n">
        <v>0</v>
      </c>
      <c r="S358" t="n">
        <v>0</v>
      </c>
      <c r="T358" t="n">
        <v>0</v>
      </c>
      <c r="U358" s="2" t="inlineStr"/>
    </row>
    <row r="359" ht="15" customHeight="1">
      <c r="A359" t="inlineStr">
        <is>
          <t>A 52662-2025</t>
        </is>
      </c>
      <c r="B359" t="inlineStr">
        <is>
          <t>avverkningsanmälan</t>
        </is>
      </c>
      <c r="C359" t="inlineStr">
        <is>
          <t>Föryngringsavverkning</t>
        </is>
      </c>
      <c r="D359" s="1" t="n">
        <v>45955</v>
      </c>
      <c r="E359" s="1" t="n">
        <v>46216</v>
      </c>
      <c r="F359" t="inlineStr">
        <is>
          <t>VÄSTERBOTTENS LÄN</t>
        </is>
      </c>
      <c r="G359" t="inlineStr">
        <is>
          <t>ÅSELE</t>
        </is>
      </c>
      <c r="H359" t="inlineStr">
        <is>
          <t>SCA</t>
        </is>
      </c>
      <c r="I359" t="n">
        <v>6.5</v>
      </c>
      <c r="J359" t="n">
        <v>0</v>
      </c>
      <c r="K359" t="n">
        <v>0</v>
      </c>
      <c r="L359" t="n">
        <v>0</v>
      </c>
      <c r="M359" t="n">
        <v>0</v>
      </c>
      <c r="N359" t="n">
        <v>0</v>
      </c>
      <c r="O359" t="n">
        <v>0</v>
      </c>
      <c r="P359" t="n">
        <v>0</v>
      </c>
      <c r="Q359" t="n">
        <v>0</v>
      </c>
      <c r="R359" t="n">
        <v>0</v>
      </c>
      <c r="S359" t="n">
        <v>0</v>
      </c>
      <c r="T359" t="n">
        <v>0</v>
      </c>
      <c r="U359" s="2" t="inlineStr"/>
    </row>
    <row r="360" ht="15" customHeight="1">
      <c r="A360" t="inlineStr">
        <is>
          <t>A 29300-2023</t>
        </is>
      </c>
      <c r="B360" t="inlineStr">
        <is>
          <t>avverkningsanmälan</t>
        </is>
      </c>
      <c r="C360" t="inlineStr">
        <is>
          <t>Föryngringsavverkning</t>
        </is>
      </c>
      <c r="D360" s="1" t="n">
        <v>45105</v>
      </c>
      <c r="E360" s="1" t="n">
        <v>46216</v>
      </c>
      <c r="F360" t="inlineStr">
        <is>
          <t>VÄSTERBOTTENS LÄN</t>
        </is>
      </c>
      <c r="G360" t="inlineStr">
        <is>
          <t>ÅSELE</t>
        </is>
      </c>
      <c r="H360" t="inlineStr">
        <is>
          <t>Sveaskog</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48209-2024</t>
        </is>
      </c>
      <c r="B361" t="inlineStr">
        <is>
          <t>avverkningsanmälan</t>
        </is>
      </c>
      <c r="C361" t="inlineStr">
        <is>
          <t>Föryngringsavverkning</t>
        </is>
      </c>
      <c r="D361" s="1" t="n">
        <v>45590</v>
      </c>
      <c r="E361" s="1" t="n">
        <v>46216</v>
      </c>
      <c r="F361" t="inlineStr">
        <is>
          <t>VÄSTERBOTTENS LÄN</t>
        </is>
      </c>
      <c r="G361" t="inlineStr">
        <is>
          <t>ÅSELE</t>
        </is>
      </c>
      <c r="H361" t="inlineStr">
        <is>
          <t>SCA</t>
        </is>
      </c>
      <c r="I361" t="n">
        <v>5.4</v>
      </c>
      <c r="J361" t="n">
        <v>0</v>
      </c>
      <c r="K361" t="n">
        <v>0</v>
      </c>
      <c r="L361" t="n">
        <v>0</v>
      </c>
      <c r="M361" t="n">
        <v>0</v>
      </c>
      <c r="N361" t="n">
        <v>0</v>
      </c>
      <c r="O361" t="n">
        <v>0</v>
      </c>
      <c r="P361" t="n">
        <v>0</v>
      </c>
      <c r="Q361" t="n">
        <v>0</v>
      </c>
      <c r="R361" t="n">
        <v>0</v>
      </c>
      <c r="S361" t="n">
        <v>0</v>
      </c>
      <c r="T361" t="n">
        <v>0</v>
      </c>
      <c r="U361" s="2" t="inlineStr"/>
    </row>
    <row r="362" ht="15" customHeight="1">
      <c r="A362" t="inlineStr">
        <is>
          <t>A 1409-2023</t>
        </is>
      </c>
      <c r="B362" t="inlineStr">
        <is>
          <t>avverkningsanmälan</t>
        </is>
      </c>
      <c r="C362" t="inlineStr">
        <is>
          <t>Föryngringsavverkning</t>
        </is>
      </c>
      <c r="D362" s="1" t="n">
        <v>44936</v>
      </c>
      <c r="E362" s="1" t="n">
        <v>46216</v>
      </c>
      <c r="F362" t="inlineStr">
        <is>
          <t>VÄSTERBOTTENS LÄN</t>
        </is>
      </c>
      <c r="G362" t="inlineStr">
        <is>
          <t>ÅSELE</t>
        </is>
      </c>
      <c r="I362" t="n">
        <v>4.8</v>
      </c>
      <c r="J362" t="n">
        <v>0</v>
      </c>
      <c r="K362" t="n">
        <v>0</v>
      </c>
      <c r="L362" t="n">
        <v>0</v>
      </c>
      <c r="M362" t="n">
        <v>0</v>
      </c>
      <c r="N362" t="n">
        <v>0</v>
      </c>
      <c r="O362" t="n">
        <v>0</v>
      </c>
      <c r="P362" t="n">
        <v>0</v>
      </c>
      <c r="Q362" t="n">
        <v>0</v>
      </c>
      <c r="R362" t="n">
        <v>0</v>
      </c>
      <c r="S362" t="n">
        <v>0</v>
      </c>
      <c r="T362" t="n">
        <v>0</v>
      </c>
      <c r="U362" s="2" t="inlineStr"/>
    </row>
    <row r="363" ht="15" customHeight="1">
      <c r="A363" t="inlineStr">
        <is>
          <t>A 44801-2023</t>
        </is>
      </c>
      <c r="B363" t="inlineStr">
        <is>
          <t>avverkningsanmälan</t>
        </is>
      </c>
      <c r="C363" t="inlineStr">
        <is>
          <t>Föryngringsavverkning</t>
        </is>
      </c>
      <c r="D363" s="1" t="n">
        <v>45190</v>
      </c>
      <c r="E363" s="1" t="n">
        <v>46216</v>
      </c>
      <c r="F363" t="inlineStr">
        <is>
          <t>VÄSTERBOTTENS LÄN</t>
        </is>
      </c>
      <c r="G363" t="inlineStr">
        <is>
          <t>ÅSELE</t>
        </is>
      </c>
      <c r="H363" t="inlineStr">
        <is>
          <t>Naturvårdsverket</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48206-2024</t>
        </is>
      </c>
      <c r="B364" t="inlineStr">
        <is>
          <t>avverkningsanmälan</t>
        </is>
      </c>
      <c r="C364" t="inlineStr">
        <is>
          <t>Föryngringsavverkning</t>
        </is>
      </c>
      <c r="D364" s="1" t="n">
        <v>45590</v>
      </c>
      <c r="E364" s="1" t="n">
        <v>46216</v>
      </c>
      <c r="F364" t="inlineStr">
        <is>
          <t>VÄSTERBOTTENS LÄN</t>
        </is>
      </c>
      <c r="G364" t="inlineStr">
        <is>
          <t>ÅSELE</t>
        </is>
      </c>
      <c r="H364" t="inlineStr">
        <is>
          <t>SCA</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36042-2023</t>
        </is>
      </c>
      <c r="B365" t="inlineStr">
        <is>
          <t>avverkningsanmälan</t>
        </is>
      </c>
      <c r="C365" t="inlineStr">
        <is>
          <t>Föryngringsavverkning</t>
        </is>
      </c>
      <c r="D365" s="1" t="n">
        <v>45149</v>
      </c>
      <c r="E365" s="1" t="n">
        <v>46216</v>
      </c>
      <c r="F365" t="inlineStr">
        <is>
          <t>VÄSTERBOTTENS LÄN</t>
        </is>
      </c>
      <c r="G365" t="inlineStr">
        <is>
          <t>ÅSELE</t>
        </is>
      </c>
      <c r="H365" t="inlineStr">
        <is>
          <t>Holmen skog AB</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53239-2025</t>
        </is>
      </c>
      <c r="B366" t="inlineStr">
        <is>
          <t>avverkningsanmälan</t>
        </is>
      </c>
      <c r="C366" t="inlineStr">
        <is>
          <t>Föryngringsavverkning</t>
        </is>
      </c>
      <c r="D366" s="1" t="n">
        <v>45958</v>
      </c>
      <c r="E366" s="1" t="n">
        <v>46216</v>
      </c>
      <c r="F366" t="inlineStr">
        <is>
          <t>VÄSTERBOTTENS LÄN</t>
        </is>
      </c>
      <c r="G366" t="inlineStr">
        <is>
          <t>ÅSELE</t>
        </is>
      </c>
      <c r="H366" t="inlineStr">
        <is>
          <t>Holmen skog AB</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4311-2026</t>
        </is>
      </c>
      <c r="B367" t="inlineStr">
        <is>
          <t>avverkningsanmälan</t>
        </is>
      </c>
      <c r="C367" t="inlineStr">
        <is>
          <t>Föryngringsavverkning</t>
        </is>
      </c>
      <c r="D367" s="1" t="n">
        <v>46045</v>
      </c>
      <c r="E367" s="1" t="n">
        <v>46216</v>
      </c>
      <c r="F367" t="inlineStr">
        <is>
          <t>VÄSTERBOTTENS LÄN</t>
        </is>
      </c>
      <c r="G367" t="inlineStr">
        <is>
          <t>ÅSELE</t>
        </is>
      </c>
      <c r="I367" t="n">
        <v>7.9</v>
      </c>
      <c r="J367" t="n">
        <v>0</v>
      </c>
      <c r="K367" t="n">
        <v>0</v>
      </c>
      <c r="L367" t="n">
        <v>0</v>
      </c>
      <c r="M367" t="n">
        <v>0</v>
      </c>
      <c r="N367" t="n">
        <v>0</v>
      </c>
      <c r="O367" t="n">
        <v>0</v>
      </c>
      <c r="P367" t="n">
        <v>0</v>
      </c>
      <c r="Q367" t="n">
        <v>0</v>
      </c>
      <c r="R367" t="n">
        <v>0</v>
      </c>
      <c r="S367" t="n">
        <v>0</v>
      </c>
      <c r="T367" t="n">
        <v>0</v>
      </c>
      <c r="U367" s="2" t="inlineStr"/>
    </row>
    <row r="368" ht="15" customHeight="1">
      <c r="A368" t="inlineStr">
        <is>
          <t>A 23604-2023</t>
        </is>
      </c>
      <c r="B368" t="inlineStr">
        <is>
          <t>avverkningsanmälan</t>
        </is>
      </c>
      <c r="C368" t="inlineStr">
        <is>
          <t>Föryngringsavverkning</t>
        </is>
      </c>
      <c r="D368" s="1" t="n">
        <v>45077</v>
      </c>
      <c r="E368" s="1" t="n">
        <v>46216</v>
      </c>
      <c r="F368" t="inlineStr">
        <is>
          <t>VÄSTERBOTTENS LÄN</t>
        </is>
      </c>
      <c r="G368" t="inlineStr">
        <is>
          <t>ÅSELE</t>
        </is>
      </c>
      <c r="H368" t="inlineStr">
        <is>
          <t>Holmen skog AB</t>
        </is>
      </c>
      <c r="I368" t="n">
        <v>5.8</v>
      </c>
      <c r="J368" t="n">
        <v>0</v>
      </c>
      <c r="K368" t="n">
        <v>0</v>
      </c>
      <c r="L368" t="n">
        <v>0</v>
      </c>
      <c r="M368" t="n">
        <v>0</v>
      </c>
      <c r="N368" t="n">
        <v>0</v>
      </c>
      <c r="O368" t="n">
        <v>0</v>
      </c>
      <c r="P368" t="n">
        <v>0</v>
      </c>
      <c r="Q368" t="n">
        <v>0</v>
      </c>
      <c r="R368" t="n">
        <v>0</v>
      </c>
      <c r="S368" t="n">
        <v>0</v>
      </c>
      <c r="T368" t="n">
        <v>0</v>
      </c>
      <c r="U368" s="2" t="inlineStr"/>
    </row>
    <row r="369" ht="15" customHeight="1">
      <c r="A369" t="inlineStr">
        <is>
          <t>A 22093-2023</t>
        </is>
      </c>
      <c r="B369" t="inlineStr">
        <is>
          <t>avverkningsanmälan</t>
        </is>
      </c>
      <c r="C369" t="inlineStr">
        <is>
          <t>Föryngringsavverkning</t>
        </is>
      </c>
      <c r="D369" s="1" t="n">
        <v>45068</v>
      </c>
      <c r="E369" s="1" t="n">
        <v>46216</v>
      </c>
      <c r="F369" t="inlineStr">
        <is>
          <t>VÄSTERBOTTENS LÄN</t>
        </is>
      </c>
      <c r="G369" t="inlineStr">
        <is>
          <t>ÅSELE</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5008-2026</t>
        </is>
      </c>
      <c r="B370" t="inlineStr">
        <is>
          <t>avverkningsanmälan</t>
        </is>
      </c>
      <c r="C370" t="inlineStr">
        <is>
          <t>Föryngringsavverkning</t>
        </is>
      </c>
      <c r="D370" s="1" t="n">
        <v>46049</v>
      </c>
      <c r="E370" s="1" t="n">
        <v>46216</v>
      </c>
      <c r="F370" t="inlineStr">
        <is>
          <t>VÄSTERBOTTENS LÄN</t>
        </is>
      </c>
      <c r="G370" t="inlineStr">
        <is>
          <t>ÅSELE</t>
        </is>
      </c>
      <c r="H370" t="inlineStr">
        <is>
          <t>SCA</t>
        </is>
      </c>
      <c r="I370" t="n">
        <v>6.4</v>
      </c>
      <c r="J370" t="n">
        <v>0</v>
      </c>
      <c r="K370" t="n">
        <v>0</v>
      </c>
      <c r="L370" t="n">
        <v>0</v>
      </c>
      <c r="M370" t="n">
        <v>0</v>
      </c>
      <c r="N370" t="n">
        <v>0</v>
      </c>
      <c r="O370" t="n">
        <v>0</v>
      </c>
      <c r="P370" t="n">
        <v>0</v>
      </c>
      <c r="Q370" t="n">
        <v>0</v>
      </c>
      <c r="R370" t="n">
        <v>0</v>
      </c>
      <c r="S370" t="n">
        <v>0</v>
      </c>
      <c r="T370" t="n">
        <v>0</v>
      </c>
      <c r="U370" s="2" t="inlineStr"/>
    </row>
    <row r="371" ht="15" customHeight="1">
      <c r="A371" t="inlineStr">
        <is>
          <t>A 13553-2024</t>
        </is>
      </c>
      <c r="B371" t="inlineStr">
        <is>
          <t>avverkningsanmälan</t>
        </is>
      </c>
      <c r="C371" t="inlineStr">
        <is>
          <t>Föryngringsavverkning</t>
        </is>
      </c>
      <c r="D371" s="1" t="n">
        <v>45387</v>
      </c>
      <c r="E371" s="1" t="n">
        <v>46216</v>
      </c>
      <c r="F371" t="inlineStr">
        <is>
          <t>VÄSTERBOTTENS LÄN</t>
        </is>
      </c>
      <c r="G371" t="inlineStr">
        <is>
          <t>ÅSELE</t>
        </is>
      </c>
      <c r="H371" t="inlineStr">
        <is>
          <t>SCA</t>
        </is>
      </c>
      <c r="I371" t="n">
        <v>1.9</v>
      </c>
      <c r="J371" t="n">
        <v>0</v>
      </c>
      <c r="K371" t="n">
        <v>0</v>
      </c>
      <c r="L371" t="n">
        <v>0</v>
      </c>
      <c r="M371" t="n">
        <v>0</v>
      </c>
      <c r="N371" t="n">
        <v>0</v>
      </c>
      <c r="O371" t="n">
        <v>0</v>
      </c>
      <c r="P371" t="n">
        <v>0</v>
      </c>
      <c r="Q371" t="n">
        <v>0</v>
      </c>
      <c r="R371" t="n">
        <v>0</v>
      </c>
      <c r="S371" t="n">
        <v>0</v>
      </c>
      <c r="T371" t="n">
        <v>0</v>
      </c>
      <c r="U371" s="2" t="inlineStr"/>
    </row>
    <row r="372" ht="15" customHeight="1">
      <c r="A372" t="inlineStr">
        <is>
          <t>A 61351-2024</t>
        </is>
      </c>
      <c r="B372" t="inlineStr">
        <is>
          <t>avverkningsanmälan</t>
        </is>
      </c>
      <c r="C372" t="inlineStr">
        <is>
          <t>Föryngringsavverkning</t>
        </is>
      </c>
      <c r="D372" s="1" t="n">
        <v>45646</v>
      </c>
      <c r="E372" s="1" t="n">
        <v>46216</v>
      </c>
      <c r="F372" t="inlineStr">
        <is>
          <t>VÄSTERBOTTENS LÄN</t>
        </is>
      </c>
      <c r="G372" t="inlineStr">
        <is>
          <t>ÅSELE</t>
        </is>
      </c>
      <c r="I372" t="n">
        <v>9.6</v>
      </c>
      <c r="J372" t="n">
        <v>0</v>
      </c>
      <c r="K372" t="n">
        <v>0</v>
      </c>
      <c r="L372" t="n">
        <v>0</v>
      </c>
      <c r="M372" t="n">
        <v>0</v>
      </c>
      <c r="N372" t="n">
        <v>0</v>
      </c>
      <c r="O372" t="n">
        <v>0</v>
      </c>
      <c r="P372" t="n">
        <v>0</v>
      </c>
      <c r="Q372" t="n">
        <v>0</v>
      </c>
      <c r="R372" t="n">
        <v>0</v>
      </c>
      <c r="S372" t="n">
        <v>0</v>
      </c>
      <c r="T372" t="n">
        <v>0</v>
      </c>
      <c r="U372" s="2" t="inlineStr"/>
    </row>
    <row r="373" ht="15" customHeight="1">
      <c r="A373" t="inlineStr">
        <is>
          <t>A 29597-2024</t>
        </is>
      </c>
      <c r="B373" t="inlineStr">
        <is>
          <t>avverkningsanmälan</t>
        </is>
      </c>
      <c r="C373" t="inlineStr">
        <is>
          <t>Föryngringsavverkning</t>
        </is>
      </c>
      <c r="D373" s="1" t="n">
        <v>45484</v>
      </c>
      <c r="E373" s="1" t="n">
        <v>46216</v>
      </c>
      <c r="F373" t="inlineStr">
        <is>
          <t>VÄSTERBOTTENS LÄN</t>
        </is>
      </c>
      <c r="G373" t="inlineStr">
        <is>
          <t>ÅSELE</t>
        </is>
      </c>
      <c r="H373" t="inlineStr">
        <is>
          <t>Sveaskog</t>
        </is>
      </c>
      <c r="I373" t="n">
        <v>3.4</v>
      </c>
      <c r="J373" t="n">
        <v>0</v>
      </c>
      <c r="K373" t="n">
        <v>0</v>
      </c>
      <c r="L373" t="n">
        <v>0</v>
      </c>
      <c r="M373" t="n">
        <v>0</v>
      </c>
      <c r="N373" t="n">
        <v>0</v>
      </c>
      <c r="O373" t="n">
        <v>0</v>
      </c>
      <c r="P373" t="n">
        <v>0</v>
      </c>
      <c r="Q373" t="n">
        <v>0</v>
      </c>
      <c r="R373" t="n">
        <v>0</v>
      </c>
      <c r="S373" t="n">
        <v>0</v>
      </c>
      <c r="T373" t="n">
        <v>0</v>
      </c>
      <c r="U373" s="2" t="inlineStr"/>
    </row>
    <row r="374" ht="15" customHeight="1">
      <c r="A374" t="inlineStr">
        <is>
          <t>A 29619-2024</t>
        </is>
      </c>
      <c r="B374" t="inlineStr">
        <is>
          <t>avverkningsanmälan</t>
        </is>
      </c>
      <c r="C374" t="inlineStr">
        <is>
          <t>Föryngringsavverkning</t>
        </is>
      </c>
      <c r="D374" s="1" t="n">
        <v>45484</v>
      </c>
      <c r="E374" s="1" t="n">
        <v>46216</v>
      </c>
      <c r="F374" t="inlineStr">
        <is>
          <t>VÄSTERBOTTENS LÄN</t>
        </is>
      </c>
      <c r="G374" t="inlineStr">
        <is>
          <t>ÅSELE</t>
        </is>
      </c>
      <c r="H374" t="inlineStr">
        <is>
          <t>Sveaskog</t>
        </is>
      </c>
      <c r="I374" t="n">
        <v>9.5</v>
      </c>
      <c r="J374" t="n">
        <v>0</v>
      </c>
      <c r="K374" t="n">
        <v>0</v>
      </c>
      <c r="L374" t="n">
        <v>0</v>
      </c>
      <c r="M374" t="n">
        <v>0</v>
      </c>
      <c r="N374" t="n">
        <v>0</v>
      </c>
      <c r="O374" t="n">
        <v>0</v>
      </c>
      <c r="P374" t="n">
        <v>0</v>
      </c>
      <c r="Q374" t="n">
        <v>0</v>
      </c>
      <c r="R374" t="n">
        <v>0</v>
      </c>
      <c r="S374" t="n">
        <v>0</v>
      </c>
      <c r="T374" t="n">
        <v>0</v>
      </c>
      <c r="U374" s="2" t="inlineStr"/>
    </row>
    <row r="375" ht="15" customHeight="1">
      <c r="A375" t="inlineStr">
        <is>
          <t>A 31190-2023</t>
        </is>
      </c>
      <c r="B375" t="inlineStr">
        <is>
          <t>avverkningsanmälan</t>
        </is>
      </c>
      <c r="C375" t="inlineStr">
        <is>
          <t>Föryngringsavverkning</t>
        </is>
      </c>
      <c r="D375" s="1" t="n">
        <v>45113</v>
      </c>
      <c r="E375" s="1" t="n">
        <v>46216</v>
      </c>
      <c r="F375" t="inlineStr">
        <is>
          <t>VÄSTERBOTTENS LÄN</t>
        </is>
      </c>
      <c r="G375" t="inlineStr">
        <is>
          <t>ÅSELE</t>
        </is>
      </c>
      <c r="H375" t="inlineStr">
        <is>
          <t>SCA</t>
        </is>
      </c>
      <c r="I375" t="n">
        <v>3.3</v>
      </c>
      <c r="J375" t="n">
        <v>0</v>
      </c>
      <c r="K375" t="n">
        <v>0</v>
      </c>
      <c r="L375" t="n">
        <v>0</v>
      </c>
      <c r="M375" t="n">
        <v>0</v>
      </c>
      <c r="N375" t="n">
        <v>0</v>
      </c>
      <c r="O375" t="n">
        <v>0</v>
      </c>
      <c r="P375" t="n">
        <v>0</v>
      </c>
      <c r="Q375" t="n">
        <v>0</v>
      </c>
      <c r="R375" t="n">
        <v>0</v>
      </c>
      <c r="S375" t="n">
        <v>0</v>
      </c>
      <c r="T375" t="n">
        <v>0</v>
      </c>
      <c r="U375" s="2" t="inlineStr"/>
    </row>
    <row r="376" ht="15" customHeight="1">
      <c r="A376" t="inlineStr">
        <is>
          <t>A 49382-2024</t>
        </is>
      </c>
      <c r="B376" t="inlineStr">
        <is>
          <t>avverkningsanmälan</t>
        </is>
      </c>
      <c r="C376" t="inlineStr">
        <is>
          <t>Föryngringsavverkning</t>
        </is>
      </c>
      <c r="D376" s="1" t="n">
        <v>45595</v>
      </c>
      <c r="E376" s="1" t="n">
        <v>46216</v>
      </c>
      <c r="F376" t="inlineStr">
        <is>
          <t>VÄSTERBOTTENS LÄN</t>
        </is>
      </c>
      <c r="G376" t="inlineStr">
        <is>
          <t>ÅSELE</t>
        </is>
      </c>
      <c r="H376" t="inlineStr">
        <is>
          <t>Holmen skog AB</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41861-2024</t>
        </is>
      </c>
      <c r="B377" t="inlineStr">
        <is>
          <t>avverkningsanmälan</t>
        </is>
      </c>
      <c r="C377" t="inlineStr">
        <is>
          <t>Föryngringsavverkning</t>
        </is>
      </c>
      <c r="D377" s="1" t="n">
        <v>45561</v>
      </c>
      <c r="E377" s="1" t="n">
        <v>46216</v>
      </c>
      <c r="F377" t="inlineStr">
        <is>
          <t>VÄSTERBOTTENS LÄN</t>
        </is>
      </c>
      <c r="G377" t="inlineStr">
        <is>
          <t>ÅSELE</t>
        </is>
      </c>
      <c r="I377" t="n">
        <v>0.3</v>
      </c>
      <c r="J377" t="n">
        <v>0</v>
      </c>
      <c r="K377" t="n">
        <v>0</v>
      </c>
      <c r="L377" t="n">
        <v>0</v>
      </c>
      <c r="M377" t="n">
        <v>0</v>
      </c>
      <c r="N377" t="n">
        <v>0</v>
      </c>
      <c r="O377" t="n">
        <v>0</v>
      </c>
      <c r="P377" t="n">
        <v>0</v>
      </c>
      <c r="Q377" t="n">
        <v>0</v>
      </c>
      <c r="R377" t="n">
        <v>0</v>
      </c>
      <c r="S377" t="n">
        <v>0</v>
      </c>
      <c r="T377" t="n">
        <v>0</v>
      </c>
      <c r="U377" s="2" t="inlineStr"/>
    </row>
    <row r="378" ht="15" customHeight="1">
      <c r="A378" t="inlineStr">
        <is>
          <t>A 5145-2026</t>
        </is>
      </c>
      <c r="B378" t="inlineStr">
        <is>
          <t>avverkningsanmälan</t>
        </is>
      </c>
      <c r="C378" t="inlineStr">
        <is>
          <t>Föryngringsavverkning</t>
        </is>
      </c>
      <c r="D378" s="1" t="n">
        <v>46048</v>
      </c>
      <c r="E378" s="1" t="n">
        <v>46216</v>
      </c>
      <c r="F378" t="inlineStr">
        <is>
          <t>VÄSTERBOTTENS LÄN</t>
        </is>
      </c>
      <c r="G378" t="inlineStr">
        <is>
          <t>ÅSELE</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5604-2026</t>
        </is>
      </c>
      <c r="B379" t="inlineStr">
        <is>
          <t>avverkningsanmälan</t>
        </is>
      </c>
      <c r="C379" t="inlineStr">
        <is>
          <t>Föryngringsavverkning</t>
        </is>
      </c>
      <c r="D379" s="1" t="n">
        <v>46051</v>
      </c>
      <c r="E379" s="1" t="n">
        <v>46216</v>
      </c>
      <c r="F379" t="inlineStr">
        <is>
          <t>VÄSTERBOTTENS LÄN</t>
        </is>
      </c>
      <c r="G379" t="inlineStr">
        <is>
          <t>ÅSELE</t>
        </is>
      </c>
      <c r="H379" t="inlineStr">
        <is>
          <t>Sveaskog</t>
        </is>
      </c>
      <c r="I379" t="n">
        <v>4.8</v>
      </c>
      <c r="J379" t="n">
        <v>0</v>
      </c>
      <c r="K379" t="n">
        <v>0</v>
      </c>
      <c r="L379" t="n">
        <v>0</v>
      </c>
      <c r="M379" t="n">
        <v>0</v>
      </c>
      <c r="N379" t="n">
        <v>0</v>
      </c>
      <c r="O379" t="n">
        <v>0</v>
      </c>
      <c r="P379" t="n">
        <v>0</v>
      </c>
      <c r="Q379" t="n">
        <v>0</v>
      </c>
      <c r="R379" t="n">
        <v>0</v>
      </c>
      <c r="S379" t="n">
        <v>0</v>
      </c>
      <c r="T379" t="n">
        <v>0</v>
      </c>
      <c r="U379" s="2" t="inlineStr"/>
    </row>
    <row r="380" ht="15" customHeight="1">
      <c r="A380" t="inlineStr">
        <is>
          <t>A 54977-2025</t>
        </is>
      </c>
      <c r="B380" t="inlineStr">
        <is>
          <t>avverkningsanmälan</t>
        </is>
      </c>
      <c r="C380" t="inlineStr">
        <is>
          <t>Föryngringsavverkning</t>
        </is>
      </c>
      <c r="D380" s="1" t="n">
        <v>45967</v>
      </c>
      <c r="E380" s="1" t="n">
        <v>46216</v>
      </c>
      <c r="F380" t="inlineStr">
        <is>
          <t>VÄSTERBOTTENS LÄN</t>
        </is>
      </c>
      <c r="G380" t="inlineStr">
        <is>
          <t>ÅSELE</t>
        </is>
      </c>
      <c r="H380" t="inlineStr">
        <is>
          <t>SCA</t>
        </is>
      </c>
      <c r="I380" t="n">
        <v>4.8</v>
      </c>
      <c r="J380" t="n">
        <v>0</v>
      </c>
      <c r="K380" t="n">
        <v>0</v>
      </c>
      <c r="L380" t="n">
        <v>0</v>
      </c>
      <c r="M380" t="n">
        <v>0</v>
      </c>
      <c r="N380" t="n">
        <v>0</v>
      </c>
      <c r="O380" t="n">
        <v>0</v>
      </c>
      <c r="P380" t="n">
        <v>0</v>
      </c>
      <c r="Q380" t="n">
        <v>0</v>
      </c>
      <c r="R380" t="n">
        <v>0</v>
      </c>
      <c r="S380" t="n">
        <v>0</v>
      </c>
      <c r="T380" t="n">
        <v>0</v>
      </c>
      <c r="U380" s="2" t="inlineStr"/>
    </row>
    <row r="381" ht="15" customHeight="1">
      <c r="A381" t="inlineStr">
        <is>
          <t>A 54846-2025</t>
        </is>
      </c>
      <c r="B381" t="inlineStr">
        <is>
          <t>avverkningsanmälan</t>
        </is>
      </c>
      <c r="C381" t="inlineStr">
        <is>
          <t>Föryngringsavverkning</t>
        </is>
      </c>
      <c r="D381" s="1" t="n">
        <v>45966</v>
      </c>
      <c r="E381" s="1" t="n">
        <v>46216</v>
      </c>
      <c r="F381" t="inlineStr">
        <is>
          <t>VÄSTERBOTTENS LÄN</t>
        </is>
      </c>
      <c r="G381" t="inlineStr">
        <is>
          <t>ÅSELE</t>
        </is>
      </c>
      <c r="H381" t="inlineStr">
        <is>
          <t>Sveaskog</t>
        </is>
      </c>
      <c r="I381" t="n">
        <v>21.9</v>
      </c>
      <c r="J381" t="n">
        <v>0</v>
      </c>
      <c r="K381" t="n">
        <v>0</v>
      </c>
      <c r="L381" t="n">
        <v>0</v>
      </c>
      <c r="M381" t="n">
        <v>0</v>
      </c>
      <c r="N381" t="n">
        <v>0</v>
      </c>
      <c r="O381" t="n">
        <v>0</v>
      </c>
      <c r="P381" t="n">
        <v>0</v>
      </c>
      <c r="Q381" t="n">
        <v>0</v>
      </c>
      <c r="R381" t="n">
        <v>0</v>
      </c>
      <c r="S381" t="n">
        <v>0</v>
      </c>
      <c r="T381" t="n">
        <v>0</v>
      </c>
      <c r="U381" s="2" t="inlineStr"/>
    </row>
    <row r="382" ht="15" customHeight="1">
      <c r="A382" t="inlineStr">
        <is>
          <t>A 54853-2025</t>
        </is>
      </c>
      <c r="B382" t="inlineStr">
        <is>
          <t>avverkningsanmälan</t>
        </is>
      </c>
      <c r="C382" t="inlineStr">
        <is>
          <t>Föryngringsavverkning</t>
        </is>
      </c>
      <c r="D382" s="1" t="n">
        <v>45966</v>
      </c>
      <c r="E382" s="1" t="n">
        <v>46216</v>
      </c>
      <c r="F382" t="inlineStr">
        <is>
          <t>VÄSTERBOTTENS LÄN</t>
        </is>
      </c>
      <c r="G382" t="inlineStr">
        <is>
          <t>ÅSELE</t>
        </is>
      </c>
      <c r="H382" t="inlineStr">
        <is>
          <t>Sveaskog</t>
        </is>
      </c>
      <c r="I382" t="n">
        <v>29.3</v>
      </c>
      <c r="J382" t="n">
        <v>0</v>
      </c>
      <c r="K382" t="n">
        <v>0</v>
      </c>
      <c r="L382" t="n">
        <v>0</v>
      </c>
      <c r="M382" t="n">
        <v>0</v>
      </c>
      <c r="N382" t="n">
        <v>0</v>
      </c>
      <c r="O382" t="n">
        <v>0</v>
      </c>
      <c r="P382" t="n">
        <v>0</v>
      </c>
      <c r="Q382" t="n">
        <v>0</v>
      </c>
      <c r="R382" t="n">
        <v>0</v>
      </c>
      <c r="S382" t="n">
        <v>0</v>
      </c>
      <c r="T382" t="n">
        <v>0</v>
      </c>
      <c r="U382" s="2" t="inlineStr"/>
    </row>
    <row r="383" ht="15" customHeight="1">
      <c r="A383" t="inlineStr">
        <is>
          <t>A 25558-2024</t>
        </is>
      </c>
      <c r="B383" t="inlineStr">
        <is>
          <t>avverkningsanmälan</t>
        </is>
      </c>
      <c r="C383" t="inlineStr">
        <is>
          <t>Föryngringsavverkning</t>
        </is>
      </c>
      <c r="D383" s="1" t="n">
        <v>45463</v>
      </c>
      <c r="E383" s="1" t="n">
        <v>46216</v>
      </c>
      <c r="F383" t="inlineStr">
        <is>
          <t>VÄSTERBOTTENS LÄN</t>
        </is>
      </c>
      <c r="G383" t="inlineStr">
        <is>
          <t>ÅSELE</t>
        </is>
      </c>
      <c r="H383" t="inlineStr">
        <is>
          <t>Sveaskog</t>
        </is>
      </c>
      <c r="I383" t="n">
        <v>18.1</v>
      </c>
      <c r="J383" t="n">
        <v>0</v>
      </c>
      <c r="K383" t="n">
        <v>0</v>
      </c>
      <c r="L383" t="n">
        <v>0</v>
      </c>
      <c r="M383" t="n">
        <v>0</v>
      </c>
      <c r="N383" t="n">
        <v>0</v>
      </c>
      <c r="O383" t="n">
        <v>0</v>
      </c>
      <c r="P383" t="n">
        <v>0</v>
      </c>
      <c r="Q383" t="n">
        <v>0</v>
      </c>
      <c r="R383" t="n">
        <v>0</v>
      </c>
      <c r="S383" t="n">
        <v>0</v>
      </c>
      <c r="T383" t="n">
        <v>0</v>
      </c>
      <c r="U383" s="2" t="inlineStr"/>
    </row>
    <row r="384" ht="15" customHeight="1">
      <c r="A384" t="inlineStr">
        <is>
          <t>A 5613-2026</t>
        </is>
      </c>
      <c r="B384" t="inlineStr">
        <is>
          <t>avverkningsanmälan</t>
        </is>
      </c>
      <c r="C384" t="inlineStr">
        <is>
          <t>Föryngringsavverkning</t>
        </is>
      </c>
      <c r="D384" s="1" t="n">
        <v>46051</v>
      </c>
      <c r="E384" s="1" t="n">
        <v>46216</v>
      </c>
      <c r="F384" t="inlineStr">
        <is>
          <t>VÄSTERBOTTENS LÄN</t>
        </is>
      </c>
      <c r="G384" t="inlineStr">
        <is>
          <t>ÅSELE</t>
        </is>
      </c>
      <c r="I384" t="n">
        <v>5</v>
      </c>
      <c r="J384" t="n">
        <v>0</v>
      </c>
      <c r="K384" t="n">
        <v>0</v>
      </c>
      <c r="L384" t="n">
        <v>0</v>
      </c>
      <c r="M384" t="n">
        <v>0</v>
      </c>
      <c r="N384" t="n">
        <v>0</v>
      </c>
      <c r="O384" t="n">
        <v>0</v>
      </c>
      <c r="P384" t="n">
        <v>0</v>
      </c>
      <c r="Q384" t="n">
        <v>0</v>
      </c>
      <c r="R384" t="n">
        <v>0</v>
      </c>
      <c r="S384" t="n">
        <v>0</v>
      </c>
      <c r="T384" t="n">
        <v>0</v>
      </c>
      <c r="U384" s="2" t="inlineStr"/>
    </row>
    <row r="385" ht="15" customHeight="1">
      <c r="A385" t="inlineStr">
        <is>
          <t>A 5614-2026</t>
        </is>
      </c>
      <c r="B385" t="inlineStr">
        <is>
          <t>avverkningsanmälan</t>
        </is>
      </c>
      <c r="C385" t="inlineStr">
        <is>
          <t>Föryngringsavverkning</t>
        </is>
      </c>
      <c r="D385" s="1" t="n">
        <v>46051</v>
      </c>
      <c r="E385" s="1" t="n">
        <v>46216</v>
      </c>
      <c r="F385" t="inlineStr">
        <is>
          <t>VÄSTERBOTTENS LÄN</t>
        </is>
      </c>
      <c r="G385" t="inlineStr">
        <is>
          <t>ÅSELE</t>
        </is>
      </c>
      <c r="I385" t="n">
        <v>2.7</v>
      </c>
      <c r="J385" t="n">
        <v>0</v>
      </c>
      <c r="K385" t="n">
        <v>0</v>
      </c>
      <c r="L385" t="n">
        <v>0</v>
      </c>
      <c r="M385" t="n">
        <v>0</v>
      </c>
      <c r="N385" t="n">
        <v>0</v>
      </c>
      <c r="O385" t="n">
        <v>0</v>
      </c>
      <c r="P385" t="n">
        <v>0</v>
      </c>
      <c r="Q385" t="n">
        <v>0</v>
      </c>
      <c r="R385" t="n">
        <v>0</v>
      </c>
      <c r="S385" t="n">
        <v>0</v>
      </c>
      <c r="T385" t="n">
        <v>0</v>
      </c>
      <c r="U385" s="2" t="inlineStr"/>
    </row>
    <row r="386" ht="15" customHeight="1">
      <c r="A386" t="inlineStr">
        <is>
          <t>A 54832-2025</t>
        </is>
      </c>
      <c r="B386" t="inlineStr">
        <is>
          <t>avverkningsanmälan</t>
        </is>
      </c>
      <c r="C386" t="inlineStr">
        <is>
          <t>Föryngringsavverkning</t>
        </is>
      </c>
      <c r="D386" s="1" t="n">
        <v>45966</v>
      </c>
      <c r="E386" s="1" t="n">
        <v>46216</v>
      </c>
      <c r="F386" t="inlineStr">
        <is>
          <t>VÄSTERBOTTENS LÄN</t>
        </is>
      </c>
      <c r="G386" t="inlineStr">
        <is>
          <t>ÅSELE</t>
        </is>
      </c>
      <c r="H386" t="inlineStr">
        <is>
          <t>SCA</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55566-2025</t>
        </is>
      </c>
      <c r="B387" t="inlineStr">
        <is>
          <t>avverkningsanmälan</t>
        </is>
      </c>
      <c r="C387" t="inlineStr">
        <is>
          <t>Föryngringsavverkning</t>
        </is>
      </c>
      <c r="D387" s="1" t="n">
        <v>45971</v>
      </c>
      <c r="E387" s="1" t="n">
        <v>46216</v>
      </c>
      <c r="F387" t="inlineStr">
        <is>
          <t>VÄSTERBOTTENS LÄN</t>
        </is>
      </c>
      <c r="G387" t="inlineStr">
        <is>
          <t>ÅSELE</t>
        </is>
      </c>
      <c r="H387" t="inlineStr">
        <is>
          <t>Holmen skog AB</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55342-2025</t>
        </is>
      </c>
      <c r="B388" t="inlineStr">
        <is>
          <t>avverkningsanmälan</t>
        </is>
      </c>
      <c r="C388" t="inlineStr">
        <is>
          <t>Föryngringsavverkning</t>
        </is>
      </c>
      <c r="D388" s="1" t="n">
        <v>45971</v>
      </c>
      <c r="E388" s="1" t="n">
        <v>46216</v>
      </c>
      <c r="F388" t="inlineStr">
        <is>
          <t>VÄSTERBOTTENS LÄN</t>
        </is>
      </c>
      <c r="G388" t="inlineStr">
        <is>
          <t>ÅSELE</t>
        </is>
      </c>
      <c r="H388" t="inlineStr">
        <is>
          <t>Holmen skog AB</t>
        </is>
      </c>
      <c r="I388" t="n">
        <v>8.699999999999999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55169-2025</t>
        </is>
      </c>
      <c r="B389" t="inlineStr">
        <is>
          <t>avverkningsanmälan</t>
        </is>
      </c>
      <c r="C389" t="inlineStr">
        <is>
          <t>Föryngringsavverkning</t>
        </is>
      </c>
      <c r="D389" s="1" t="n">
        <v>45968</v>
      </c>
      <c r="E389" s="1" t="n">
        <v>46216</v>
      </c>
      <c r="F389" t="inlineStr">
        <is>
          <t>VÄSTERBOTTENS LÄN</t>
        </is>
      </c>
      <c r="G389" t="inlineStr">
        <is>
          <t>ÅSELE</t>
        </is>
      </c>
      <c r="H389" t="inlineStr">
        <is>
          <t>Naturvårdsverket</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55161-2025</t>
        </is>
      </c>
      <c r="B390" t="inlineStr">
        <is>
          <t>avverkningsanmälan</t>
        </is>
      </c>
      <c r="C390" t="inlineStr">
        <is>
          <t>Föryngringsavverkning</t>
        </is>
      </c>
      <c r="D390" s="1" t="n">
        <v>45968</v>
      </c>
      <c r="E390" s="1" t="n">
        <v>46216</v>
      </c>
      <c r="F390" t="inlineStr">
        <is>
          <t>VÄSTERBOTTENS LÄN</t>
        </is>
      </c>
      <c r="G390" t="inlineStr">
        <is>
          <t>ÅSELE</t>
        </is>
      </c>
      <c r="H390" t="inlineStr">
        <is>
          <t>Holmen skog AB</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20068-2022</t>
        </is>
      </c>
      <c r="B391" t="inlineStr">
        <is>
          <t>avverkningsanmälan</t>
        </is>
      </c>
      <c r="C391" t="inlineStr">
        <is>
          <t>Föryngringsavverkning</t>
        </is>
      </c>
      <c r="D391" s="1" t="n">
        <v>44697</v>
      </c>
      <c r="E391" s="1" t="n">
        <v>46216</v>
      </c>
      <c r="F391" t="inlineStr">
        <is>
          <t>VÄSTERBOTTENS LÄN</t>
        </is>
      </c>
      <c r="G391" t="inlineStr">
        <is>
          <t>ÅSELE</t>
        </is>
      </c>
      <c r="H391" t="inlineStr">
        <is>
          <t>SCA</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56018-2025</t>
        </is>
      </c>
      <c r="B392" t="inlineStr">
        <is>
          <t>avverkningsanmälan</t>
        </is>
      </c>
      <c r="C392" t="inlineStr">
        <is>
          <t>Föryngringsavverkning</t>
        </is>
      </c>
      <c r="D392" s="1" t="n">
        <v>45973</v>
      </c>
      <c r="E392" s="1" t="n">
        <v>46216</v>
      </c>
      <c r="F392" t="inlineStr">
        <is>
          <t>VÄSTERBOTTENS LÄN</t>
        </is>
      </c>
      <c r="G392" t="inlineStr">
        <is>
          <t>ÅSELE</t>
        </is>
      </c>
      <c r="H392" t="inlineStr">
        <is>
          <t>Holmen skog AB</t>
        </is>
      </c>
      <c r="I392" t="n">
        <v>8.6</v>
      </c>
      <c r="J392" t="n">
        <v>0</v>
      </c>
      <c r="K392" t="n">
        <v>0</v>
      </c>
      <c r="L392" t="n">
        <v>0</v>
      </c>
      <c r="M392" t="n">
        <v>0</v>
      </c>
      <c r="N392" t="n">
        <v>0</v>
      </c>
      <c r="O392" t="n">
        <v>0</v>
      </c>
      <c r="P392" t="n">
        <v>0</v>
      </c>
      <c r="Q392" t="n">
        <v>0</v>
      </c>
      <c r="R392" t="n">
        <v>0</v>
      </c>
      <c r="S392" t="n">
        <v>0</v>
      </c>
      <c r="T392" t="n">
        <v>0</v>
      </c>
      <c r="U392" s="2" t="inlineStr"/>
    </row>
    <row r="393" ht="15" customHeight="1">
      <c r="A393" t="inlineStr">
        <is>
          <t>A 56562-2025</t>
        </is>
      </c>
      <c r="B393" t="inlineStr">
        <is>
          <t>avverkningsanmälan</t>
        </is>
      </c>
      <c r="C393" t="inlineStr">
        <is>
          <t>Föryngringsavverkning</t>
        </is>
      </c>
      <c r="D393" s="1" t="n">
        <v>45975</v>
      </c>
      <c r="E393" s="1" t="n">
        <v>46216</v>
      </c>
      <c r="F393" t="inlineStr">
        <is>
          <t>VÄSTERBOTTENS LÄN</t>
        </is>
      </c>
      <c r="G393" t="inlineStr">
        <is>
          <t>ÅSELE</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56536-2025</t>
        </is>
      </c>
      <c r="B394" t="inlineStr">
        <is>
          <t>avverkningsanmälan</t>
        </is>
      </c>
      <c r="C394" t="inlineStr">
        <is>
          <t>Föryngringsavverkning</t>
        </is>
      </c>
      <c r="D394" s="1" t="n">
        <v>45975</v>
      </c>
      <c r="E394" s="1" t="n">
        <v>46216</v>
      </c>
      <c r="F394" t="inlineStr">
        <is>
          <t>VÄSTERBOTTENS LÄN</t>
        </is>
      </c>
      <c r="G394" t="inlineStr">
        <is>
          <t>ÅSELE</t>
        </is>
      </c>
      <c r="H394" t="inlineStr">
        <is>
          <t>Holmen skog AB</t>
        </is>
      </c>
      <c r="I394" t="n">
        <v>13.3</v>
      </c>
      <c r="J394" t="n">
        <v>0</v>
      </c>
      <c r="K394" t="n">
        <v>0</v>
      </c>
      <c r="L394" t="n">
        <v>0</v>
      </c>
      <c r="M394" t="n">
        <v>0</v>
      </c>
      <c r="N394" t="n">
        <v>0</v>
      </c>
      <c r="O394" t="n">
        <v>0</v>
      </c>
      <c r="P394" t="n">
        <v>0</v>
      </c>
      <c r="Q394" t="n">
        <v>0</v>
      </c>
      <c r="R394" t="n">
        <v>0</v>
      </c>
      <c r="S394" t="n">
        <v>0</v>
      </c>
      <c r="T394" t="n">
        <v>0</v>
      </c>
      <c r="U394" s="2" t="inlineStr"/>
    </row>
    <row r="395" ht="15" customHeight="1">
      <c r="A395" t="inlineStr">
        <is>
          <t>A 6185-2026</t>
        </is>
      </c>
      <c r="B395" t="inlineStr">
        <is>
          <t>avverkningsanmälan</t>
        </is>
      </c>
      <c r="C395" t="inlineStr">
        <is>
          <t>Föryngringsavverkning</t>
        </is>
      </c>
      <c r="D395" s="1" t="n">
        <v>46055</v>
      </c>
      <c r="E395" s="1" t="n">
        <v>46216</v>
      </c>
      <c r="F395" t="inlineStr">
        <is>
          <t>VÄSTERBOTTENS LÄN</t>
        </is>
      </c>
      <c r="G395" t="inlineStr">
        <is>
          <t>ÅSELE</t>
        </is>
      </c>
      <c r="H395" t="inlineStr">
        <is>
          <t>SCA</t>
        </is>
      </c>
      <c r="I395" t="n">
        <v>6.4</v>
      </c>
      <c r="J395" t="n">
        <v>0</v>
      </c>
      <c r="K395" t="n">
        <v>0</v>
      </c>
      <c r="L395" t="n">
        <v>0</v>
      </c>
      <c r="M395" t="n">
        <v>0</v>
      </c>
      <c r="N395" t="n">
        <v>0</v>
      </c>
      <c r="O395" t="n">
        <v>0</v>
      </c>
      <c r="P395" t="n">
        <v>0</v>
      </c>
      <c r="Q395" t="n">
        <v>0</v>
      </c>
      <c r="R395" t="n">
        <v>0</v>
      </c>
      <c r="S395" t="n">
        <v>0</v>
      </c>
      <c r="T395" t="n">
        <v>0</v>
      </c>
      <c r="U395" s="2" t="inlineStr"/>
    </row>
    <row r="396" ht="15" customHeight="1">
      <c r="A396" t="inlineStr">
        <is>
          <t>A 56551-2025</t>
        </is>
      </c>
      <c r="B396" t="inlineStr">
        <is>
          <t>avverkningsanmälan</t>
        </is>
      </c>
      <c r="C396" t="inlineStr">
        <is>
          <t>Föryngringsavverkning</t>
        </is>
      </c>
      <c r="D396" s="1" t="n">
        <v>45975</v>
      </c>
      <c r="E396" s="1" t="n">
        <v>46216</v>
      </c>
      <c r="F396" t="inlineStr">
        <is>
          <t>VÄSTERBOTTENS LÄN</t>
        </is>
      </c>
      <c r="G396" t="inlineStr">
        <is>
          <t>ÅSELE</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56583-2025</t>
        </is>
      </c>
      <c r="B397" t="inlineStr">
        <is>
          <t>avverkningsanmälan</t>
        </is>
      </c>
      <c r="C397" t="inlineStr">
        <is>
          <t>Föryngringsavverkning</t>
        </is>
      </c>
      <c r="D397" s="1" t="n">
        <v>45975</v>
      </c>
      <c r="E397" s="1" t="n">
        <v>46216</v>
      </c>
      <c r="F397" t="inlineStr">
        <is>
          <t>VÄSTERBOTTENS LÄN</t>
        </is>
      </c>
      <c r="G397" t="inlineStr">
        <is>
          <t>ÅSELE</t>
        </is>
      </c>
      <c r="I397" t="n">
        <v>11.6</v>
      </c>
      <c r="J397" t="n">
        <v>0</v>
      </c>
      <c r="K397" t="n">
        <v>0</v>
      </c>
      <c r="L397" t="n">
        <v>0</v>
      </c>
      <c r="M397" t="n">
        <v>0</v>
      </c>
      <c r="N397" t="n">
        <v>0</v>
      </c>
      <c r="O397" t="n">
        <v>0</v>
      </c>
      <c r="P397" t="n">
        <v>0</v>
      </c>
      <c r="Q397" t="n">
        <v>0</v>
      </c>
      <c r="R397" t="n">
        <v>0</v>
      </c>
      <c r="S397" t="n">
        <v>0</v>
      </c>
      <c r="T397" t="n">
        <v>0</v>
      </c>
      <c r="U397" s="2" t="inlineStr"/>
    </row>
    <row r="398" ht="15" customHeight="1">
      <c r="A398" t="inlineStr">
        <is>
          <t>A 6902-2026</t>
        </is>
      </c>
      <c r="B398" t="inlineStr">
        <is>
          <t>avverkningsanmälan</t>
        </is>
      </c>
      <c r="C398" t="inlineStr">
        <is>
          <t>Föryngringsavverkning</t>
        </is>
      </c>
      <c r="D398" s="1" t="n">
        <v>46057</v>
      </c>
      <c r="E398" s="1" t="n">
        <v>46216</v>
      </c>
      <c r="F398" t="inlineStr">
        <is>
          <t>VÄSTERBOTTENS LÄN</t>
        </is>
      </c>
      <c r="G398" t="inlineStr">
        <is>
          <t>ÅSELE</t>
        </is>
      </c>
      <c r="H398" t="inlineStr">
        <is>
          <t>SCA</t>
        </is>
      </c>
      <c r="I398" t="n">
        <v>0.3</v>
      </c>
      <c r="J398" t="n">
        <v>0</v>
      </c>
      <c r="K398" t="n">
        <v>0</v>
      </c>
      <c r="L398" t="n">
        <v>0</v>
      </c>
      <c r="M398" t="n">
        <v>0</v>
      </c>
      <c r="N398" t="n">
        <v>0</v>
      </c>
      <c r="O398" t="n">
        <v>0</v>
      </c>
      <c r="P398" t="n">
        <v>0</v>
      </c>
      <c r="Q398" t="n">
        <v>0</v>
      </c>
      <c r="R398" t="n">
        <v>0</v>
      </c>
      <c r="S398" t="n">
        <v>0</v>
      </c>
      <c r="T398" t="n">
        <v>0</v>
      </c>
      <c r="U398" s="2" t="inlineStr"/>
    </row>
    <row r="399" ht="15" customHeight="1">
      <c r="A399" t="inlineStr">
        <is>
          <t>A 6553-2026</t>
        </is>
      </c>
      <c r="B399" t="inlineStr">
        <is>
          <t>avverkningsanmälan</t>
        </is>
      </c>
      <c r="C399" t="inlineStr">
        <is>
          <t>Föryngringsavverkning</t>
        </is>
      </c>
      <c r="D399" s="1" t="n">
        <v>46056</v>
      </c>
      <c r="E399" s="1" t="n">
        <v>46216</v>
      </c>
      <c r="F399" t="inlineStr">
        <is>
          <t>VÄSTERBOTTENS LÄN</t>
        </is>
      </c>
      <c r="G399" t="inlineStr">
        <is>
          <t>ÅSELE</t>
        </is>
      </c>
      <c r="I399" t="n">
        <v>2.5</v>
      </c>
      <c r="J399" t="n">
        <v>0</v>
      </c>
      <c r="K399" t="n">
        <v>0</v>
      </c>
      <c r="L399" t="n">
        <v>0</v>
      </c>
      <c r="M399" t="n">
        <v>0</v>
      </c>
      <c r="N399" t="n">
        <v>0</v>
      </c>
      <c r="O399" t="n">
        <v>0</v>
      </c>
      <c r="P399" t="n">
        <v>0</v>
      </c>
      <c r="Q399" t="n">
        <v>0</v>
      </c>
      <c r="R399" t="n">
        <v>0</v>
      </c>
      <c r="S399" t="n">
        <v>0</v>
      </c>
      <c r="T399" t="n">
        <v>0</v>
      </c>
      <c r="U399" s="2" t="inlineStr"/>
    </row>
    <row r="400" ht="15" customHeight="1">
      <c r="A400" t="inlineStr">
        <is>
          <t>A 22113-2024</t>
        </is>
      </c>
      <c r="B400" t="inlineStr">
        <is>
          <t>avverkningsanmälan</t>
        </is>
      </c>
      <c r="C400" t="inlineStr">
        <is>
          <t>Föryngringsavverkning</t>
        </is>
      </c>
      <c r="D400" s="1" t="n">
        <v>45443</v>
      </c>
      <c r="E400" s="1" t="n">
        <v>46216</v>
      </c>
      <c r="F400" t="inlineStr">
        <is>
          <t>VÄSTERBOTTENS LÄN</t>
        </is>
      </c>
      <c r="G400" t="inlineStr">
        <is>
          <t>ÅSELE</t>
        </is>
      </c>
      <c r="H400" t="inlineStr">
        <is>
          <t>SCA</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29962-2024</t>
        </is>
      </c>
      <c r="B401" t="inlineStr">
        <is>
          <t>avverkningsanmälan</t>
        </is>
      </c>
      <c r="C401" t="inlineStr">
        <is>
          <t>Föryngringsavverkning</t>
        </is>
      </c>
      <c r="D401" s="1" t="n">
        <v>45488</v>
      </c>
      <c r="E401" s="1" t="n">
        <v>46216</v>
      </c>
      <c r="F401" t="inlineStr">
        <is>
          <t>VÄSTERBOTTENS LÄN</t>
        </is>
      </c>
      <c r="G401" t="inlineStr">
        <is>
          <t>ÅSELE</t>
        </is>
      </c>
      <c r="I401" t="n">
        <v>8.800000000000001</v>
      </c>
      <c r="J401" t="n">
        <v>0</v>
      </c>
      <c r="K401" t="n">
        <v>0</v>
      </c>
      <c r="L401" t="n">
        <v>0</v>
      </c>
      <c r="M401" t="n">
        <v>0</v>
      </c>
      <c r="N401" t="n">
        <v>0</v>
      </c>
      <c r="O401" t="n">
        <v>0</v>
      </c>
      <c r="P401" t="n">
        <v>0</v>
      </c>
      <c r="Q401" t="n">
        <v>0</v>
      </c>
      <c r="R401" t="n">
        <v>0</v>
      </c>
      <c r="S401" t="n">
        <v>0</v>
      </c>
      <c r="T401" t="n">
        <v>0</v>
      </c>
      <c r="U401" s="2" t="inlineStr"/>
    </row>
    <row r="402" ht="15" customHeight="1">
      <c r="A402" t="inlineStr">
        <is>
          <t>A 6565-2026</t>
        </is>
      </c>
      <c r="B402" t="inlineStr">
        <is>
          <t>avverkningsanmälan</t>
        </is>
      </c>
      <c r="C402" t="inlineStr">
        <is>
          <t>Föryngringsavverkning</t>
        </is>
      </c>
      <c r="D402" s="1" t="n">
        <v>46056</v>
      </c>
      <c r="E402" s="1" t="n">
        <v>46216</v>
      </c>
      <c r="F402" t="inlineStr">
        <is>
          <t>VÄSTERBOTTENS LÄN</t>
        </is>
      </c>
      <c r="G402" t="inlineStr">
        <is>
          <t>ÅSELE</t>
        </is>
      </c>
      <c r="I402" t="n">
        <v>2.3</v>
      </c>
      <c r="J402" t="n">
        <v>0</v>
      </c>
      <c r="K402" t="n">
        <v>0</v>
      </c>
      <c r="L402" t="n">
        <v>0</v>
      </c>
      <c r="M402" t="n">
        <v>0</v>
      </c>
      <c r="N402" t="n">
        <v>0</v>
      </c>
      <c r="O402" t="n">
        <v>0</v>
      </c>
      <c r="P402" t="n">
        <v>0</v>
      </c>
      <c r="Q402" t="n">
        <v>0</v>
      </c>
      <c r="R402" t="n">
        <v>0</v>
      </c>
      <c r="S402" t="n">
        <v>0</v>
      </c>
      <c r="T402" t="n">
        <v>0</v>
      </c>
      <c r="U402" s="2" t="inlineStr"/>
    </row>
    <row r="403" ht="15" customHeight="1">
      <c r="A403" t="inlineStr">
        <is>
          <t>A 56743-2025</t>
        </is>
      </c>
      <c r="B403" t="inlineStr">
        <is>
          <t>avverkningsanmälan</t>
        </is>
      </c>
      <c r="C403" t="inlineStr">
        <is>
          <t>Föryngringsavverkning</t>
        </is>
      </c>
      <c r="D403" s="1" t="n">
        <v>45978</v>
      </c>
      <c r="E403" s="1" t="n">
        <v>46216</v>
      </c>
      <c r="F403" t="inlineStr">
        <is>
          <t>VÄSTERBOTTENS LÄN</t>
        </is>
      </c>
      <c r="G403" t="inlineStr">
        <is>
          <t>ÅSELE</t>
        </is>
      </c>
      <c r="I403" t="n">
        <v>2.3</v>
      </c>
      <c r="J403" t="n">
        <v>0</v>
      </c>
      <c r="K403" t="n">
        <v>0</v>
      </c>
      <c r="L403" t="n">
        <v>0</v>
      </c>
      <c r="M403" t="n">
        <v>0</v>
      </c>
      <c r="N403" t="n">
        <v>0</v>
      </c>
      <c r="O403" t="n">
        <v>0</v>
      </c>
      <c r="P403" t="n">
        <v>0</v>
      </c>
      <c r="Q403" t="n">
        <v>0</v>
      </c>
      <c r="R403" t="n">
        <v>0</v>
      </c>
      <c r="S403" t="n">
        <v>0</v>
      </c>
      <c r="T403" t="n">
        <v>0</v>
      </c>
      <c r="U403" s="2" t="inlineStr"/>
    </row>
    <row r="404" ht="15" customHeight="1">
      <c r="A404" t="inlineStr">
        <is>
          <t>A 57118-2025</t>
        </is>
      </c>
      <c r="B404" t="inlineStr">
        <is>
          <t>avverkningsanmälan</t>
        </is>
      </c>
      <c r="C404" t="inlineStr">
        <is>
          <t>Föryngringsavverkning</t>
        </is>
      </c>
      <c r="D404" s="1" t="n">
        <v>45979</v>
      </c>
      <c r="E404" s="1" t="n">
        <v>46216</v>
      </c>
      <c r="F404" t="inlineStr">
        <is>
          <t>VÄSTERBOTTENS LÄN</t>
        </is>
      </c>
      <c r="G404" t="inlineStr">
        <is>
          <t>ÅSELE</t>
        </is>
      </c>
      <c r="I404" t="n">
        <v>3.4</v>
      </c>
      <c r="J404" t="n">
        <v>0</v>
      </c>
      <c r="K404" t="n">
        <v>0</v>
      </c>
      <c r="L404" t="n">
        <v>0</v>
      </c>
      <c r="M404" t="n">
        <v>0</v>
      </c>
      <c r="N404" t="n">
        <v>0</v>
      </c>
      <c r="O404" t="n">
        <v>0</v>
      </c>
      <c r="P404" t="n">
        <v>0</v>
      </c>
      <c r="Q404" t="n">
        <v>0</v>
      </c>
      <c r="R404" t="n">
        <v>0</v>
      </c>
      <c r="S404" t="n">
        <v>0</v>
      </c>
      <c r="T404" t="n">
        <v>0</v>
      </c>
      <c r="U404" s="2" t="inlineStr"/>
    </row>
    <row r="405" ht="15" customHeight="1">
      <c r="A405" t="inlineStr">
        <is>
          <t>A 6911-2026</t>
        </is>
      </c>
      <c r="B405" t="inlineStr">
        <is>
          <t>avverkningsanmälan</t>
        </is>
      </c>
      <c r="C405" t="inlineStr">
        <is>
          <t>Föryngringsavverkning</t>
        </is>
      </c>
      <c r="D405" s="1" t="n">
        <v>46057</v>
      </c>
      <c r="E405" s="1" t="n">
        <v>46216</v>
      </c>
      <c r="F405" t="inlineStr">
        <is>
          <t>VÄSTERBOTTENS LÄN</t>
        </is>
      </c>
      <c r="G405" t="inlineStr">
        <is>
          <t>ÅSELE</t>
        </is>
      </c>
      <c r="H405" t="inlineStr">
        <is>
          <t>SCA</t>
        </is>
      </c>
      <c r="I405" t="n">
        <v>3.2</v>
      </c>
      <c r="J405" t="n">
        <v>0</v>
      </c>
      <c r="K405" t="n">
        <v>0</v>
      </c>
      <c r="L405" t="n">
        <v>0</v>
      </c>
      <c r="M405" t="n">
        <v>0</v>
      </c>
      <c r="N405" t="n">
        <v>0</v>
      </c>
      <c r="O405" t="n">
        <v>0</v>
      </c>
      <c r="P405" t="n">
        <v>0</v>
      </c>
      <c r="Q405" t="n">
        <v>0</v>
      </c>
      <c r="R405" t="n">
        <v>0</v>
      </c>
      <c r="S405" t="n">
        <v>0</v>
      </c>
      <c r="T405" t="n">
        <v>0</v>
      </c>
      <c r="U405" s="2" t="inlineStr"/>
    </row>
    <row r="406" ht="15" customHeight="1">
      <c r="A406" t="inlineStr">
        <is>
          <t>A 6910-2026</t>
        </is>
      </c>
      <c r="B406" t="inlineStr">
        <is>
          <t>avverkningsanmälan</t>
        </is>
      </c>
      <c r="C406" t="inlineStr">
        <is>
          <t>Föryngringsavverkning</t>
        </is>
      </c>
      <c r="D406" s="1" t="n">
        <v>46057</v>
      </c>
      <c r="E406" s="1" t="n">
        <v>46216</v>
      </c>
      <c r="F406" t="inlineStr">
        <is>
          <t>VÄSTERBOTTENS LÄN</t>
        </is>
      </c>
      <c r="G406" t="inlineStr">
        <is>
          <t>ÅSELE</t>
        </is>
      </c>
      <c r="H406" t="inlineStr">
        <is>
          <t>SCA</t>
        </is>
      </c>
      <c r="I406" t="n">
        <v>3.5</v>
      </c>
      <c r="J406" t="n">
        <v>0</v>
      </c>
      <c r="K406" t="n">
        <v>0</v>
      </c>
      <c r="L406" t="n">
        <v>0</v>
      </c>
      <c r="M406" t="n">
        <v>0</v>
      </c>
      <c r="N406" t="n">
        <v>0</v>
      </c>
      <c r="O406" t="n">
        <v>0</v>
      </c>
      <c r="P406" t="n">
        <v>0</v>
      </c>
      <c r="Q406" t="n">
        <v>0</v>
      </c>
      <c r="R406" t="n">
        <v>0</v>
      </c>
      <c r="S406" t="n">
        <v>0</v>
      </c>
      <c r="T406" t="n">
        <v>0</v>
      </c>
      <c r="U406" s="2" t="inlineStr"/>
    </row>
    <row r="407" ht="15" customHeight="1">
      <c r="A407" t="inlineStr">
        <is>
          <t>A 57895-2025</t>
        </is>
      </c>
      <c r="B407" t="inlineStr">
        <is>
          <t>avverkningsanmälan</t>
        </is>
      </c>
      <c r="C407" t="inlineStr">
        <is>
          <t>Föryngringsavverkning</t>
        </is>
      </c>
      <c r="D407" s="1" t="n">
        <v>45981</v>
      </c>
      <c r="E407" s="1" t="n">
        <v>46216</v>
      </c>
      <c r="F407" t="inlineStr">
        <is>
          <t>VÄSTERBOTTENS LÄN</t>
        </is>
      </c>
      <c r="G407" t="inlineStr">
        <is>
          <t>ÅSELE</t>
        </is>
      </c>
      <c r="H407" t="inlineStr">
        <is>
          <t>Holmen skog AB</t>
        </is>
      </c>
      <c r="I407" t="n">
        <v>10.3</v>
      </c>
      <c r="J407" t="n">
        <v>0</v>
      </c>
      <c r="K407" t="n">
        <v>0</v>
      </c>
      <c r="L407" t="n">
        <v>0</v>
      </c>
      <c r="M407" t="n">
        <v>0</v>
      </c>
      <c r="N407" t="n">
        <v>0</v>
      </c>
      <c r="O407" t="n">
        <v>0</v>
      </c>
      <c r="P407" t="n">
        <v>0</v>
      </c>
      <c r="Q407" t="n">
        <v>0</v>
      </c>
      <c r="R407" t="n">
        <v>0</v>
      </c>
      <c r="S407" t="n">
        <v>0</v>
      </c>
      <c r="T407" t="n">
        <v>0</v>
      </c>
      <c r="U407" s="2" t="inlineStr"/>
    </row>
    <row r="408" ht="15" customHeight="1">
      <c r="A408" t="inlineStr">
        <is>
          <t>A 57339-2025</t>
        </is>
      </c>
      <c r="B408" t="inlineStr">
        <is>
          <t>avverkningsanmälan</t>
        </is>
      </c>
      <c r="C408" t="inlineStr">
        <is>
          <t>Föryngringsavverkning</t>
        </is>
      </c>
      <c r="D408" s="1" t="n">
        <v>45980</v>
      </c>
      <c r="E408" s="1" t="n">
        <v>46216</v>
      </c>
      <c r="F408" t="inlineStr">
        <is>
          <t>VÄSTERBOTTENS LÄN</t>
        </is>
      </c>
      <c r="G408" t="inlineStr">
        <is>
          <t>ÅSELE</t>
        </is>
      </c>
      <c r="H408" t="inlineStr">
        <is>
          <t>SCA</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743-2025</t>
        </is>
      </c>
      <c r="B409" t="inlineStr">
        <is>
          <t>avverkningsanmälan</t>
        </is>
      </c>
      <c r="C409" t="inlineStr">
        <is>
          <t>Föryngringsavverkning</t>
        </is>
      </c>
      <c r="D409" s="1" t="n">
        <v>45665</v>
      </c>
      <c r="E409" s="1" t="n">
        <v>46216</v>
      </c>
      <c r="F409" t="inlineStr">
        <is>
          <t>VÄSTERBOTTENS LÄN</t>
        </is>
      </c>
      <c r="G409" t="inlineStr">
        <is>
          <t>ÅSELE</t>
        </is>
      </c>
      <c r="H409" t="inlineStr">
        <is>
          <t>Naturvårdsverket</t>
        </is>
      </c>
      <c r="I409" t="n">
        <v>2</v>
      </c>
      <c r="J409" t="n">
        <v>0</v>
      </c>
      <c r="K409" t="n">
        <v>0</v>
      </c>
      <c r="L409" t="n">
        <v>0</v>
      </c>
      <c r="M409" t="n">
        <v>0</v>
      </c>
      <c r="N409" t="n">
        <v>0</v>
      </c>
      <c r="O409" t="n">
        <v>0</v>
      </c>
      <c r="P409" t="n">
        <v>0</v>
      </c>
      <c r="Q409" t="n">
        <v>0</v>
      </c>
      <c r="R409" t="n">
        <v>0</v>
      </c>
      <c r="S409" t="n">
        <v>0</v>
      </c>
      <c r="T409" t="n">
        <v>0</v>
      </c>
      <c r="U409" s="2" t="inlineStr"/>
    </row>
    <row r="410" ht="15" customHeight="1">
      <c r="A410" t="inlineStr">
        <is>
          <t>A 49928-2023</t>
        </is>
      </c>
      <c r="B410" t="inlineStr">
        <is>
          <t>avverkningsanmälan</t>
        </is>
      </c>
      <c r="C410" t="inlineStr">
        <is>
          <t>Avverkning för att bevara och utveckla /försöksver</t>
        </is>
      </c>
      <c r="D410" s="1" t="n">
        <v>45214</v>
      </c>
      <c r="E410" s="1" t="n">
        <v>46216</v>
      </c>
      <c r="F410" t="inlineStr">
        <is>
          <t>VÄSTERBOTTENS LÄN</t>
        </is>
      </c>
      <c r="G410" t="inlineStr">
        <is>
          <t>ÅSELE</t>
        </is>
      </c>
      <c r="H410" t="inlineStr">
        <is>
          <t>SCA</t>
        </is>
      </c>
      <c r="I410" t="n">
        <v>3.9</v>
      </c>
      <c r="J410" t="n">
        <v>0</v>
      </c>
      <c r="K410" t="n">
        <v>0</v>
      </c>
      <c r="L410" t="n">
        <v>0</v>
      </c>
      <c r="M410" t="n">
        <v>0</v>
      </c>
      <c r="N410" t="n">
        <v>0</v>
      </c>
      <c r="O410" t="n">
        <v>0</v>
      </c>
      <c r="P410" t="n">
        <v>0</v>
      </c>
      <c r="Q410" t="n">
        <v>0</v>
      </c>
      <c r="R410" t="n">
        <v>0</v>
      </c>
      <c r="S410" t="n">
        <v>0</v>
      </c>
      <c r="T410" t="n">
        <v>0</v>
      </c>
      <c r="U410" s="2" t="inlineStr"/>
    </row>
    <row r="411" ht="15" customHeight="1">
      <c r="A411" t="inlineStr">
        <is>
          <t>A 54957-2024</t>
        </is>
      </c>
      <c r="B411" t="inlineStr">
        <is>
          <t>avverkningsanmälan</t>
        </is>
      </c>
      <c r="C411" t="inlineStr">
        <is>
          <t>Föryngringsavverkning</t>
        </is>
      </c>
      <c r="D411" s="1" t="n">
        <v>45619</v>
      </c>
      <c r="E411" s="1" t="n">
        <v>46216</v>
      </c>
      <c r="F411" t="inlineStr">
        <is>
          <t>VÄSTERBOTTENS LÄN</t>
        </is>
      </c>
      <c r="G411" t="inlineStr">
        <is>
          <t>ÅSELE</t>
        </is>
      </c>
      <c r="H411" t="inlineStr">
        <is>
          <t>SCA</t>
        </is>
      </c>
      <c r="I411" t="n">
        <v>17.4</v>
      </c>
      <c r="J411" t="n">
        <v>0</v>
      </c>
      <c r="K411" t="n">
        <v>0</v>
      </c>
      <c r="L411" t="n">
        <v>0</v>
      </c>
      <c r="M411" t="n">
        <v>0</v>
      </c>
      <c r="N411" t="n">
        <v>0</v>
      </c>
      <c r="O411" t="n">
        <v>0</v>
      </c>
      <c r="P411" t="n">
        <v>0</v>
      </c>
      <c r="Q411" t="n">
        <v>0</v>
      </c>
      <c r="R411" t="n">
        <v>0</v>
      </c>
      <c r="S411" t="n">
        <v>0</v>
      </c>
      <c r="T411" t="n">
        <v>0</v>
      </c>
      <c r="U411" s="2" t="inlineStr"/>
    </row>
    <row r="412" ht="15" customHeight="1">
      <c r="A412" t="inlineStr">
        <is>
          <t>A 58441-2025</t>
        </is>
      </c>
      <c r="B412" t="inlineStr">
        <is>
          <t>avverkningsanmälan</t>
        </is>
      </c>
      <c r="C412" t="inlineStr">
        <is>
          <t>Föryngringsavverkning</t>
        </is>
      </c>
      <c r="D412" s="1" t="n">
        <v>45985</v>
      </c>
      <c r="E412" s="1" t="n">
        <v>46216</v>
      </c>
      <c r="F412" t="inlineStr">
        <is>
          <t>VÄSTERBOTTENS LÄN</t>
        </is>
      </c>
      <c r="G412" t="inlineStr">
        <is>
          <t>ÅSELE</t>
        </is>
      </c>
      <c r="H412" t="inlineStr">
        <is>
          <t>Sveaskog</t>
        </is>
      </c>
      <c r="I412" t="n">
        <v>7.4</v>
      </c>
      <c r="J412" t="n">
        <v>0</v>
      </c>
      <c r="K412" t="n">
        <v>0</v>
      </c>
      <c r="L412" t="n">
        <v>0</v>
      </c>
      <c r="M412" t="n">
        <v>0</v>
      </c>
      <c r="N412" t="n">
        <v>0</v>
      </c>
      <c r="O412" t="n">
        <v>0</v>
      </c>
      <c r="P412" t="n">
        <v>0</v>
      </c>
      <c r="Q412" t="n">
        <v>0</v>
      </c>
      <c r="R412" t="n">
        <v>0</v>
      </c>
      <c r="S412" t="n">
        <v>0</v>
      </c>
      <c r="T412" t="n">
        <v>0</v>
      </c>
      <c r="U412" s="2" t="inlineStr"/>
    </row>
    <row r="413" ht="15" customHeight="1">
      <c r="A413" t="inlineStr">
        <is>
          <t>A 58423-2025</t>
        </is>
      </c>
      <c r="B413" t="inlineStr">
        <is>
          <t>avverkningsanmälan</t>
        </is>
      </c>
      <c r="C413" t="inlineStr">
        <is>
          <t>Föryngringsavverkning</t>
        </is>
      </c>
      <c r="D413" s="1" t="n">
        <v>45985</v>
      </c>
      <c r="E413" s="1" t="n">
        <v>46216</v>
      </c>
      <c r="F413" t="inlineStr">
        <is>
          <t>VÄSTERBOTTENS LÄN</t>
        </is>
      </c>
      <c r="G413" t="inlineStr">
        <is>
          <t>ÅSELE</t>
        </is>
      </c>
      <c r="H413" t="inlineStr">
        <is>
          <t>Sveaskog</t>
        </is>
      </c>
      <c r="I413" t="n">
        <v>3.5</v>
      </c>
      <c r="J413" t="n">
        <v>0</v>
      </c>
      <c r="K413" t="n">
        <v>0</v>
      </c>
      <c r="L413" t="n">
        <v>0</v>
      </c>
      <c r="M413" t="n">
        <v>0</v>
      </c>
      <c r="N413" t="n">
        <v>0</v>
      </c>
      <c r="O413" t="n">
        <v>0</v>
      </c>
      <c r="P413" t="n">
        <v>0</v>
      </c>
      <c r="Q413" t="n">
        <v>0</v>
      </c>
      <c r="R413" t="n">
        <v>0</v>
      </c>
      <c r="S413" t="n">
        <v>0</v>
      </c>
      <c r="T413" t="n">
        <v>0</v>
      </c>
      <c r="U413" s="2" t="inlineStr"/>
    </row>
    <row r="414" ht="15" customHeight="1">
      <c r="A414" t="inlineStr">
        <is>
          <t>A 58465-2025</t>
        </is>
      </c>
      <c r="B414" t="inlineStr">
        <is>
          <t>avverkningsanmälan</t>
        </is>
      </c>
      <c r="C414" t="inlineStr">
        <is>
          <t>Föryngringsavverkning</t>
        </is>
      </c>
      <c r="D414" s="1" t="n">
        <v>45985</v>
      </c>
      <c r="E414" s="1" t="n">
        <v>46216</v>
      </c>
      <c r="F414" t="inlineStr">
        <is>
          <t>VÄSTERBOTTENS LÄN</t>
        </is>
      </c>
      <c r="G414" t="inlineStr">
        <is>
          <t>ÅSELE</t>
        </is>
      </c>
      <c r="H414" t="inlineStr">
        <is>
          <t>SCA</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58460-2025</t>
        </is>
      </c>
      <c r="B415" t="inlineStr">
        <is>
          <t>avverkningsanmälan</t>
        </is>
      </c>
      <c r="C415" t="inlineStr">
        <is>
          <t>Föryngringsavverkning</t>
        </is>
      </c>
      <c r="D415" s="1" t="n">
        <v>45985</v>
      </c>
      <c r="E415" s="1" t="n">
        <v>46216</v>
      </c>
      <c r="F415" t="inlineStr">
        <is>
          <t>VÄSTERBOTTENS LÄN</t>
        </is>
      </c>
      <c r="G415" t="inlineStr">
        <is>
          <t>ÅSELE</t>
        </is>
      </c>
      <c r="H415" t="inlineStr">
        <is>
          <t>SCA</t>
        </is>
      </c>
      <c r="I415" t="n">
        <v>4.4</v>
      </c>
      <c r="J415" t="n">
        <v>0</v>
      </c>
      <c r="K415" t="n">
        <v>0</v>
      </c>
      <c r="L415" t="n">
        <v>0</v>
      </c>
      <c r="M415" t="n">
        <v>0</v>
      </c>
      <c r="N415" t="n">
        <v>0</v>
      </c>
      <c r="O415" t="n">
        <v>0</v>
      </c>
      <c r="P415" t="n">
        <v>0</v>
      </c>
      <c r="Q415" t="n">
        <v>0</v>
      </c>
      <c r="R415" t="n">
        <v>0</v>
      </c>
      <c r="S415" t="n">
        <v>0</v>
      </c>
      <c r="T415" t="n">
        <v>0</v>
      </c>
      <c r="U415" s="2" t="inlineStr"/>
    </row>
    <row r="416" ht="15" customHeight="1">
      <c r="A416" t="inlineStr">
        <is>
          <t>A 58434-2025</t>
        </is>
      </c>
      <c r="B416" t="inlineStr">
        <is>
          <t>avverkningsanmälan</t>
        </is>
      </c>
      <c r="C416" t="inlineStr">
        <is>
          <t>Föryngringsavverkning</t>
        </is>
      </c>
      <c r="D416" s="1" t="n">
        <v>45985</v>
      </c>
      <c r="E416" s="1" t="n">
        <v>46216</v>
      </c>
      <c r="F416" t="inlineStr">
        <is>
          <t>VÄSTERBOTTENS LÄN</t>
        </is>
      </c>
      <c r="G416" t="inlineStr">
        <is>
          <t>ÅSELE</t>
        </is>
      </c>
      <c r="H416" t="inlineStr">
        <is>
          <t>Sveaskog</t>
        </is>
      </c>
      <c r="I416" t="n">
        <v>6.1</v>
      </c>
      <c r="J416" t="n">
        <v>0</v>
      </c>
      <c r="K416" t="n">
        <v>0</v>
      </c>
      <c r="L416" t="n">
        <v>0</v>
      </c>
      <c r="M416" t="n">
        <v>0</v>
      </c>
      <c r="N416" t="n">
        <v>0</v>
      </c>
      <c r="O416" t="n">
        <v>0</v>
      </c>
      <c r="P416" t="n">
        <v>0</v>
      </c>
      <c r="Q416" t="n">
        <v>0</v>
      </c>
      <c r="R416" t="n">
        <v>0</v>
      </c>
      <c r="S416" t="n">
        <v>0</v>
      </c>
      <c r="T416" t="n">
        <v>0</v>
      </c>
      <c r="U416" s="2" t="inlineStr"/>
    </row>
    <row r="417" ht="15" customHeight="1">
      <c r="A417" t="inlineStr">
        <is>
          <t>A 7512-2023</t>
        </is>
      </c>
      <c r="B417" t="inlineStr">
        <is>
          <t>avverkningsanmälan</t>
        </is>
      </c>
      <c r="C417" t="inlineStr">
        <is>
          <t>Föryngringsavverkning</t>
        </is>
      </c>
      <c r="D417" s="1" t="n">
        <v>44971</v>
      </c>
      <c r="E417" s="1" t="n">
        <v>46216</v>
      </c>
      <c r="F417" t="inlineStr">
        <is>
          <t>VÄSTERBOTTENS LÄN</t>
        </is>
      </c>
      <c r="G417" t="inlineStr">
        <is>
          <t>ÅSELE</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28731-2023</t>
        </is>
      </c>
      <c r="B418" t="inlineStr">
        <is>
          <t>avverkningsanmälan</t>
        </is>
      </c>
      <c r="C418" t="inlineStr">
        <is>
          <t>Föryngringsavverkning</t>
        </is>
      </c>
      <c r="D418" s="1" t="n">
        <v>45103</v>
      </c>
      <c r="E418" s="1" t="n">
        <v>46216</v>
      </c>
      <c r="F418" t="inlineStr">
        <is>
          <t>VÄSTERBOTTENS LÄN</t>
        </is>
      </c>
      <c r="G418" t="inlineStr">
        <is>
          <t>ÅSELE</t>
        </is>
      </c>
      <c r="H418" t="inlineStr">
        <is>
          <t>Sveaskog</t>
        </is>
      </c>
      <c r="I418" t="n">
        <v>4.9</v>
      </c>
      <c r="J418" t="n">
        <v>0</v>
      </c>
      <c r="K418" t="n">
        <v>0</v>
      </c>
      <c r="L418" t="n">
        <v>0</v>
      </c>
      <c r="M418" t="n">
        <v>0</v>
      </c>
      <c r="N418" t="n">
        <v>0</v>
      </c>
      <c r="O418" t="n">
        <v>0</v>
      </c>
      <c r="P418" t="n">
        <v>0</v>
      </c>
      <c r="Q418" t="n">
        <v>0</v>
      </c>
      <c r="R418" t="n">
        <v>0</v>
      </c>
      <c r="S418" t="n">
        <v>0</v>
      </c>
      <c r="T418" t="n">
        <v>0</v>
      </c>
      <c r="U418" s="2" t="inlineStr"/>
    </row>
    <row r="419" ht="15" customHeight="1">
      <c r="A419" t="inlineStr">
        <is>
          <t>A 42180-2021</t>
        </is>
      </c>
      <c r="B419" t="inlineStr">
        <is>
          <t>avverkningsanmälan</t>
        </is>
      </c>
      <c r="C419" t="inlineStr">
        <is>
          <t>Föryngringsavverkning</t>
        </is>
      </c>
      <c r="D419" s="1" t="n">
        <v>44426</v>
      </c>
      <c r="E419" s="1" t="n">
        <v>46216</v>
      </c>
      <c r="F419" t="inlineStr">
        <is>
          <t>VÄSTERBOTTENS LÄN</t>
        </is>
      </c>
      <c r="G419" t="inlineStr">
        <is>
          <t>ÅSELE</t>
        </is>
      </c>
      <c r="H419" t="inlineStr">
        <is>
          <t>Sveaskog</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43133-2023</t>
        </is>
      </c>
      <c r="B420" t="inlineStr">
        <is>
          <t>avverkningsanmälan</t>
        </is>
      </c>
      <c r="C420" t="inlineStr">
        <is>
          <t>Föryngringsavverkning</t>
        </is>
      </c>
      <c r="D420" s="1" t="n">
        <v>45182</v>
      </c>
      <c r="E420" s="1" t="n">
        <v>46216</v>
      </c>
      <c r="F420" t="inlineStr">
        <is>
          <t>VÄSTERBOTTENS LÄN</t>
        </is>
      </c>
      <c r="G420" t="inlineStr">
        <is>
          <t>ÅSELE</t>
        </is>
      </c>
      <c r="H420" t="inlineStr">
        <is>
          <t>SCA</t>
        </is>
      </c>
      <c r="I420" t="n">
        <v>14.1</v>
      </c>
      <c r="J420" t="n">
        <v>0</v>
      </c>
      <c r="K420" t="n">
        <v>0</v>
      </c>
      <c r="L420" t="n">
        <v>0</v>
      </c>
      <c r="M420" t="n">
        <v>0</v>
      </c>
      <c r="N420" t="n">
        <v>0</v>
      </c>
      <c r="O420" t="n">
        <v>0</v>
      </c>
      <c r="P420" t="n">
        <v>0</v>
      </c>
      <c r="Q420" t="n">
        <v>0</v>
      </c>
      <c r="R420" t="n">
        <v>0</v>
      </c>
      <c r="S420" t="n">
        <v>0</v>
      </c>
      <c r="T420" t="n">
        <v>0</v>
      </c>
      <c r="U420" s="2" t="inlineStr"/>
    </row>
    <row r="421" ht="15" customHeight="1">
      <c r="A421" t="inlineStr">
        <is>
          <t>A 58622-2025</t>
        </is>
      </c>
      <c r="B421" t="inlineStr">
        <is>
          <t>avverkningsanmälan</t>
        </is>
      </c>
      <c r="C421" t="inlineStr">
        <is>
          <t>Föryngringsavverkning</t>
        </is>
      </c>
      <c r="D421" s="1" t="n">
        <v>45986</v>
      </c>
      <c r="E421" s="1" t="n">
        <v>46216</v>
      </c>
      <c r="F421" t="inlineStr">
        <is>
          <t>VÄSTERBOTTENS LÄN</t>
        </is>
      </c>
      <c r="G421" t="inlineStr">
        <is>
          <t>ÅSELE</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20305-2025</t>
        </is>
      </c>
      <c r="B422" t="inlineStr">
        <is>
          <t>avverkningsanmälan</t>
        </is>
      </c>
      <c r="C422" t="inlineStr">
        <is>
          <t>Föryngringsavverkning</t>
        </is>
      </c>
      <c r="D422" s="1" t="n">
        <v>45774</v>
      </c>
      <c r="E422" s="1" t="n">
        <v>46216</v>
      </c>
      <c r="F422" t="inlineStr">
        <is>
          <t>VÄSTERBOTTENS LÄN</t>
        </is>
      </c>
      <c r="G422" t="inlineStr">
        <is>
          <t>ÅSELE</t>
        </is>
      </c>
      <c r="I422" t="n">
        <v>5.4</v>
      </c>
      <c r="J422" t="n">
        <v>0</v>
      </c>
      <c r="K422" t="n">
        <v>0</v>
      </c>
      <c r="L422" t="n">
        <v>0</v>
      </c>
      <c r="M422" t="n">
        <v>0</v>
      </c>
      <c r="N422" t="n">
        <v>0</v>
      </c>
      <c r="O422" t="n">
        <v>0</v>
      </c>
      <c r="P422" t="n">
        <v>0</v>
      </c>
      <c r="Q422" t="n">
        <v>0</v>
      </c>
      <c r="R422" t="n">
        <v>0</v>
      </c>
      <c r="S422" t="n">
        <v>0</v>
      </c>
      <c r="T422" t="n">
        <v>0</v>
      </c>
      <c r="U422" s="2" t="inlineStr"/>
    </row>
    <row r="423" ht="15" customHeight="1">
      <c r="A423" t="inlineStr">
        <is>
          <t>A 59912-2025</t>
        </is>
      </c>
      <c r="B423" t="inlineStr">
        <is>
          <t>avverkningsanmälan</t>
        </is>
      </c>
      <c r="C423" t="inlineStr">
        <is>
          <t>Föryngringsavverkning</t>
        </is>
      </c>
      <c r="D423" s="1" t="n">
        <v>45993</v>
      </c>
      <c r="E423" s="1" t="n">
        <v>46216</v>
      </c>
      <c r="F423" t="inlineStr">
        <is>
          <t>VÄSTERBOTTENS LÄN</t>
        </is>
      </c>
      <c r="G423" t="inlineStr">
        <is>
          <t>ÅSELE</t>
        </is>
      </c>
      <c r="I423" t="n">
        <v>5.1</v>
      </c>
      <c r="J423" t="n">
        <v>0</v>
      </c>
      <c r="K423" t="n">
        <v>0</v>
      </c>
      <c r="L423" t="n">
        <v>0</v>
      </c>
      <c r="M423" t="n">
        <v>0</v>
      </c>
      <c r="N423" t="n">
        <v>0</v>
      </c>
      <c r="O423" t="n">
        <v>0</v>
      </c>
      <c r="P423" t="n">
        <v>0</v>
      </c>
      <c r="Q423" t="n">
        <v>0</v>
      </c>
      <c r="R423" t="n">
        <v>0</v>
      </c>
      <c r="S423" t="n">
        <v>0</v>
      </c>
      <c r="T423" t="n">
        <v>0</v>
      </c>
      <c r="U423" s="2" t="inlineStr"/>
    </row>
    <row r="424" ht="15" customHeight="1">
      <c r="A424" t="inlineStr">
        <is>
          <t>A 4626-2022</t>
        </is>
      </c>
      <c r="B424" t="inlineStr">
        <is>
          <t>avverkningsanmälan</t>
        </is>
      </c>
      <c r="C424" t="inlineStr">
        <is>
          <t>Föryngringsavverkning</t>
        </is>
      </c>
      <c r="D424" s="1" t="n">
        <v>44592</v>
      </c>
      <c r="E424" s="1" t="n">
        <v>46216</v>
      </c>
      <c r="F424" t="inlineStr">
        <is>
          <t>VÄSTERBOTTENS LÄN</t>
        </is>
      </c>
      <c r="G424" t="inlineStr">
        <is>
          <t>ÅSELE</t>
        </is>
      </c>
      <c r="I424" t="n">
        <v>6.2</v>
      </c>
      <c r="J424" t="n">
        <v>0</v>
      </c>
      <c r="K424" t="n">
        <v>0</v>
      </c>
      <c r="L424" t="n">
        <v>0</v>
      </c>
      <c r="M424" t="n">
        <v>0</v>
      </c>
      <c r="N424" t="n">
        <v>0</v>
      </c>
      <c r="O424" t="n">
        <v>0</v>
      </c>
      <c r="P424" t="n">
        <v>0</v>
      </c>
      <c r="Q424" t="n">
        <v>0</v>
      </c>
      <c r="R424" t="n">
        <v>0</v>
      </c>
      <c r="S424" t="n">
        <v>0</v>
      </c>
      <c r="T424" t="n">
        <v>0</v>
      </c>
      <c r="U424" s="2" t="inlineStr"/>
    </row>
    <row r="425" ht="15" customHeight="1">
      <c r="A425" t="inlineStr">
        <is>
          <t>A 36959-2024</t>
        </is>
      </c>
      <c r="B425" t="inlineStr">
        <is>
          <t>avverkningsanmälan</t>
        </is>
      </c>
      <c r="C425" t="inlineStr">
        <is>
          <t>Föryngringsavverkning</t>
        </is>
      </c>
      <c r="D425" s="1" t="n">
        <v>45538</v>
      </c>
      <c r="E425" s="1" t="n">
        <v>46216</v>
      </c>
      <c r="F425" t="inlineStr">
        <is>
          <t>VÄSTERBOTTENS LÄN</t>
        </is>
      </c>
      <c r="G425" t="inlineStr">
        <is>
          <t>ÅSELE</t>
        </is>
      </c>
      <c r="H425" t="inlineStr">
        <is>
          <t>Naturvårdsverket</t>
        </is>
      </c>
      <c r="I425" t="n">
        <v>13.4</v>
      </c>
      <c r="J425" t="n">
        <v>0</v>
      </c>
      <c r="K425" t="n">
        <v>0</v>
      </c>
      <c r="L425" t="n">
        <v>0</v>
      </c>
      <c r="M425" t="n">
        <v>0</v>
      </c>
      <c r="N425" t="n">
        <v>0</v>
      </c>
      <c r="O425" t="n">
        <v>0</v>
      </c>
      <c r="P425" t="n">
        <v>0</v>
      </c>
      <c r="Q425" t="n">
        <v>0</v>
      </c>
      <c r="R425" t="n">
        <v>0</v>
      </c>
      <c r="S425" t="n">
        <v>0</v>
      </c>
      <c r="T425" t="n">
        <v>0</v>
      </c>
      <c r="U425" s="2" t="inlineStr"/>
    </row>
    <row r="426" ht="15" customHeight="1">
      <c r="A426" t="inlineStr">
        <is>
          <t>A 4619-2022</t>
        </is>
      </c>
      <c r="B426" t="inlineStr">
        <is>
          <t>avverkningsanmälan</t>
        </is>
      </c>
      <c r="C426" t="inlineStr">
        <is>
          <t>Föryngringsavverkning</t>
        </is>
      </c>
      <c r="D426" s="1" t="n">
        <v>44592</v>
      </c>
      <c r="E426" s="1" t="n">
        <v>46216</v>
      </c>
      <c r="F426" t="inlineStr">
        <is>
          <t>VÄSTERBOTTENS LÄN</t>
        </is>
      </c>
      <c r="G426" t="inlineStr">
        <is>
          <t>ÅSELE</t>
        </is>
      </c>
      <c r="I426" t="n">
        <v>17.6</v>
      </c>
      <c r="J426" t="n">
        <v>0</v>
      </c>
      <c r="K426" t="n">
        <v>0</v>
      </c>
      <c r="L426" t="n">
        <v>0</v>
      </c>
      <c r="M426" t="n">
        <v>0</v>
      </c>
      <c r="N426" t="n">
        <v>0</v>
      </c>
      <c r="O426" t="n">
        <v>0</v>
      </c>
      <c r="P426" t="n">
        <v>0</v>
      </c>
      <c r="Q426" t="n">
        <v>0</v>
      </c>
      <c r="R426" t="n">
        <v>0</v>
      </c>
      <c r="S426" t="n">
        <v>0</v>
      </c>
      <c r="T426" t="n">
        <v>0</v>
      </c>
      <c r="U426" s="2" t="inlineStr"/>
    </row>
    <row r="427" ht="15" customHeight="1">
      <c r="A427" t="inlineStr">
        <is>
          <t>A 28943-2024</t>
        </is>
      </c>
      <c r="B427" t="inlineStr">
        <is>
          <t>avverkningsanmälan</t>
        </is>
      </c>
      <c r="C427" t="inlineStr">
        <is>
          <t>Föryngringsavverkning</t>
        </is>
      </c>
      <c r="D427" s="1" t="n">
        <v>45481</v>
      </c>
      <c r="E427" s="1" t="n">
        <v>46216</v>
      </c>
      <c r="F427" t="inlineStr">
        <is>
          <t>VÄSTERBOTTENS LÄN</t>
        </is>
      </c>
      <c r="G427" t="inlineStr">
        <is>
          <t>ÅSELE</t>
        </is>
      </c>
      <c r="H427" t="inlineStr">
        <is>
          <t>Sveaskog</t>
        </is>
      </c>
      <c r="I427" t="n">
        <v>24.2</v>
      </c>
      <c r="J427" t="n">
        <v>0</v>
      </c>
      <c r="K427" t="n">
        <v>0</v>
      </c>
      <c r="L427" t="n">
        <v>0</v>
      </c>
      <c r="M427" t="n">
        <v>0</v>
      </c>
      <c r="N427" t="n">
        <v>0</v>
      </c>
      <c r="O427" t="n">
        <v>0</v>
      </c>
      <c r="P427" t="n">
        <v>0</v>
      </c>
      <c r="Q427" t="n">
        <v>0</v>
      </c>
      <c r="R427" t="n">
        <v>0</v>
      </c>
      <c r="S427" t="n">
        <v>0</v>
      </c>
      <c r="T427" t="n">
        <v>0</v>
      </c>
      <c r="U427" s="2" t="inlineStr"/>
    </row>
    <row r="428" ht="15" customHeight="1">
      <c r="A428" t="inlineStr">
        <is>
          <t>A 60469-2025</t>
        </is>
      </c>
      <c r="B428" t="inlineStr">
        <is>
          <t>avverkningsanmälan</t>
        </is>
      </c>
      <c r="C428" t="inlineStr">
        <is>
          <t>Föryngringsavverkning</t>
        </is>
      </c>
      <c r="D428" s="1" t="n">
        <v>45995</v>
      </c>
      <c r="E428" s="1" t="n">
        <v>46216</v>
      </c>
      <c r="F428" t="inlineStr">
        <is>
          <t>VÄSTERBOTTENS LÄN</t>
        </is>
      </c>
      <c r="G428" t="inlineStr">
        <is>
          <t>ÅSELE</t>
        </is>
      </c>
      <c r="I428" t="n">
        <v>0.1</v>
      </c>
      <c r="J428" t="n">
        <v>0</v>
      </c>
      <c r="K428" t="n">
        <v>0</v>
      </c>
      <c r="L428" t="n">
        <v>0</v>
      </c>
      <c r="M428" t="n">
        <v>0</v>
      </c>
      <c r="N428" t="n">
        <v>0</v>
      </c>
      <c r="O428" t="n">
        <v>0</v>
      </c>
      <c r="P428" t="n">
        <v>0</v>
      </c>
      <c r="Q428" t="n">
        <v>0</v>
      </c>
      <c r="R428" t="n">
        <v>0</v>
      </c>
      <c r="S428" t="n">
        <v>0</v>
      </c>
      <c r="T428" t="n">
        <v>0</v>
      </c>
      <c r="U428" s="2" t="inlineStr"/>
    </row>
    <row r="429" ht="15" customHeight="1">
      <c r="A429" t="inlineStr">
        <is>
          <t>A 9199-2026</t>
        </is>
      </c>
      <c r="B429" t="inlineStr">
        <is>
          <t>avverkningsanmälan</t>
        </is>
      </c>
      <c r="C429" t="inlineStr">
        <is>
          <t>Föryngringsavverkning</t>
        </is>
      </c>
      <c r="D429" s="1" t="n">
        <v>46070</v>
      </c>
      <c r="E429" s="1" t="n">
        <v>46216</v>
      </c>
      <c r="F429" t="inlineStr">
        <is>
          <t>VÄSTERBOTTENS LÄN</t>
        </is>
      </c>
      <c r="G429" t="inlineStr">
        <is>
          <t>ÅSELE</t>
        </is>
      </c>
      <c r="H429" t="inlineStr">
        <is>
          <t>SCA</t>
        </is>
      </c>
      <c r="I429" t="n">
        <v>3.7</v>
      </c>
      <c r="J429" t="n">
        <v>0</v>
      </c>
      <c r="K429" t="n">
        <v>0</v>
      </c>
      <c r="L429" t="n">
        <v>0</v>
      </c>
      <c r="M429" t="n">
        <v>0</v>
      </c>
      <c r="N429" t="n">
        <v>0</v>
      </c>
      <c r="O429" t="n">
        <v>0</v>
      </c>
      <c r="P429" t="n">
        <v>0</v>
      </c>
      <c r="Q429" t="n">
        <v>0</v>
      </c>
      <c r="R429" t="n">
        <v>0</v>
      </c>
      <c r="S429" t="n">
        <v>0</v>
      </c>
      <c r="T429" t="n">
        <v>0</v>
      </c>
      <c r="U429" s="2" t="inlineStr"/>
    </row>
    <row r="430" ht="15" customHeight="1">
      <c r="A430" t="inlineStr">
        <is>
          <t>A 8851-2024</t>
        </is>
      </c>
      <c r="B430" t="inlineStr">
        <is>
          <t>avverkningsanmälan</t>
        </is>
      </c>
      <c r="C430" t="inlineStr">
        <is>
          <t>Avverkning för annat ändamål</t>
        </is>
      </c>
      <c r="D430" s="1" t="n">
        <v>45356</v>
      </c>
      <c r="E430" s="1" t="n">
        <v>46216</v>
      </c>
      <c r="F430" t="inlineStr">
        <is>
          <t>VÄSTERBOTTENS LÄN</t>
        </is>
      </c>
      <c r="G430" t="inlineStr">
        <is>
          <t>ÅSELE</t>
        </is>
      </c>
      <c r="H430" t="inlineStr">
        <is>
          <t>Kommuner</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60723-2025</t>
        </is>
      </c>
      <c r="B431" t="inlineStr">
        <is>
          <t>avverkningsanmälan</t>
        </is>
      </c>
      <c r="C431" t="inlineStr">
        <is>
          <t>Avverkning för annat ändamål</t>
        </is>
      </c>
      <c r="D431" s="1" t="n">
        <v>45996</v>
      </c>
      <c r="E431" s="1" t="n">
        <v>46216</v>
      </c>
      <c r="F431" t="inlineStr">
        <is>
          <t>VÄSTERBOTTENS LÄN</t>
        </is>
      </c>
      <c r="G431" t="inlineStr">
        <is>
          <t>ÅSELE</t>
        </is>
      </c>
      <c r="H431" t="inlineStr">
        <is>
          <t>Holmen skog AB</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61450-2025</t>
        </is>
      </c>
      <c r="B432" t="inlineStr">
        <is>
          <t>avverkningsanmälan</t>
        </is>
      </c>
      <c r="C432" t="inlineStr">
        <is>
          <t>Föryngringsavverkning</t>
        </is>
      </c>
      <c r="D432" s="1" t="n">
        <v>46001</v>
      </c>
      <c r="E432" s="1" t="n">
        <v>46216</v>
      </c>
      <c r="F432" t="inlineStr">
        <is>
          <t>VÄSTERBOTTENS LÄN</t>
        </is>
      </c>
      <c r="G432" t="inlineStr">
        <is>
          <t>ÅSELE</t>
        </is>
      </c>
      <c r="H432" t="inlineStr">
        <is>
          <t>Sveaskog</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61506-2025</t>
        </is>
      </c>
      <c r="B433" t="inlineStr">
        <is>
          <t>avverkningsanmälan</t>
        </is>
      </c>
      <c r="C433" t="inlineStr">
        <is>
          <t>Föryngringsavverkning</t>
        </is>
      </c>
      <c r="D433" s="1" t="n">
        <v>46001</v>
      </c>
      <c r="E433" s="1" t="n">
        <v>46216</v>
      </c>
      <c r="F433" t="inlineStr">
        <is>
          <t>VÄSTERBOTTENS LÄN</t>
        </is>
      </c>
      <c r="G433" t="inlineStr">
        <is>
          <t>ÅSELE</t>
        </is>
      </c>
      <c r="H433" t="inlineStr">
        <is>
          <t>SCA</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33990-2024</t>
        </is>
      </c>
      <c r="B434" t="inlineStr">
        <is>
          <t>avverkningsanmälan</t>
        </is>
      </c>
      <c r="C434" t="inlineStr">
        <is>
          <t>Föryngringsavverkning</t>
        </is>
      </c>
      <c r="D434" s="1" t="n">
        <v>45523</v>
      </c>
      <c r="E434" s="1" t="n">
        <v>46216</v>
      </c>
      <c r="F434" t="inlineStr">
        <is>
          <t>VÄSTERBOTTENS LÄN</t>
        </is>
      </c>
      <c r="G434" t="inlineStr">
        <is>
          <t>ÅSELE</t>
        </is>
      </c>
      <c r="H434" t="inlineStr">
        <is>
          <t>Sveaskog</t>
        </is>
      </c>
      <c r="I434" t="n">
        <v>6.2</v>
      </c>
      <c r="J434" t="n">
        <v>0</v>
      </c>
      <c r="K434" t="n">
        <v>0</v>
      </c>
      <c r="L434" t="n">
        <v>0</v>
      </c>
      <c r="M434" t="n">
        <v>0</v>
      </c>
      <c r="N434" t="n">
        <v>0</v>
      </c>
      <c r="O434" t="n">
        <v>0</v>
      </c>
      <c r="P434" t="n">
        <v>0</v>
      </c>
      <c r="Q434" t="n">
        <v>0</v>
      </c>
      <c r="R434" t="n">
        <v>0</v>
      </c>
      <c r="S434" t="n">
        <v>0</v>
      </c>
      <c r="T434" t="n">
        <v>0</v>
      </c>
      <c r="U434" s="2" t="inlineStr"/>
    </row>
    <row r="435" ht="15" customHeight="1">
      <c r="A435" t="inlineStr">
        <is>
          <t>A 6283-2025</t>
        </is>
      </c>
      <c r="B435" t="inlineStr">
        <is>
          <t>avverkningsanmälan</t>
        </is>
      </c>
      <c r="C435" t="inlineStr">
        <is>
          <t>Föryngringsavverkning</t>
        </is>
      </c>
      <c r="D435" s="1" t="n">
        <v>45698</v>
      </c>
      <c r="E435" s="1" t="n">
        <v>46216</v>
      </c>
      <c r="F435" t="inlineStr">
        <is>
          <t>VÄSTERBOTTENS LÄN</t>
        </is>
      </c>
      <c r="G435" t="inlineStr">
        <is>
          <t>ÅSELE</t>
        </is>
      </c>
      <c r="H435" t="inlineStr">
        <is>
          <t>SCA</t>
        </is>
      </c>
      <c r="I435" t="n">
        <v>3.6</v>
      </c>
      <c r="J435" t="n">
        <v>0</v>
      </c>
      <c r="K435" t="n">
        <v>0</v>
      </c>
      <c r="L435" t="n">
        <v>0</v>
      </c>
      <c r="M435" t="n">
        <v>0</v>
      </c>
      <c r="N435" t="n">
        <v>0</v>
      </c>
      <c r="O435" t="n">
        <v>0</v>
      </c>
      <c r="P435" t="n">
        <v>0</v>
      </c>
      <c r="Q435" t="n">
        <v>0</v>
      </c>
      <c r="R435" t="n">
        <v>0</v>
      </c>
      <c r="S435" t="n">
        <v>0</v>
      </c>
      <c r="T435" t="n">
        <v>0</v>
      </c>
      <c r="U435" s="2" t="inlineStr"/>
    </row>
    <row r="436" ht="15" customHeight="1">
      <c r="A436" t="inlineStr">
        <is>
          <t>A 18605-2023</t>
        </is>
      </c>
      <c r="B436" t="inlineStr">
        <is>
          <t>avverkningsanmälan</t>
        </is>
      </c>
      <c r="C436" t="inlineStr">
        <is>
          <t>Föryngringsavverkning</t>
        </is>
      </c>
      <c r="D436" s="1" t="n">
        <v>45041</v>
      </c>
      <c r="E436" s="1" t="n">
        <v>46216</v>
      </c>
      <c r="F436" t="inlineStr">
        <is>
          <t>VÄSTERBOTTENS LÄN</t>
        </is>
      </c>
      <c r="G436" t="inlineStr">
        <is>
          <t>ÅSELE</t>
        </is>
      </c>
      <c r="I436" t="n">
        <v>4.2</v>
      </c>
      <c r="J436" t="n">
        <v>0</v>
      </c>
      <c r="K436" t="n">
        <v>0</v>
      </c>
      <c r="L436" t="n">
        <v>0</v>
      </c>
      <c r="M436" t="n">
        <v>0</v>
      </c>
      <c r="N436" t="n">
        <v>0</v>
      </c>
      <c r="O436" t="n">
        <v>0</v>
      </c>
      <c r="P436" t="n">
        <v>0</v>
      </c>
      <c r="Q436" t="n">
        <v>0</v>
      </c>
      <c r="R436" t="n">
        <v>0</v>
      </c>
      <c r="S436" t="n">
        <v>0</v>
      </c>
      <c r="T436" t="n">
        <v>0</v>
      </c>
      <c r="U436" s="2" t="inlineStr"/>
    </row>
    <row r="437" ht="15" customHeight="1">
      <c r="A437" t="inlineStr">
        <is>
          <t>A 61462-2025</t>
        </is>
      </c>
      <c r="B437" t="inlineStr">
        <is>
          <t>avverkningsanmälan</t>
        </is>
      </c>
      <c r="C437" t="inlineStr">
        <is>
          <t>Föryngringsavverkning</t>
        </is>
      </c>
      <c r="D437" s="1" t="n">
        <v>46001</v>
      </c>
      <c r="E437" s="1" t="n">
        <v>46216</v>
      </c>
      <c r="F437" t="inlineStr">
        <is>
          <t>VÄSTERBOTTENS LÄN</t>
        </is>
      </c>
      <c r="G437" t="inlineStr">
        <is>
          <t>ÅSELE</t>
        </is>
      </c>
      <c r="H437" t="inlineStr">
        <is>
          <t>Sveaskog</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9951-2026</t>
        </is>
      </c>
      <c r="B438" t="inlineStr">
        <is>
          <t>avverkningsanmälan</t>
        </is>
      </c>
      <c r="C438" t="inlineStr">
        <is>
          <t>Föryngringsavverkning</t>
        </is>
      </c>
      <c r="D438" s="1" t="n">
        <v>46073</v>
      </c>
      <c r="E438" s="1" t="n">
        <v>46216</v>
      </c>
      <c r="F438" t="inlineStr">
        <is>
          <t>VÄSTERBOTTENS LÄN</t>
        </is>
      </c>
      <c r="G438" t="inlineStr">
        <is>
          <t>ÅSELE</t>
        </is>
      </c>
      <c r="I438" t="n">
        <v>17.1</v>
      </c>
      <c r="J438" t="n">
        <v>0</v>
      </c>
      <c r="K438" t="n">
        <v>0</v>
      </c>
      <c r="L438" t="n">
        <v>0</v>
      </c>
      <c r="M438" t="n">
        <v>0</v>
      </c>
      <c r="N438" t="n">
        <v>0</v>
      </c>
      <c r="O438" t="n">
        <v>0</v>
      </c>
      <c r="P438" t="n">
        <v>0</v>
      </c>
      <c r="Q438" t="n">
        <v>0</v>
      </c>
      <c r="R438" t="n">
        <v>0</v>
      </c>
      <c r="S438" t="n">
        <v>0</v>
      </c>
      <c r="T438" t="n">
        <v>0</v>
      </c>
      <c r="U438" s="2" t="inlineStr"/>
    </row>
    <row r="439" ht="15" customHeight="1">
      <c r="A439" t="inlineStr">
        <is>
          <t>A 9943-2026</t>
        </is>
      </c>
      <c r="B439" t="inlineStr">
        <is>
          <t>avverkningsanmälan</t>
        </is>
      </c>
      <c r="C439" t="inlineStr">
        <is>
          <t>Föryngringsavverkning</t>
        </is>
      </c>
      <c r="D439" s="1" t="n">
        <v>46073</v>
      </c>
      <c r="E439" s="1" t="n">
        <v>46216</v>
      </c>
      <c r="F439" t="inlineStr">
        <is>
          <t>VÄSTERBOTTENS LÄN</t>
        </is>
      </c>
      <c r="G439" t="inlineStr">
        <is>
          <t>ÅSELE</t>
        </is>
      </c>
      <c r="H439" t="inlineStr">
        <is>
          <t>SCA</t>
        </is>
      </c>
      <c r="I439" t="n">
        <v>7.1</v>
      </c>
      <c r="J439" t="n">
        <v>0</v>
      </c>
      <c r="K439" t="n">
        <v>0</v>
      </c>
      <c r="L439" t="n">
        <v>0</v>
      </c>
      <c r="M439" t="n">
        <v>0</v>
      </c>
      <c r="N439" t="n">
        <v>0</v>
      </c>
      <c r="O439" t="n">
        <v>0</v>
      </c>
      <c r="P439" t="n">
        <v>0</v>
      </c>
      <c r="Q439" t="n">
        <v>0</v>
      </c>
      <c r="R439" t="n">
        <v>0</v>
      </c>
      <c r="S439" t="n">
        <v>0</v>
      </c>
      <c r="T439" t="n">
        <v>0</v>
      </c>
      <c r="U439" s="2" t="inlineStr"/>
    </row>
    <row r="440" ht="15" customHeight="1">
      <c r="A440" t="inlineStr">
        <is>
          <t>A 9630-2026</t>
        </is>
      </c>
      <c r="B440" t="inlineStr">
        <is>
          <t>avverkningsanmälan</t>
        </is>
      </c>
      <c r="C440" t="inlineStr">
        <is>
          <t>Föryngringsavverkning</t>
        </is>
      </c>
      <c r="D440" s="1" t="n">
        <v>46072</v>
      </c>
      <c r="E440" s="1" t="n">
        <v>46216</v>
      </c>
      <c r="F440" t="inlineStr">
        <is>
          <t>VÄSTERBOTTENS LÄN</t>
        </is>
      </c>
      <c r="G440" t="inlineStr">
        <is>
          <t>ÅSELE</t>
        </is>
      </c>
      <c r="H440" t="inlineStr">
        <is>
          <t>SCA</t>
        </is>
      </c>
      <c r="I440" t="n">
        <v>2.9</v>
      </c>
      <c r="J440" t="n">
        <v>0</v>
      </c>
      <c r="K440" t="n">
        <v>0</v>
      </c>
      <c r="L440" t="n">
        <v>0</v>
      </c>
      <c r="M440" t="n">
        <v>0</v>
      </c>
      <c r="N440" t="n">
        <v>0</v>
      </c>
      <c r="O440" t="n">
        <v>0</v>
      </c>
      <c r="P440" t="n">
        <v>0</v>
      </c>
      <c r="Q440" t="n">
        <v>0</v>
      </c>
      <c r="R440" t="n">
        <v>0</v>
      </c>
      <c r="S440" t="n">
        <v>0</v>
      </c>
      <c r="T440" t="n">
        <v>0</v>
      </c>
      <c r="U440" s="2" t="inlineStr"/>
    </row>
    <row r="441" ht="15" customHeight="1">
      <c r="A441" t="inlineStr">
        <is>
          <t>A 10837-2026</t>
        </is>
      </c>
      <c r="B441" t="inlineStr">
        <is>
          <t>avverkningsanmälan</t>
        </is>
      </c>
      <c r="C441" t="inlineStr">
        <is>
          <t>Föryngringsavverkning</t>
        </is>
      </c>
      <c r="D441" s="1" t="n">
        <v>46078</v>
      </c>
      <c r="E441" s="1" t="n">
        <v>46216</v>
      </c>
      <c r="F441" t="inlineStr">
        <is>
          <t>VÄSTERBOTTENS LÄN</t>
        </is>
      </c>
      <c r="G441" t="inlineStr">
        <is>
          <t>ÅSELE</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5013-2024</t>
        </is>
      </c>
      <c r="B442" t="inlineStr">
        <is>
          <t>avverkningsanmälan</t>
        </is>
      </c>
      <c r="C442" t="inlineStr">
        <is>
          <t>Föryngringsavverkning</t>
        </is>
      </c>
      <c r="D442" s="1" t="n">
        <v>45329</v>
      </c>
      <c r="E442" s="1" t="n">
        <v>46216</v>
      </c>
      <c r="F442" t="inlineStr">
        <is>
          <t>VÄSTERBOTTENS LÄN</t>
        </is>
      </c>
      <c r="G442" t="inlineStr">
        <is>
          <t>ÅSELE</t>
        </is>
      </c>
      <c r="H442" t="inlineStr">
        <is>
          <t>Övriga Aktiebolag</t>
        </is>
      </c>
      <c r="I442" t="n">
        <v>5</v>
      </c>
      <c r="J442" t="n">
        <v>0</v>
      </c>
      <c r="K442" t="n">
        <v>0</v>
      </c>
      <c r="L442" t="n">
        <v>0</v>
      </c>
      <c r="M442" t="n">
        <v>0</v>
      </c>
      <c r="N442" t="n">
        <v>0</v>
      </c>
      <c r="O442" t="n">
        <v>0</v>
      </c>
      <c r="P442" t="n">
        <v>0</v>
      </c>
      <c r="Q442" t="n">
        <v>0</v>
      </c>
      <c r="R442" t="n">
        <v>0</v>
      </c>
      <c r="S442" t="n">
        <v>0</v>
      </c>
      <c r="T442" t="n">
        <v>0</v>
      </c>
      <c r="U442" s="2" t="inlineStr"/>
    </row>
    <row r="443" ht="15" customHeight="1">
      <c r="A443" t="inlineStr">
        <is>
          <t>A 10826-2026</t>
        </is>
      </c>
      <c r="B443" t="inlineStr">
        <is>
          <t>avverkningsanmälan</t>
        </is>
      </c>
      <c r="C443" t="inlineStr">
        <is>
          <t>Föryngringsavverkning</t>
        </is>
      </c>
      <c r="D443" s="1" t="n">
        <v>46078</v>
      </c>
      <c r="E443" s="1" t="n">
        <v>46216</v>
      </c>
      <c r="F443" t="inlineStr">
        <is>
          <t>VÄSTERBOTTENS LÄN</t>
        </is>
      </c>
      <c r="G443" t="inlineStr">
        <is>
          <t>ÅSELE</t>
        </is>
      </c>
      <c r="I443" t="n">
        <v>4.3</v>
      </c>
      <c r="J443" t="n">
        <v>0</v>
      </c>
      <c r="K443" t="n">
        <v>0</v>
      </c>
      <c r="L443" t="n">
        <v>0</v>
      </c>
      <c r="M443" t="n">
        <v>0</v>
      </c>
      <c r="N443" t="n">
        <v>0</v>
      </c>
      <c r="O443" t="n">
        <v>0</v>
      </c>
      <c r="P443" t="n">
        <v>0</v>
      </c>
      <c r="Q443" t="n">
        <v>0</v>
      </c>
      <c r="R443" t="n">
        <v>0</v>
      </c>
      <c r="S443" t="n">
        <v>0</v>
      </c>
      <c r="T443" t="n">
        <v>0</v>
      </c>
      <c r="U443" s="2" t="inlineStr"/>
    </row>
    <row r="444" ht="15" customHeight="1">
      <c r="A444" t="inlineStr">
        <is>
          <t>A 61457-2025</t>
        </is>
      </c>
      <c r="B444" t="inlineStr">
        <is>
          <t>avverkningsanmälan</t>
        </is>
      </c>
      <c r="C444" t="inlineStr">
        <is>
          <t>Föryngringsavverkning</t>
        </is>
      </c>
      <c r="D444" s="1" t="n">
        <v>46001</v>
      </c>
      <c r="E444" s="1" t="n">
        <v>46216</v>
      </c>
      <c r="F444" t="inlineStr">
        <is>
          <t>VÄSTERBOTTENS LÄN</t>
        </is>
      </c>
      <c r="G444" t="inlineStr">
        <is>
          <t>ÅSELE</t>
        </is>
      </c>
      <c r="H444" t="inlineStr">
        <is>
          <t>Sveaskog</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10675-2026</t>
        </is>
      </c>
      <c r="B445" t="inlineStr">
        <is>
          <t>avverkningsanmälan</t>
        </is>
      </c>
      <c r="C445" t="inlineStr">
        <is>
          <t>Föryngringsavverkning</t>
        </is>
      </c>
      <c r="D445" s="1" t="n">
        <v>46078</v>
      </c>
      <c r="E445" s="1" t="n">
        <v>46216</v>
      </c>
      <c r="F445" t="inlineStr">
        <is>
          <t>VÄSTERBOTTENS LÄN</t>
        </is>
      </c>
      <c r="G445" t="inlineStr">
        <is>
          <t>ÅSELE</t>
        </is>
      </c>
      <c r="H445" t="inlineStr">
        <is>
          <t>SCA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10676-2026</t>
        </is>
      </c>
      <c r="B446" t="inlineStr">
        <is>
          <t>avverkningsanmälan</t>
        </is>
      </c>
      <c r="C446" t="inlineStr">
        <is>
          <t>Föryngringsavverkning</t>
        </is>
      </c>
      <c r="D446" s="1" t="n">
        <v>46078</v>
      </c>
      <c r="E446" s="1" t="n">
        <v>46216</v>
      </c>
      <c r="F446" t="inlineStr">
        <is>
          <t>VÄSTERBOTTENS LÄN</t>
        </is>
      </c>
      <c r="G446" t="inlineStr">
        <is>
          <t>ÅSELE</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10677-2026</t>
        </is>
      </c>
      <c r="B447" t="inlineStr">
        <is>
          <t>avverkningsanmälan</t>
        </is>
      </c>
      <c r="C447" t="inlineStr">
        <is>
          <t>Föryngringsavverkning</t>
        </is>
      </c>
      <c r="D447" s="1" t="n">
        <v>46078</v>
      </c>
      <c r="E447" s="1" t="n">
        <v>46216</v>
      </c>
      <c r="F447" t="inlineStr">
        <is>
          <t>VÄSTERBOTTENS LÄN</t>
        </is>
      </c>
      <c r="G447" t="inlineStr">
        <is>
          <t>ÅSELE</t>
        </is>
      </c>
      <c r="H447" t="inlineStr">
        <is>
          <t>SCA</t>
        </is>
      </c>
      <c r="I447" t="n">
        <v>3.1</v>
      </c>
      <c r="J447" t="n">
        <v>0</v>
      </c>
      <c r="K447" t="n">
        <v>0</v>
      </c>
      <c r="L447" t="n">
        <v>0</v>
      </c>
      <c r="M447" t="n">
        <v>0</v>
      </c>
      <c r="N447" t="n">
        <v>0</v>
      </c>
      <c r="O447" t="n">
        <v>0</v>
      </c>
      <c r="P447" t="n">
        <v>0</v>
      </c>
      <c r="Q447" t="n">
        <v>0</v>
      </c>
      <c r="R447" t="n">
        <v>0</v>
      </c>
      <c r="S447" t="n">
        <v>0</v>
      </c>
      <c r="T447" t="n">
        <v>0</v>
      </c>
      <c r="U447" s="2" t="inlineStr"/>
    </row>
    <row r="448" ht="15" customHeight="1">
      <c r="A448" t="inlineStr">
        <is>
          <t>A 10226-2026</t>
        </is>
      </c>
      <c r="B448" t="inlineStr">
        <is>
          <t>avverkningsanmälan</t>
        </is>
      </c>
      <c r="C448" t="inlineStr">
        <is>
          <t>Föryngringsavverkning</t>
        </is>
      </c>
      <c r="D448" s="1" t="n">
        <v>46076</v>
      </c>
      <c r="E448" s="1" t="n">
        <v>46216</v>
      </c>
      <c r="F448" t="inlineStr">
        <is>
          <t>VÄSTERBOTTENS LÄN</t>
        </is>
      </c>
      <c r="G448" t="inlineStr">
        <is>
          <t>ÅSELE</t>
        </is>
      </c>
      <c r="H448" t="inlineStr">
        <is>
          <t>SCA</t>
        </is>
      </c>
      <c r="I448" t="n">
        <v>17.2</v>
      </c>
      <c r="J448" t="n">
        <v>0</v>
      </c>
      <c r="K448" t="n">
        <v>0</v>
      </c>
      <c r="L448" t="n">
        <v>0</v>
      </c>
      <c r="M448" t="n">
        <v>0</v>
      </c>
      <c r="N448" t="n">
        <v>0</v>
      </c>
      <c r="O448" t="n">
        <v>0</v>
      </c>
      <c r="P448" t="n">
        <v>0</v>
      </c>
      <c r="Q448" t="n">
        <v>0</v>
      </c>
      <c r="R448" t="n">
        <v>0</v>
      </c>
      <c r="S448" t="n">
        <v>0</v>
      </c>
      <c r="T448" t="n">
        <v>0</v>
      </c>
      <c r="U448" s="2" t="inlineStr"/>
    </row>
    <row r="449" ht="15" customHeight="1">
      <c r="A449" t="inlineStr">
        <is>
          <t>A 62309-2025</t>
        </is>
      </c>
      <c r="B449" t="inlineStr">
        <is>
          <t>avverkningsanmälan</t>
        </is>
      </c>
      <c r="C449" t="inlineStr">
        <is>
          <t>Föryngringsavverkning</t>
        </is>
      </c>
      <c r="D449" s="1" t="n">
        <v>46006</v>
      </c>
      <c r="E449" s="1" t="n">
        <v>46216</v>
      </c>
      <c r="F449" t="inlineStr">
        <is>
          <t>VÄSTERBOTTENS LÄN</t>
        </is>
      </c>
      <c r="G449" t="inlineStr">
        <is>
          <t>ÅSELE</t>
        </is>
      </c>
      <c r="H449" t="inlineStr">
        <is>
          <t>Naturvårdsverket</t>
        </is>
      </c>
      <c r="I449" t="n">
        <v>4.5</v>
      </c>
      <c r="J449" t="n">
        <v>0</v>
      </c>
      <c r="K449" t="n">
        <v>0</v>
      </c>
      <c r="L449" t="n">
        <v>0</v>
      </c>
      <c r="M449" t="n">
        <v>0</v>
      </c>
      <c r="N449" t="n">
        <v>0</v>
      </c>
      <c r="O449" t="n">
        <v>0</v>
      </c>
      <c r="P449" t="n">
        <v>0</v>
      </c>
      <c r="Q449" t="n">
        <v>0</v>
      </c>
      <c r="R449" t="n">
        <v>0</v>
      </c>
      <c r="S449" t="n">
        <v>0</v>
      </c>
      <c r="T449" t="n">
        <v>0</v>
      </c>
      <c r="U449" s="2" t="inlineStr"/>
    </row>
    <row r="450" ht="15" customHeight="1">
      <c r="A450" t="inlineStr">
        <is>
          <t>A 10752-2026</t>
        </is>
      </c>
      <c r="B450" t="inlineStr">
        <is>
          <t>avverkningsanmälan</t>
        </is>
      </c>
      <c r="C450" t="inlineStr">
        <is>
          <t>Föryngringsavverkning</t>
        </is>
      </c>
      <c r="D450" s="1" t="n">
        <v>46078</v>
      </c>
      <c r="E450" s="1" t="n">
        <v>46216</v>
      </c>
      <c r="F450" t="inlineStr">
        <is>
          <t>VÄSTERBOTTENS LÄN</t>
        </is>
      </c>
      <c r="G450" t="inlineStr">
        <is>
          <t>ÅSELE</t>
        </is>
      </c>
      <c r="I450" t="n">
        <v>7.2</v>
      </c>
      <c r="J450" t="n">
        <v>0</v>
      </c>
      <c r="K450" t="n">
        <v>0</v>
      </c>
      <c r="L450" t="n">
        <v>0</v>
      </c>
      <c r="M450" t="n">
        <v>0</v>
      </c>
      <c r="N450" t="n">
        <v>0</v>
      </c>
      <c r="O450" t="n">
        <v>0</v>
      </c>
      <c r="P450" t="n">
        <v>0</v>
      </c>
      <c r="Q450" t="n">
        <v>0</v>
      </c>
      <c r="R450" t="n">
        <v>0</v>
      </c>
      <c r="S450" t="n">
        <v>0</v>
      </c>
      <c r="T450" t="n">
        <v>0</v>
      </c>
      <c r="U450" s="2" t="inlineStr"/>
    </row>
    <row r="451" ht="15" customHeight="1">
      <c r="A451" t="inlineStr">
        <is>
          <t>A 10859-2026</t>
        </is>
      </c>
      <c r="B451" t="inlineStr">
        <is>
          <t>avverkningsanmälan</t>
        </is>
      </c>
      <c r="C451" t="inlineStr">
        <is>
          <t>Föryngringsavverkning</t>
        </is>
      </c>
      <c r="D451" s="1" t="n">
        <v>46078</v>
      </c>
      <c r="E451" s="1" t="n">
        <v>46216</v>
      </c>
      <c r="F451" t="inlineStr">
        <is>
          <t>VÄSTERBOTTENS LÄN</t>
        </is>
      </c>
      <c r="G451" t="inlineStr">
        <is>
          <t>ÅSELE</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10860-2026</t>
        </is>
      </c>
      <c r="B452" t="inlineStr">
        <is>
          <t>avverkningsanmälan</t>
        </is>
      </c>
      <c r="C452" t="inlineStr">
        <is>
          <t>Föryngringsavverkning</t>
        </is>
      </c>
      <c r="D452" s="1" t="n">
        <v>46078</v>
      </c>
      <c r="E452" s="1" t="n">
        <v>46216</v>
      </c>
      <c r="F452" t="inlineStr">
        <is>
          <t>VÄSTERBOTTENS LÄN</t>
        </is>
      </c>
      <c r="G452" t="inlineStr">
        <is>
          <t>ÅSELE</t>
        </is>
      </c>
      <c r="I452" t="n">
        <v>4.5</v>
      </c>
      <c r="J452" t="n">
        <v>0</v>
      </c>
      <c r="K452" t="n">
        <v>0</v>
      </c>
      <c r="L452" t="n">
        <v>0</v>
      </c>
      <c r="M452" t="n">
        <v>0</v>
      </c>
      <c r="N452" t="n">
        <v>0</v>
      </c>
      <c r="O452" t="n">
        <v>0</v>
      </c>
      <c r="P452" t="n">
        <v>0</v>
      </c>
      <c r="Q452" t="n">
        <v>0</v>
      </c>
      <c r="R452" t="n">
        <v>0</v>
      </c>
      <c r="S452" t="n">
        <v>0</v>
      </c>
      <c r="T452" t="n">
        <v>0</v>
      </c>
      <c r="U452" s="2" t="inlineStr"/>
    </row>
    <row r="453" ht="15" customHeight="1">
      <c r="A453" t="inlineStr">
        <is>
          <t>A 29511-2024</t>
        </is>
      </c>
      <c r="B453" t="inlineStr">
        <is>
          <t>avverkningsanmälan</t>
        </is>
      </c>
      <c r="C453" t="inlineStr">
        <is>
          <t>Avverkning för annat ändamål</t>
        </is>
      </c>
      <c r="D453" s="1" t="n">
        <v>45484</v>
      </c>
      <c r="E453" s="1" t="n">
        <v>46216</v>
      </c>
      <c r="F453" t="inlineStr">
        <is>
          <t>VÄSTERBOTTENS LÄN</t>
        </is>
      </c>
      <c r="G453" t="inlineStr">
        <is>
          <t>ÅSELE</t>
        </is>
      </c>
      <c r="I453" t="n">
        <v>0.2</v>
      </c>
      <c r="J453" t="n">
        <v>0</v>
      </c>
      <c r="K453" t="n">
        <v>0</v>
      </c>
      <c r="L453" t="n">
        <v>0</v>
      </c>
      <c r="M453" t="n">
        <v>0</v>
      </c>
      <c r="N453" t="n">
        <v>0</v>
      </c>
      <c r="O453" t="n">
        <v>0</v>
      </c>
      <c r="P453" t="n">
        <v>0</v>
      </c>
      <c r="Q453" t="n">
        <v>0</v>
      </c>
      <c r="R453" t="n">
        <v>0</v>
      </c>
      <c r="S453" t="n">
        <v>0</v>
      </c>
      <c r="T453" t="n">
        <v>0</v>
      </c>
      <c r="U453" s="2" t="inlineStr"/>
    </row>
    <row r="454" ht="15" customHeight="1">
      <c r="A454" t="inlineStr">
        <is>
          <t>A 29517-2024</t>
        </is>
      </c>
      <c r="B454" t="inlineStr">
        <is>
          <t>avverkningsanmälan</t>
        </is>
      </c>
      <c r="C454" t="inlineStr">
        <is>
          <t>Avverkning för annat ändamål</t>
        </is>
      </c>
      <c r="D454" s="1" t="n">
        <v>45484</v>
      </c>
      <c r="E454" s="1" t="n">
        <v>46216</v>
      </c>
      <c r="F454" t="inlineStr">
        <is>
          <t>VÄSTERBOTTENS LÄN</t>
        </is>
      </c>
      <c r="G454" t="inlineStr">
        <is>
          <t>ÅSELE</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42399-2024</t>
        </is>
      </c>
      <c r="B455" t="inlineStr">
        <is>
          <t>avverkningsanmälan</t>
        </is>
      </c>
      <c r="C455" t="inlineStr">
        <is>
          <t>Föryngringsavverkning</t>
        </is>
      </c>
      <c r="D455" s="1" t="n">
        <v>45565</v>
      </c>
      <c r="E455" s="1" t="n">
        <v>46216</v>
      </c>
      <c r="F455" t="inlineStr">
        <is>
          <t>VÄSTERBOTTENS LÄN</t>
        </is>
      </c>
      <c r="G455" t="inlineStr">
        <is>
          <t>ÅSELE</t>
        </is>
      </c>
      <c r="H455" t="inlineStr">
        <is>
          <t>Holmen skog AB</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28697-2024</t>
        </is>
      </c>
      <c r="B456" t="inlineStr">
        <is>
          <t>avverkningsanmälan</t>
        </is>
      </c>
      <c r="C456" t="inlineStr">
        <is>
          <t>Föryngringsavverkning</t>
        </is>
      </c>
      <c r="D456" s="1" t="n">
        <v>45478</v>
      </c>
      <c r="E456" s="1" t="n">
        <v>46216</v>
      </c>
      <c r="F456" t="inlineStr">
        <is>
          <t>VÄSTERBOTTENS LÄN</t>
        </is>
      </c>
      <c r="G456" t="inlineStr">
        <is>
          <t>ÅSELE</t>
        </is>
      </c>
      <c r="H456" t="inlineStr">
        <is>
          <t>Sveaskog</t>
        </is>
      </c>
      <c r="I456" t="n">
        <v>2.9</v>
      </c>
      <c r="J456" t="n">
        <v>0</v>
      </c>
      <c r="K456" t="n">
        <v>0</v>
      </c>
      <c r="L456" t="n">
        <v>0</v>
      </c>
      <c r="M456" t="n">
        <v>0</v>
      </c>
      <c r="N456" t="n">
        <v>0</v>
      </c>
      <c r="O456" t="n">
        <v>0</v>
      </c>
      <c r="P456" t="n">
        <v>0</v>
      </c>
      <c r="Q456" t="n">
        <v>0</v>
      </c>
      <c r="R456" t="n">
        <v>0</v>
      </c>
      <c r="S456" t="n">
        <v>0</v>
      </c>
      <c r="T456" t="n">
        <v>0</v>
      </c>
      <c r="U456" s="2" t="inlineStr"/>
    </row>
    <row r="457" ht="15" customHeight="1">
      <c r="A457" t="inlineStr">
        <is>
          <t>A 11690-2026</t>
        </is>
      </c>
      <c r="B457" t="inlineStr">
        <is>
          <t>avverkningsanmälan</t>
        </is>
      </c>
      <c r="C457" t="inlineStr">
        <is>
          <t>Föryngringsavverkning</t>
        </is>
      </c>
      <c r="D457" s="1" t="n">
        <v>46084</v>
      </c>
      <c r="E457" s="1" t="n">
        <v>46216</v>
      </c>
      <c r="F457" t="inlineStr">
        <is>
          <t>VÄSTERBOTTENS LÄN</t>
        </is>
      </c>
      <c r="G457" t="inlineStr">
        <is>
          <t>ÅSELE</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30618-2023</t>
        </is>
      </c>
      <c r="B458" t="inlineStr">
        <is>
          <t>avverkningsanmälan</t>
        </is>
      </c>
      <c r="C458" t="inlineStr">
        <is>
          <t>Föryngringsavverkning</t>
        </is>
      </c>
      <c r="D458" s="1" t="n">
        <v>45112</v>
      </c>
      <c r="E458" s="1" t="n">
        <v>46216</v>
      </c>
      <c r="F458" t="inlineStr">
        <is>
          <t>VÄSTERBOTTENS LÄN</t>
        </is>
      </c>
      <c r="G458" t="inlineStr">
        <is>
          <t>ÅSELE</t>
        </is>
      </c>
      <c r="H458" t="inlineStr">
        <is>
          <t>Sveaskog</t>
        </is>
      </c>
      <c r="I458" t="n">
        <v>18.7</v>
      </c>
      <c r="J458" t="n">
        <v>0</v>
      </c>
      <c r="K458" t="n">
        <v>0</v>
      </c>
      <c r="L458" t="n">
        <v>0</v>
      </c>
      <c r="M458" t="n">
        <v>0</v>
      </c>
      <c r="N458" t="n">
        <v>0</v>
      </c>
      <c r="O458" t="n">
        <v>0</v>
      </c>
      <c r="P458" t="n">
        <v>0</v>
      </c>
      <c r="Q458" t="n">
        <v>0</v>
      </c>
      <c r="R458" t="n">
        <v>0</v>
      </c>
      <c r="S458" t="n">
        <v>0</v>
      </c>
      <c r="T458" t="n">
        <v>0</v>
      </c>
      <c r="U458" s="2" t="inlineStr"/>
    </row>
    <row r="459" ht="15" customHeight="1">
      <c r="A459" t="inlineStr">
        <is>
          <t>A 28980-2024</t>
        </is>
      </c>
      <c r="B459" t="inlineStr">
        <is>
          <t>avverkningsanmälan</t>
        </is>
      </c>
      <c r="C459" t="inlineStr">
        <is>
          <t>Föryngringsavverkning</t>
        </is>
      </c>
      <c r="D459" s="1" t="n">
        <v>45481</v>
      </c>
      <c r="E459" s="1" t="n">
        <v>46216</v>
      </c>
      <c r="F459" t="inlineStr">
        <is>
          <t>VÄSTERBOTTENS LÄN</t>
        </is>
      </c>
      <c r="G459" t="inlineStr">
        <is>
          <t>ÅSELE</t>
        </is>
      </c>
      <c r="H459" t="inlineStr">
        <is>
          <t>Sveaskog</t>
        </is>
      </c>
      <c r="I459" t="n">
        <v>9</v>
      </c>
      <c r="J459" t="n">
        <v>0</v>
      </c>
      <c r="K459" t="n">
        <v>0</v>
      </c>
      <c r="L459" t="n">
        <v>0</v>
      </c>
      <c r="M459" t="n">
        <v>0</v>
      </c>
      <c r="N459" t="n">
        <v>0</v>
      </c>
      <c r="O459" t="n">
        <v>0</v>
      </c>
      <c r="P459" t="n">
        <v>0</v>
      </c>
      <c r="Q459" t="n">
        <v>0</v>
      </c>
      <c r="R459" t="n">
        <v>0</v>
      </c>
      <c r="S459" t="n">
        <v>0</v>
      </c>
      <c r="T459" t="n">
        <v>0</v>
      </c>
      <c r="U459" s="2" t="inlineStr"/>
    </row>
    <row r="460" ht="15" customHeight="1">
      <c r="A460" t="inlineStr">
        <is>
          <t>A 36880-2023</t>
        </is>
      </c>
      <c r="B460" t="inlineStr">
        <is>
          <t>avverkningsanmälan</t>
        </is>
      </c>
      <c r="C460" t="inlineStr">
        <is>
          <t>Föryngringsavverkning</t>
        </is>
      </c>
      <c r="D460" s="1" t="n">
        <v>45154</v>
      </c>
      <c r="E460" s="1" t="n">
        <v>46216</v>
      </c>
      <c r="F460" t="inlineStr">
        <is>
          <t>VÄSTERBOTTENS LÄN</t>
        </is>
      </c>
      <c r="G460" t="inlineStr">
        <is>
          <t>ÅSELE</t>
        </is>
      </c>
      <c r="H460" t="inlineStr">
        <is>
          <t>Holmen skog AB</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12088-2026</t>
        </is>
      </c>
      <c r="B461" t="inlineStr">
        <is>
          <t>avverkningsanmälan</t>
        </is>
      </c>
      <c r="C461" t="inlineStr">
        <is>
          <t>Föryngringsavverkning</t>
        </is>
      </c>
      <c r="D461" s="1" t="n">
        <v>46086</v>
      </c>
      <c r="E461" s="1" t="n">
        <v>46216</v>
      </c>
      <c r="F461" t="inlineStr">
        <is>
          <t>VÄSTERBOTTENS LÄN</t>
        </is>
      </c>
      <c r="G461" t="inlineStr">
        <is>
          <t>ÅSELE</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47616-2023</t>
        </is>
      </c>
      <c r="B462" t="inlineStr">
        <is>
          <t>avverkningsanmälan</t>
        </is>
      </c>
      <c r="C462" t="inlineStr">
        <is>
          <t>Föryngringsavverkning</t>
        </is>
      </c>
      <c r="D462" s="1" t="n">
        <v>45198</v>
      </c>
      <c r="E462" s="1" t="n">
        <v>46216</v>
      </c>
      <c r="F462" t="inlineStr">
        <is>
          <t>VÄSTERBOTTENS LÄN</t>
        </is>
      </c>
      <c r="G462" t="inlineStr">
        <is>
          <t>ÅSELE</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11886-2026</t>
        </is>
      </c>
      <c r="B463" t="inlineStr">
        <is>
          <t>avverkningsanmälan</t>
        </is>
      </c>
      <c r="C463" t="inlineStr">
        <is>
          <t>Föryngringsavverkning</t>
        </is>
      </c>
      <c r="D463" s="1" t="n">
        <v>46085</v>
      </c>
      <c r="E463" s="1" t="n">
        <v>46216</v>
      </c>
      <c r="F463" t="inlineStr">
        <is>
          <t>VÄSTERBOTTENS LÄN</t>
        </is>
      </c>
      <c r="G463" t="inlineStr">
        <is>
          <t>ÅSELE</t>
        </is>
      </c>
      <c r="I463" t="n">
        <v>15.4</v>
      </c>
      <c r="J463" t="n">
        <v>0</v>
      </c>
      <c r="K463" t="n">
        <v>0</v>
      </c>
      <c r="L463" t="n">
        <v>0</v>
      </c>
      <c r="M463" t="n">
        <v>0</v>
      </c>
      <c r="N463" t="n">
        <v>0</v>
      </c>
      <c r="O463" t="n">
        <v>0</v>
      </c>
      <c r="P463" t="n">
        <v>0</v>
      </c>
      <c r="Q463" t="n">
        <v>0</v>
      </c>
      <c r="R463" t="n">
        <v>0</v>
      </c>
      <c r="S463" t="n">
        <v>0</v>
      </c>
      <c r="T463" t="n">
        <v>0</v>
      </c>
      <c r="U463" s="2" t="inlineStr"/>
    </row>
    <row r="464" ht="15" customHeight="1">
      <c r="A464" t="inlineStr">
        <is>
          <t>A 5006-2024</t>
        </is>
      </c>
      <c r="B464" t="inlineStr">
        <is>
          <t>avverkningsanmälan</t>
        </is>
      </c>
      <c r="C464" t="inlineStr">
        <is>
          <t>Föryngringsavverkning</t>
        </is>
      </c>
      <c r="D464" s="1" t="n">
        <v>45329</v>
      </c>
      <c r="E464" s="1" t="n">
        <v>46216</v>
      </c>
      <c r="F464" t="inlineStr">
        <is>
          <t>VÄSTERBOTTENS LÄN</t>
        </is>
      </c>
      <c r="G464" t="inlineStr">
        <is>
          <t>ÅSELE</t>
        </is>
      </c>
      <c r="H464" t="inlineStr">
        <is>
          <t>Övriga Aktiebolag</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17284-2025</t>
        </is>
      </c>
      <c r="B465" t="inlineStr">
        <is>
          <t>avverkningsanmälan</t>
        </is>
      </c>
      <c r="C465" t="inlineStr">
        <is>
          <t>Föryngringsavverkning</t>
        </is>
      </c>
      <c r="D465" s="1" t="n">
        <v>45756</v>
      </c>
      <c r="E465" s="1" t="n">
        <v>46216</v>
      </c>
      <c r="F465" t="inlineStr">
        <is>
          <t>VÄSTERBOTTENS LÄN</t>
        </is>
      </c>
      <c r="G465" t="inlineStr">
        <is>
          <t>ÅSELE</t>
        </is>
      </c>
      <c r="H465" t="inlineStr">
        <is>
          <t>SCA</t>
        </is>
      </c>
      <c r="I465" t="n">
        <v>7.5</v>
      </c>
      <c r="J465" t="n">
        <v>0</v>
      </c>
      <c r="K465" t="n">
        <v>0</v>
      </c>
      <c r="L465" t="n">
        <v>0</v>
      </c>
      <c r="M465" t="n">
        <v>0</v>
      </c>
      <c r="N465" t="n">
        <v>0</v>
      </c>
      <c r="O465" t="n">
        <v>0</v>
      </c>
      <c r="P465" t="n">
        <v>0</v>
      </c>
      <c r="Q465" t="n">
        <v>0</v>
      </c>
      <c r="R465" t="n">
        <v>0</v>
      </c>
      <c r="S465" t="n">
        <v>0</v>
      </c>
      <c r="T465" t="n">
        <v>0</v>
      </c>
      <c r="U465" s="2" t="inlineStr"/>
    </row>
    <row r="466" ht="15" customHeight="1">
      <c r="A466" t="inlineStr">
        <is>
          <t>A 917-2025</t>
        </is>
      </c>
      <c r="B466" t="inlineStr">
        <is>
          <t>avverkningsanmälan</t>
        </is>
      </c>
      <c r="C466" t="inlineStr">
        <is>
          <t>Föryngringsavverkning</t>
        </is>
      </c>
      <c r="D466" s="1" t="n">
        <v>45665</v>
      </c>
      <c r="E466" s="1" t="n">
        <v>46216</v>
      </c>
      <c r="F466" t="inlineStr">
        <is>
          <t>VÄSTERBOTTENS LÄN</t>
        </is>
      </c>
      <c r="G466" t="inlineStr">
        <is>
          <t>ÅSELE</t>
        </is>
      </c>
      <c r="I466" t="n">
        <v>1.8</v>
      </c>
      <c r="J466" t="n">
        <v>0</v>
      </c>
      <c r="K466" t="n">
        <v>0</v>
      </c>
      <c r="L466" t="n">
        <v>0</v>
      </c>
      <c r="M466" t="n">
        <v>0</v>
      </c>
      <c r="N466" t="n">
        <v>0</v>
      </c>
      <c r="O466" t="n">
        <v>0</v>
      </c>
      <c r="P466" t="n">
        <v>0</v>
      </c>
      <c r="Q466" t="n">
        <v>0</v>
      </c>
      <c r="R466" t="n">
        <v>0</v>
      </c>
      <c r="S466" t="n">
        <v>0</v>
      </c>
      <c r="T466" t="n">
        <v>0</v>
      </c>
      <c r="U466" s="2" t="inlineStr"/>
    </row>
    <row r="467" ht="15" customHeight="1">
      <c r="A467" t="inlineStr">
        <is>
          <t>A 13000-2026</t>
        </is>
      </c>
      <c r="B467" t="inlineStr">
        <is>
          <t>avverkningsanmälan</t>
        </is>
      </c>
      <c r="C467" t="inlineStr">
        <is>
          <t>Föryngringsavverkning</t>
        </is>
      </c>
      <c r="D467" s="1" t="n">
        <v>46092</v>
      </c>
      <c r="E467" s="1" t="n">
        <v>46216</v>
      </c>
      <c r="F467" t="inlineStr">
        <is>
          <t>VÄSTERBOTTENS LÄN</t>
        </is>
      </c>
      <c r="G467" t="inlineStr">
        <is>
          <t>ÅSELE</t>
        </is>
      </c>
      <c r="H467" t="inlineStr">
        <is>
          <t>SCA</t>
        </is>
      </c>
      <c r="I467" t="n">
        <v>3.7</v>
      </c>
      <c r="J467" t="n">
        <v>0</v>
      </c>
      <c r="K467" t="n">
        <v>0</v>
      </c>
      <c r="L467" t="n">
        <v>0</v>
      </c>
      <c r="M467" t="n">
        <v>0</v>
      </c>
      <c r="N467" t="n">
        <v>0</v>
      </c>
      <c r="O467" t="n">
        <v>0</v>
      </c>
      <c r="P467" t="n">
        <v>0</v>
      </c>
      <c r="Q467" t="n">
        <v>0</v>
      </c>
      <c r="R467" t="n">
        <v>0</v>
      </c>
      <c r="S467" t="n">
        <v>0</v>
      </c>
      <c r="T467" t="n">
        <v>0</v>
      </c>
      <c r="U467" s="2" t="inlineStr"/>
    </row>
    <row r="468" ht="15" customHeight="1">
      <c r="A468" t="inlineStr">
        <is>
          <t>A 13351-2026</t>
        </is>
      </c>
      <c r="B468" t="inlineStr">
        <is>
          <t>avverkningsanmälan</t>
        </is>
      </c>
      <c r="C468" t="inlineStr">
        <is>
          <t>Föryngringsavverkning</t>
        </is>
      </c>
      <c r="D468" s="1" t="n">
        <v>46094</v>
      </c>
      <c r="E468" s="1" t="n">
        <v>46216</v>
      </c>
      <c r="F468" t="inlineStr">
        <is>
          <t>VÄSTERBOTTENS LÄN</t>
        </is>
      </c>
      <c r="G468" t="inlineStr">
        <is>
          <t>ÅSELE</t>
        </is>
      </c>
      <c r="H468" t="inlineStr">
        <is>
          <t>SCA</t>
        </is>
      </c>
      <c r="I468" t="n">
        <v>12.2</v>
      </c>
      <c r="J468" t="n">
        <v>0</v>
      </c>
      <c r="K468" t="n">
        <v>0</v>
      </c>
      <c r="L468" t="n">
        <v>0</v>
      </c>
      <c r="M468" t="n">
        <v>0</v>
      </c>
      <c r="N468" t="n">
        <v>0</v>
      </c>
      <c r="O468" t="n">
        <v>0</v>
      </c>
      <c r="P468" t="n">
        <v>0</v>
      </c>
      <c r="Q468" t="n">
        <v>0</v>
      </c>
      <c r="R468" t="n">
        <v>0</v>
      </c>
      <c r="S468" t="n">
        <v>0</v>
      </c>
      <c r="T468" t="n">
        <v>0</v>
      </c>
      <c r="U468" s="2" t="inlineStr"/>
    </row>
    <row r="469" ht="15" customHeight="1">
      <c r="A469" t="inlineStr">
        <is>
          <t>A 13164-2026</t>
        </is>
      </c>
      <c r="B469" t="inlineStr">
        <is>
          <t>avverkningsanmälan</t>
        </is>
      </c>
      <c r="C469" t="inlineStr">
        <is>
          <t>Föryngringsavverkning</t>
        </is>
      </c>
      <c r="D469" s="1" t="n">
        <v>46093</v>
      </c>
      <c r="E469" s="1" t="n">
        <v>46216</v>
      </c>
      <c r="F469" t="inlineStr">
        <is>
          <t>VÄSTERBOTTENS LÄN</t>
        </is>
      </c>
      <c r="G469" t="inlineStr">
        <is>
          <t>ÅSELE</t>
        </is>
      </c>
      <c r="I469" t="n">
        <v>7.1</v>
      </c>
      <c r="J469" t="n">
        <v>0</v>
      </c>
      <c r="K469" t="n">
        <v>0</v>
      </c>
      <c r="L469" t="n">
        <v>0</v>
      </c>
      <c r="M469" t="n">
        <v>0</v>
      </c>
      <c r="N469" t="n">
        <v>0</v>
      </c>
      <c r="O469" t="n">
        <v>0</v>
      </c>
      <c r="P469" t="n">
        <v>0</v>
      </c>
      <c r="Q469" t="n">
        <v>0</v>
      </c>
      <c r="R469" t="n">
        <v>0</v>
      </c>
      <c r="S469" t="n">
        <v>0</v>
      </c>
      <c r="T469" t="n">
        <v>0</v>
      </c>
      <c r="U469" s="2" t="inlineStr"/>
    </row>
    <row r="470" ht="15" customHeight="1">
      <c r="A470" t="inlineStr">
        <is>
          <t>A 61530-2024</t>
        </is>
      </c>
      <c r="B470" t="inlineStr">
        <is>
          <t>avverkningsanmälan</t>
        </is>
      </c>
      <c r="C470" t="inlineStr">
        <is>
          <t>Föryngringsavverkning</t>
        </is>
      </c>
      <c r="D470" s="1" t="n">
        <v>45645</v>
      </c>
      <c r="E470" s="1" t="n">
        <v>46216</v>
      </c>
      <c r="F470" t="inlineStr">
        <is>
          <t>VÄSTERBOTTENS LÄN</t>
        </is>
      </c>
      <c r="G470" t="inlineStr">
        <is>
          <t>ÅSELE</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13509-2026</t>
        </is>
      </c>
      <c r="B471" t="inlineStr">
        <is>
          <t>avverkningsanmälan</t>
        </is>
      </c>
      <c r="C471" t="inlineStr">
        <is>
          <t>Föryngringsavverkning</t>
        </is>
      </c>
      <c r="D471" s="1" t="n">
        <v>46094</v>
      </c>
      <c r="E471" s="1" t="n">
        <v>46216</v>
      </c>
      <c r="F471" t="inlineStr">
        <is>
          <t>VÄSTERBOTTENS LÄN</t>
        </is>
      </c>
      <c r="G471" t="inlineStr">
        <is>
          <t>ÅSELE</t>
        </is>
      </c>
      <c r="H471" t="inlineStr">
        <is>
          <t>Kommuner</t>
        </is>
      </c>
      <c r="I471" t="n">
        <v>19</v>
      </c>
      <c r="J471" t="n">
        <v>0</v>
      </c>
      <c r="K471" t="n">
        <v>0</v>
      </c>
      <c r="L471" t="n">
        <v>0</v>
      </c>
      <c r="M471" t="n">
        <v>0</v>
      </c>
      <c r="N471" t="n">
        <v>0</v>
      </c>
      <c r="O471" t="n">
        <v>0</v>
      </c>
      <c r="P471" t="n">
        <v>0</v>
      </c>
      <c r="Q471" t="n">
        <v>0</v>
      </c>
      <c r="R471" t="n">
        <v>0</v>
      </c>
      <c r="S471" t="n">
        <v>0</v>
      </c>
      <c r="T471" t="n">
        <v>0</v>
      </c>
      <c r="U471" s="2" t="inlineStr"/>
    </row>
    <row r="472" ht="15" customHeight="1">
      <c r="A472" t="inlineStr">
        <is>
          <t>A 13056-2026</t>
        </is>
      </c>
      <c r="B472" t="inlineStr">
        <is>
          <t>avverkningsanmälan</t>
        </is>
      </c>
      <c r="C472" t="inlineStr">
        <is>
          <t>Föryngringsavverkning</t>
        </is>
      </c>
      <c r="D472" s="1" t="n">
        <v>46093</v>
      </c>
      <c r="E472" s="1" t="n">
        <v>46216</v>
      </c>
      <c r="F472" t="inlineStr">
        <is>
          <t>VÄSTERBOTTENS LÄN</t>
        </is>
      </c>
      <c r="G472" t="inlineStr">
        <is>
          <t>ÅSELE</t>
        </is>
      </c>
      <c r="H472" t="inlineStr">
        <is>
          <t>SCA</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13161-2026</t>
        </is>
      </c>
      <c r="B473" t="inlineStr">
        <is>
          <t>avverkningsanmälan</t>
        </is>
      </c>
      <c r="C473" t="inlineStr">
        <is>
          <t>Föryngringsavverkning</t>
        </is>
      </c>
      <c r="D473" s="1" t="n">
        <v>46093</v>
      </c>
      <c r="E473" s="1" t="n">
        <v>46216</v>
      </c>
      <c r="F473" t="inlineStr">
        <is>
          <t>VÄSTERBOTTENS LÄN</t>
        </is>
      </c>
      <c r="G473" t="inlineStr">
        <is>
          <t>ÅSELE</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13169-2026</t>
        </is>
      </c>
      <c r="B474" t="inlineStr">
        <is>
          <t>avverkningsanmälan</t>
        </is>
      </c>
      <c r="C474" t="inlineStr">
        <is>
          <t>Föryngringsavverkning</t>
        </is>
      </c>
      <c r="D474" s="1" t="n">
        <v>46093</v>
      </c>
      <c r="E474" s="1" t="n">
        <v>46216</v>
      </c>
      <c r="F474" t="inlineStr">
        <is>
          <t>VÄSTERBOTTENS LÄN</t>
        </is>
      </c>
      <c r="G474" t="inlineStr">
        <is>
          <t>ÅSELE</t>
        </is>
      </c>
      <c r="I474" t="n">
        <v>0.4</v>
      </c>
      <c r="J474" t="n">
        <v>0</v>
      </c>
      <c r="K474" t="n">
        <v>0</v>
      </c>
      <c r="L474" t="n">
        <v>0</v>
      </c>
      <c r="M474" t="n">
        <v>0</v>
      </c>
      <c r="N474" t="n">
        <v>0</v>
      </c>
      <c r="O474" t="n">
        <v>0</v>
      </c>
      <c r="P474" t="n">
        <v>0</v>
      </c>
      <c r="Q474" t="n">
        <v>0</v>
      </c>
      <c r="R474" t="n">
        <v>0</v>
      </c>
      <c r="S474" t="n">
        <v>0</v>
      </c>
      <c r="T474" t="n">
        <v>0</v>
      </c>
      <c r="U474" s="2" t="inlineStr"/>
    </row>
    <row r="475" ht="15" customHeight="1">
      <c r="A475" t="inlineStr">
        <is>
          <t>A 13249-2026</t>
        </is>
      </c>
      <c r="B475" t="inlineStr">
        <is>
          <t>avverkningsanmälan</t>
        </is>
      </c>
      <c r="C475" t="inlineStr">
        <is>
          <t>Föryngringsavverkning</t>
        </is>
      </c>
      <c r="D475" s="1" t="n">
        <v>46093</v>
      </c>
      <c r="E475" s="1" t="n">
        <v>46216</v>
      </c>
      <c r="F475" t="inlineStr">
        <is>
          <t>VÄSTERBOTTENS LÄN</t>
        </is>
      </c>
      <c r="G475" t="inlineStr">
        <is>
          <t>ÅSELE</t>
        </is>
      </c>
      <c r="H475" t="inlineStr">
        <is>
          <t>SCA</t>
        </is>
      </c>
      <c r="I475" t="n">
        <v>13.6</v>
      </c>
      <c r="J475" t="n">
        <v>0</v>
      </c>
      <c r="K475" t="n">
        <v>0</v>
      </c>
      <c r="L475" t="n">
        <v>0</v>
      </c>
      <c r="M475" t="n">
        <v>0</v>
      </c>
      <c r="N475" t="n">
        <v>0</v>
      </c>
      <c r="O475" t="n">
        <v>0</v>
      </c>
      <c r="P475" t="n">
        <v>0</v>
      </c>
      <c r="Q475" t="n">
        <v>0</v>
      </c>
      <c r="R475" t="n">
        <v>0</v>
      </c>
      <c r="S475" t="n">
        <v>0</v>
      </c>
      <c r="T475" t="n">
        <v>0</v>
      </c>
      <c r="U475" s="2" t="inlineStr"/>
    </row>
    <row r="476" ht="15" customHeight="1">
      <c r="A476" t="inlineStr">
        <is>
          <t>A 36164-2024</t>
        </is>
      </c>
      <c r="B476" t="inlineStr">
        <is>
          <t>avverkningsanmälan</t>
        </is>
      </c>
      <c r="C476" t="inlineStr">
        <is>
          <t>Föryngringsavverkning</t>
        </is>
      </c>
      <c r="D476" s="1" t="n">
        <v>45534</v>
      </c>
      <c r="E476" s="1" t="n">
        <v>46216</v>
      </c>
      <c r="F476" t="inlineStr">
        <is>
          <t>VÄSTERBOTTENS LÄN</t>
        </is>
      </c>
      <c r="G476" t="inlineStr">
        <is>
          <t>ÅSELE</t>
        </is>
      </c>
      <c r="H476" t="inlineStr">
        <is>
          <t>Sveaskog</t>
        </is>
      </c>
      <c r="I476" t="n">
        <v>31</v>
      </c>
      <c r="J476" t="n">
        <v>0</v>
      </c>
      <c r="K476" t="n">
        <v>0</v>
      </c>
      <c r="L476" t="n">
        <v>0</v>
      </c>
      <c r="M476" t="n">
        <v>0</v>
      </c>
      <c r="N476" t="n">
        <v>0</v>
      </c>
      <c r="O476" t="n">
        <v>0</v>
      </c>
      <c r="P476" t="n">
        <v>0</v>
      </c>
      <c r="Q476" t="n">
        <v>0</v>
      </c>
      <c r="R476" t="n">
        <v>0</v>
      </c>
      <c r="S476" t="n">
        <v>0</v>
      </c>
      <c r="T476" t="n">
        <v>0</v>
      </c>
      <c r="U476" s="2" t="inlineStr"/>
    </row>
    <row r="477" ht="15" customHeight="1">
      <c r="A477" t="inlineStr">
        <is>
          <t>A 26980-2024</t>
        </is>
      </c>
      <c r="B477" t="inlineStr">
        <is>
          <t>avverkningsanmälan</t>
        </is>
      </c>
      <c r="C477" t="inlineStr">
        <is>
          <t>Föryngringsavverkning</t>
        </is>
      </c>
      <c r="D477" s="1" t="n">
        <v>45471</v>
      </c>
      <c r="E477" s="1" t="n">
        <v>46216</v>
      </c>
      <c r="F477" t="inlineStr">
        <is>
          <t>VÄSTERBOTTENS LÄN</t>
        </is>
      </c>
      <c r="G477" t="inlineStr">
        <is>
          <t>ÅSELE</t>
        </is>
      </c>
      <c r="I477" t="n">
        <v>7.7</v>
      </c>
      <c r="J477" t="n">
        <v>0</v>
      </c>
      <c r="K477" t="n">
        <v>0</v>
      </c>
      <c r="L477" t="n">
        <v>0</v>
      </c>
      <c r="M477" t="n">
        <v>0</v>
      </c>
      <c r="N477" t="n">
        <v>0</v>
      </c>
      <c r="O477" t="n">
        <v>0</v>
      </c>
      <c r="P477" t="n">
        <v>0</v>
      </c>
      <c r="Q477" t="n">
        <v>0</v>
      </c>
      <c r="R477" t="n">
        <v>0</v>
      </c>
      <c r="S477" t="n">
        <v>0</v>
      </c>
      <c r="T477" t="n">
        <v>0</v>
      </c>
      <c r="U477" s="2" t="inlineStr"/>
    </row>
    <row r="478" ht="15" customHeight="1">
      <c r="A478" t="inlineStr">
        <is>
          <t>A 13794-2026</t>
        </is>
      </c>
      <c r="B478" t="inlineStr">
        <is>
          <t>avverkningsanmälan</t>
        </is>
      </c>
      <c r="C478" t="inlineStr">
        <is>
          <t>Föryngringsavverkning</t>
        </is>
      </c>
      <c r="D478" s="1" t="n">
        <v>46097</v>
      </c>
      <c r="E478" s="1" t="n">
        <v>46216</v>
      </c>
      <c r="F478" t="inlineStr">
        <is>
          <t>VÄSTERBOTTENS LÄN</t>
        </is>
      </c>
      <c r="G478" t="inlineStr">
        <is>
          <t>ÅSELE</t>
        </is>
      </c>
      <c r="H478" t="inlineStr">
        <is>
          <t>Sveaskog</t>
        </is>
      </c>
      <c r="I478" t="n">
        <v>10.9</v>
      </c>
      <c r="J478" t="n">
        <v>0</v>
      </c>
      <c r="K478" t="n">
        <v>0</v>
      </c>
      <c r="L478" t="n">
        <v>0</v>
      </c>
      <c r="M478" t="n">
        <v>0</v>
      </c>
      <c r="N478" t="n">
        <v>0</v>
      </c>
      <c r="O478" t="n">
        <v>0</v>
      </c>
      <c r="P478" t="n">
        <v>0</v>
      </c>
      <c r="Q478" t="n">
        <v>0</v>
      </c>
      <c r="R478" t="n">
        <v>0</v>
      </c>
      <c r="S478" t="n">
        <v>0</v>
      </c>
      <c r="T478" t="n">
        <v>0</v>
      </c>
      <c r="U478" s="2" t="inlineStr"/>
    </row>
    <row r="479" ht="15" customHeight="1">
      <c r="A479" t="inlineStr">
        <is>
          <t>A 10109-2025</t>
        </is>
      </c>
      <c r="B479" t="inlineStr">
        <is>
          <t>avverkningsanmälan</t>
        </is>
      </c>
      <c r="C479" t="inlineStr">
        <is>
          <t>Föryngringsavverkning</t>
        </is>
      </c>
      <c r="D479" s="1" t="n">
        <v>45719</v>
      </c>
      <c r="E479" s="1" t="n">
        <v>46216</v>
      </c>
      <c r="F479" t="inlineStr">
        <is>
          <t>VÄSTERBOTTENS LÄN</t>
        </is>
      </c>
      <c r="G479" t="inlineStr">
        <is>
          <t>ÅSELE</t>
        </is>
      </c>
      <c r="I479" t="n">
        <v>3.6</v>
      </c>
      <c r="J479" t="n">
        <v>0</v>
      </c>
      <c r="K479" t="n">
        <v>0</v>
      </c>
      <c r="L479" t="n">
        <v>0</v>
      </c>
      <c r="M479" t="n">
        <v>0</v>
      </c>
      <c r="N479" t="n">
        <v>0</v>
      </c>
      <c r="O479" t="n">
        <v>0</v>
      </c>
      <c r="P479" t="n">
        <v>0</v>
      </c>
      <c r="Q479" t="n">
        <v>0</v>
      </c>
      <c r="R479" t="n">
        <v>0</v>
      </c>
      <c r="S479" t="n">
        <v>0</v>
      </c>
      <c r="T479" t="n">
        <v>0</v>
      </c>
      <c r="U479" s="2" t="inlineStr"/>
    </row>
    <row r="480" ht="15" customHeight="1">
      <c r="A480" t="inlineStr">
        <is>
          <t>A 41815-2024</t>
        </is>
      </c>
      <c r="B480" t="inlineStr">
        <is>
          <t>avverkningsanmälan</t>
        </is>
      </c>
      <c r="C480" t="inlineStr">
        <is>
          <t>Föryngringsavverkning</t>
        </is>
      </c>
      <c r="D480" s="1" t="n">
        <v>45561</v>
      </c>
      <c r="E480" s="1" t="n">
        <v>46216</v>
      </c>
      <c r="F480" t="inlineStr">
        <is>
          <t>VÄSTERBOTTENS LÄN</t>
        </is>
      </c>
      <c r="G480" t="inlineStr">
        <is>
          <t>ÅSELE</t>
        </is>
      </c>
      <c r="I480" t="n">
        <v>3.4</v>
      </c>
      <c r="J480" t="n">
        <v>0</v>
      </c>
      <c r="K480" t="n">
        <v>0</v>
      </c>
      <c r="L480" t="n">
        <v>0</v>
      </c>
      <c r="M480" t="n">
        <v>0</v>
      </c>
      <c r="N480" t="n">
        <v>0</v>
      </c>
      <c r="O480" t="n">
        <v>0</v>
      </c>
      <c r="P480" t="n">
        <v>0</v>
      </c>
      <c r="Q480" t="n">
        <v>0</v>
      </c>
      <c r="R480" t="n">
        <v>0</v>
      </c>
      <c r="S480" t="n">
        <v>0</v>
      </c>
      <c r="T480" t="n">
        <v>0</v>
      </c>
      <c r="U480" s="2" t="inlineStr"/>
    </row>
    <row r="481" ht="15" customHeight="1">
      <c r="A481" t="inlineStr">
        <is>
          <t>A 41321-2024</t>
        </is>
      </c>
      <c r="B481" t="inlineStr">
        <is>
          <t>avverkningsanmälan</t>
        </is>
      </c>
      <c r="C481" t="inlineStr">
        <is>
          <t>Föryngringsavverkning</t>
        </is>
      </c>
      <c r="D481" s="1" t="n">
        <v>45559</v>
      </c>
      <c r="E481" s="1" t="n">
        <v>46216</v>
      </c>
      <c r="F481" t="inlineStr">
        <is>
          <t>VÄSTERBOTTENS LÄN</t>
        </is>
      </c>
      <c r="G481" t="inlineStr">
        <is>
          <t>ÅSELE</t>
        </is>
      </c>
      <c r="H481" t="inlineStr">
        <is>
          <t>Naturvårdsverket</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67685-2021</t>
        </is>
      </c>
      <c r="B482" t="inlineStr">
        <is>
          <t>avverkningsanmälan</t>
        </is>
      </c>
      <c r="C482" t="inlineStr">
        <is>
          <t>Föryngringsavverkning</t>
        </is>
      </c>
      <c r="D482" s="1" t="n">
        <v>44524</v>
      </c>
      <c r="E482" s="1" t="n">
        <v>46216</v>
      </c>
      <c r="F482" t="inlineStr">
        <is>
          <t>VÄSTERBOTTENS LÄN</t>
        </is>
      </c>
      <c r="G482" t="inlineStr">
        <is>
          <t>ÅSELE</t>
        </is>
      </c>
      <c r="H482" t="inlineStr">
        <is>
          <t>SCA</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14458-2026</t>
        </is>
      </c>
      <c r="B483" t="inlineStr">
        <is>
          <t>avverkningsanmälan</t>
        </is>
      </c>
      <c r="C483" t="inlineStr">
        <is>
          <t>Föryngringsavverkning</t>
        </is>
      </c>
      <c r="D483" s="1" t="n">
        <v>46100</v>
      </c>
      <c r="E483" s="1" t="n">
        <v>46216</v>
      </c>
      <c r="F483" t="inlineStr">
        <is>
          <t>VÄSTERBOTTENS LÄN</t>
        </is>
      </c>
      <c r="G483" t="inlineStr">
        <is>
          <t>ÅSELE</t>
        </is>
      </c>
      <c r="H483" t="inlineStr">
        <is>
          <t>SCA</t>
        </is>
      </c>
      <c r="I483" t="n">
        <v>11.7</v>
      </c>
      <c r="J483" t="n">
        <v>0</v>
      </c>
      <c r="K483" t="n">
        <v>0</v>
      </c>
      <c r="L483" t="n">
        <v>0</v>
      </c>
      <c r="M483" t="n">
        <v>0</v>
      </c>
      <c r="N483" t="n">
        <v>0</v>
      </c>
      <c r="O483" t="n">
        <v>0</v>
      </c>
      <c r="P483" t="n">
        <v>0</v>
      </c>
      <c r="Q483" t="n">
        <v>0</v>
      </c>
      <c r="R483" t="n">
        <v>0</v>
      </c>
      <c r="S483" t="n">
        <v>0</v>
      </c>
      <c r="T483" t="n">
        <v>0</v>
      </c>
      <c r="U483" s="2" t="inlineStr"/>
    </row>
    <row r="484" ht="15" customHeight="1">
      <c r="A484" t="inlineStr">
        <is>
          <t>A 15051-2026</t>
        </is>
      </c>
      <c r="B484" t="inlineStr">
        <is>
          <t>avverkningsanmälan</t>
        </is>
      </c>
      <c r="C484" t="inlineStr">
        <is>
          <t>Föryngringsavverkning</t>
        </is>
      </c>
      <c r="D484" s="1" t="n">
        <v>46104</v>
      </c>
      <c r="E484" s="1" t="n">
        <v>46216</v>
      </c>
      <c r="F484" t="inlineStr">
        <is>
          <t>VÄSTERBOTTENS LÄN</t>
        </is>
      </c>
      <c r="G484" t="inlineStr">
        <is>
          <t>ÅSELE</t>
        </is>
      </c>
      <c r="H484" t="inlineStr">
        <is>
          <t>Holmen skog AB</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38405-2024</t>
        </is>
      </c>
      <c r="B485" t="inlineStr">
        <is>
          <t>avverkningsanmälan</t>
        </is>
      </c>
      <c r="C485" t="inlineStr">
        <is>
          <t>Föryngringsavverkning</t>
        </is>
      </c>
      <c r="D485" s="1" t="n">
        <v>45546</v>
      </c>
      <c r="E485" s="1" t="n">
        <v>46216</v>
      </c>
      <c r="F485" t="inlineStr">
        <is>
          <t>VÄSTERBOTTENS LÄN</t>
        </is>
      </c>
      <c r="G485" t="inlineStr">
        <is>
          <t>ÅSELE</t>
        </is>
      </c>
      <c r="H485" t="inlineStr">
        <is>
          <t>SCA</t>
        </is>
      </c>
      <c r="I485" t="n">
        <v>3.5</v>
      </c>
      <c r="J485" t="n">
        <v>0</v>
      </c>
      <c r="K485" t="n">
        <v>0</v>
      </c>
      <c r="L485" t="n">
        <v>0</v>
      </c>
      <c r="M485" t="n">
        <v>0</v>
      </c>
      <c r="N485" t="n">
        <v>0</v>
      </c>
      <c r="O485" t="n">
        <v>0</v>
      </c>
      <c r="P485" t="n">
        <v>0</v>
      </c>
      <c r="Q485" t="n">
        <v>0</v>
      </c>
      <c r="R485" t="n">
        <v>0</v>
      </c>
      <c r="S485" t="n">
        <v>0</v>
      </c>
      <c r="T485" t="n">
        <v>0</v>
      </c>
      <c r="U485" s="2" t="inlineStr"/>
    </row>
    <row r="486" ht="15" customHeight="1">
      <c r="A486" t="inlineStr">
        <is>
          <t>A 42642-2024</t>
        </is>
      </c>
      <c r="B486" t="inlineStr">
        <is>
          <t>avverkningsanmälan</t>
        </is>
      </c>
      <c r="C486" t="inlineStr">
        <is>
          <t>Avverkning för annat ändamål</t>
        </is>
      </c>
      <c r="D486" s="1" t="n">
        <v>45566</v>
      </c>
      <c r="E486" s="1" t="n">
        <v>46216</v>
      </c>
      <c r="F486" t="inlineStr">
        <is>
          <t>VÄSTERBOTTENS LÄN</t>
        </is>
      </c>
      <c r="G486" t="inlineStr">
        <is>
          <t>ÅSELE</t>
        </is>
      </c>
      <c r="H486" t="inlineStr">
        <is>
          <t>Sveaskog</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18317-2025</t>
        </is>
      </c>
      <c r="B487" t="inlineStr">
        <is>
          <t>avverkningsanmälan</t>
        </is>
      </c>
      <c r="C487" t="inlineStr">
        <is>
          <t>Föryngringsavverkning</t>
        </is>
      </c>
      <c r="D487" s="1" t="n">
        <v>45762</v>
      </c>
      <c r="E487" s="1" t="n">
        <v>46216</v>
      </c>
      <c r="F487" t="inlineStr">
        <is>
          <t>VÄSTERBOTTENS LÄN</t>
        </is>
      </c>
      <c r="G487" t="inlineStr">
        <is>
          <t>ÅSELE</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42689-2024</t>
        </is>
      </c>
      <c r="B488" t="inlineStr">
        <is>
          <t>avverkningsanmälan</t>
        </is>
      </c>
      <c r="C488" t="inlineStr">
        <is>
          <t>Föryngringsavverkning</t>
        </is>
      </c>
      <c r="D488" s="1" t="n">
        <v>45566</v>
      </c>
      <c r="E488" s="1" t="n">
        <v>46216</v>
      </c>
      <c r="F488" t="inlineStr">
        <is>
          <t>VÄSTERBOTTENS LÄN</t>
        </is>
      </c>
      <c r="G488" t="inlineStr">
        <is>
          <t>ÅSELE</t>
        </is>
      </c>
      <c r="H488" t="inlineStr">
        <is>
          <t>Holmen skog AB</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17148-2025</t>
        </is>
      </c>
      <c r="B489" t="inlineStr">
        <is>
          <t>avverkningsanmälan</t>
        </is>
      </c>
      <c r="C489" t="inlineStr">
        <is>
          <t>Föryngringsavverkning</t>
        </is>
      </c>
      <c r="D489" s="1" t="n">
        <v>45756</v>
      </c>
      <c r="E489" s="1" t="n">
        <v>46216</v>
      </c>
      <c r="F489" t="inlineStr">
        <is>
          <t>VÄSTERBOTTENS LÄN</t>
        </is>
      </c>
      <c r="G489" t="inlineStr">
        <is>
          <t>ÅSELE</t>
        </is>
      </c>
      <c r="I489" t="n">
        <v>5.3</v>
      </c>
      <c r="J489" t="n">
        <v>0</v>
      </c>
      <c r="K489" t="n">
        <v>0</v>
      </c>
      <c r="L489" t="n">
        <v>0</v>
      </c>
      <c r="M489" t="n">
        <v>0</v>
      </c>
      <c r="N489" t="n">
        <v>0</v>
      </c>
      <c r="O489" t="n">
        <v>0</v>
      </c>
      <c r="P489" t="n">
        <v>0</v>
      </c>
      <c r="Q489" t="n">
        <v>0</v>
      </c>
      <c r="R489" t="n">
        <v>0</v>
      </c>
      <c r="S489" t="n">
        <v>0</v>
      </c>
      <c r="T489" t="n">
        <v>0</v>
      </c>
      <c r="U489" s="2" t="inlineStr"/>
    </row>
    <row r="490" ht="15" customHeight="1">
      <c r="A490" t="inlineStr">
        <is>
          <t>A 32586-2023</t>
        </is>
      </c>
      <c r="B490" t="inlineStr">
        <is>
          <t>avverkningsanmälan</t>
        </is>
      </c>
      <c r="C490" t="inlineStr">
        <is>
          <t>Föryngringsavverkning</t>
        </is>
      </c>
      <c r="D490" s="1" t="n">
        <v>45121</v>
      </c>
      <c r="E490" s="1" t="n">
        <v>46216</v>
      </c>
      <c r="F490" t="inlineStr">
        <is>
          <t>VÄSTERBOTTENS LÄN</t>
        </is>
      </c>
      <c r="G490" t="inlineStr">
        <is>
          <t>ÅSELE</t>
        </is>
      </c>
      <c r="H490" t="inlineStr">
        <is>
          <t>Holmen skog AB</t>
        </is>
      </c>
      <c r="I490" t="n">
        <v>5.5</v>
      </c>
      <c r="J490" t="n">
        <v>0</v>
      </c>
      <c r="K490" t="n">
        <v>0</v>
      </c>
      <c r="L490" t="n">
        <v>0</v>
      </c>
      <c r="M490" t="n">
        <v>0</v>
      </c>
      <c r="N490" t="n">
        <v>0</v>
      </c>
      <c r="O490" t="n">
        <v>0</v>
      </c>
      <c r="P490" t="n">
        <v>0</v>
      </c>
      <c r="Q490" t="n">
        <v>0</v>
      </c>
      <c r="R490" t="n">
        <v>0</v>
      </c>
      <c r="S490" t="n">
        <v>0</v>
      </c>
      <c r="T490" t="n">
        <v>0</v>
      </c>
      <c r="U490" s="2" t="inlineStr"/>
    </row>
    <row r="491" ht="15" customHeight="1">
      <c r="A491" t="inlineStr">
        <is>
          <t>A 15059-2025</t>
        </is>
      </c>
      <c r="B491" t="inlineStr">
        <is>
          <t>avverkningsanmälan</t>
        </is>
      </c>
      <c r="C491" t="inlineStr">
        <is>
          <t>Föryngringsavverkning</t>
        </is>
      </c>
      <c r="D491" s="1" t="n">
        <v>45743</v>
      </c>
      <c r="E491" s="1" t="n">
        <v>46216</v>
      </c>
      <c r="F491" t="inlineStr">
        <is>
          <t>VÄSTERBOTTENS LÄN</t>
        </is>
      </c>
      <c r="G491" t="inlineStr">
        <is>
          <t>ÅSELE</t>
        </is>
      </c>
      <c r="H491" t="inlineStr">
        <is>
          <t>Holmen skog AB</t>
        </is>
      </c>
      <c r="I491" t="n">
        <v>13.7</v>
      </c>
      <c r="J491" t="n">
        <v>0</v>
      </c>
      <c r="K491" t="n">
        <v>0</v>
      </c>
      <c r="L491" t="n">
        <v>0</v>
      </c>
      <c r="M491" t="n">
        <v>0</v>
      </c>
      <c r="N491" t="n">
        <v>0</v>
      </c>
      <c r="O491" t="n">
        <v>0</v>
      </c>
      <c r="P491" t="n">
        <v>0</v>
      </c>
      <c r="Q491" t="n">
        <v>0</v>
      </c>
      <c r="R491" t="n">
        <v>0</v>
      </c>
      <c r="S491" t="n">
        <v>0</v>
      </c>
      <c r="T491" t="n">
        <v>0</v>
      </c>
      <c r="U491" s="2" t="inlineStr"/>
    </row>
    <row r="492" ht="15" customHeight="1">
      <c r="A492" t="inlineStr">
        <is>
          <t>A 16570-2023</t>
        </is>
      </c>
      <c r="B492" t="inlineStr">
        <is>
          <t>avverkningsanmälan</t>
        </is>
      </c>
      <c r="C492" t="inlineStr">
        <is>
          <t>Föryngringsavverkning</t>
        </is>
      </c>
      <c r="D492" s="1" t="n">
        <v>45029</v>
      </c>
      <c r="E492" s="1" t="n">
        <v>46216</v>
      </c>
      <c r="F492" t="inlineStr">
        <is>
          <t>VÄSTERBOTTENS LÄN</t>
        </is>
      </c>
      <c r="G492" t="inlineStr">
        <is>
          <t>ÅSELE</t>
        </is>
      </c>
      <c r="H492" t="inlineStr">
        <is>
          <t>SCA</t>
        </is>
      </c>
      <c r="I492" t="n">
        <v>3.3</v>
      </c>
      <c r="J492" t="n">
        <v>0</v>
      </c>
      <c r="K492" t="n">
        <v>0</v>
      </c>
      <c r="L492" t="n">
        <v>0</v>
      </c>
      <c r="M492" t="n">
        <v>0</v>
      </c>
      <c r="N492" t="n">
        <v>0</v>
      </c>
      <c r="O492" t="n">
        <v>0</v>
      </c>
      <c r="P492" t="n">
        <v>0</v>
      </c>
      <c r="Q492" t="n">
        <v>0</v>
      </c>
      <c r="R492" t="n">
        <v>0</v>
      </c>
      <c r="S492" t="n">
        <v>0</v>
      </c>
      <c r="T492" t="n">
        <v>0</v>
      </c>
      <c r="U492" s="2" t="inlineStr"/>
    </row>
    <row r="493" ht="15" customHeight="1">
      <c r="A493" t="inlineStr">
        <is>
          <t>A 15854-2026</t>
        </is>
      </c>
      <c r="B493" t="inlineStr">
        <is>
          <t>avverkningsanmälan</t>
        </is>
      </c>
      <c r="C493" t="inlineStr">
        <is>
          <t>Föryngringsavverkning</t>
        </is>
      </c>
      <c r="D493" s="1" t="n">
        <v>46107</v>
      </c>
      <c r="E493" s="1" t="n">
        <v>46216</v>
      </c>
      <c r="F493" t="inlineStr">
        <is>
          <t>VÄSTERBOTTENS LÄN</t>
        </is>
      </c>
      <c r="G493" t="inlineStr">
        <is>
          <t>ÅSELE</t>
        </is>
      </c>
      <c r="I493" t="n">
        <v>1.5</v>
      </c>
      <c r="J493" t="n">
        <v>0</v>
      </c>
      <c r="K493" t="n">
        <v>0</v>
      </c>
      <c r="L493" t="n">
        <v>0</v>
      </c>
      <c r="M493" t="n">
        <v>0</v>
      </c>
      <c r="N493" t="n">
        <v>0</v>
      </c>
      <c r="O493" t="n">
        <v>0</v>
      </c>
      <c r="P493" t="n">
        <v>0</v>
      </c>
      <c r="Q493" t="n">
        <v>0</v>
      </c>
      <c r="R493" t="n">
        <v>0</v>
      </c>
      <c r="S493" t="n">
        <v>0</v>
      </c>
      <c r="T493" t="n">
        <v>0</v>
      </c>
      <c r="U493" s="2" t="inlineStr"/>
    </row>
    <row r="494" ht="15" customHeight="1">
      <c r="A494" t="inlineStr">
        <is>
          <t>A 9355-2023</t>
        </is>
      </c>
      <c r="B494" t="inlineStr">
        <is>
          <t>avverkningsanmälan</t>
        </is>
      </c>
      <c r="C494" t="inlineStr">
        <is>
          <t>Föryngringsavverkning</t>
        </is>
      </c>
      <c r="D494" s="1" t="n">
        <v>44980</v>
      </c>
      <c r="E494" s="1" t="n">
        <v>46216</v>
      </c>
      <c r="F494" t="inlineStr">
        <is>
          <t>VÄSTERBOTTENS LÄN</t>
        </is>
      </c>
      <c r="G494" t="inlineStr">
        <is>
          <t>ÅSELE</t>
        </is>
      </c>
      <c r="H494" t="inlineStr">
        <is>
          <t>SCA</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34684-2023</t>
        </is>
      </c>
      <c r="B495" t="inlineStr">
        <is>
          <t>avverkningsanmälan</t>
        </is>
      </c>
      <c r="C495" t="inlineStr">
        <is>
          <t>Föryngringsavverkning</t>
        </is>
      </c>
      <c r="D495" s="1" t="n">
        <v>45140</v>
      </c>
      <c r="E495" s="1" t="n">
        <v>46216</v>
      </c>
      <c r="F495" t="inlineStr">
        <is>
          <t>VÄSTERBOTTENS LÄN</t>
        </is>
      </c>
      <c r="G495" t="inlineStr">
        <is>
          <t>ÅSELE</t>
        </is>
      </c>
      <c r="I495" t="n">
        <v>5.9</v>
      </c>
      <c r="J495" t="n">
        <v>0</v>
      </c>
      <c r="K495" t="n">
        <v>0</v>
      </c>
      <c r="L495" t="n">
        <v>0</v>
      </c>
      <c r="M495" t="n">
        <v>0</v>
      </c>
      <c r="N495" t="n">
        <v>0</v>
      </c>
      <c r="O495" t="n">
        <v>0</v>
      </c>
      <c r="P495" t="n">
        <v>0</v>
      </c>
      <c r="Q495" t="n">
        <v>0</v>
      </c>
      <c r="R495" t="n">
        <v>0</v>
      </c>
      <c r="S495" t="n">
        <v>0</v>
      </c>
      <c r="T495" t="n">
        <v>0</v>
      </c>
      <c r="U495" s="2" t="inlineStr"/>
    </row>
    <row r="496" ht="15" customHeight="1">
      <c r="A496" t="inlineStr">
        <is>
          <t>A 7498-2025</t>
        </is>
      </c>
      <c r="B496" t="inlineStr">
        <is>
          <t>avverkningsanmälan</t>
        </is>
      </c>
      <c r="C496" t="inlineStr">
        <is>
          <t>Föryngringsavverkning</t>
        </is>
      </c>
      <c r="D496" s="1" t="n">
        <v>45705</v>
      </c>
      <c r="E496" s="1" t="n">
        <v>46216</v>
      </c>
      <c r="F496" t="inlineStr">
        <is>
          <t>VÄSTERBOTTENS LÄN</t>
        </is>
      </c>
      <c r="G496" t="inlineStr">
        <is>
          <t>ÅSELE</t>
        </is>
      </c>
      <c r="H496" t="inlineStr">
        <is>
          <t>Holmen skog AB</t>
        </is>
      </c>
      <c r="I496" t="n">
        <v>10.1</v>
      </c>
      <c r="J496" t="n">
        <v>0</v>
      </c>
      <c r="K496" t="n">
        <v>0</v>
      </c>
      <c r="L496" t="n">
        <v>0</v>
      </c>
      <c r="M496" t="n">
        <v>0</v>
      </c>
      <c r="N496" t="n">
        <v>0</v>
      </c>
      <c r="O496" t="n">
        <v>0</v>
      </c>
      <c r="P496" t="n">
        <v>0</v>
      </c>
      <c r="Q496" t="n">
        <v>0</v>
      </c>
      <c r="R496" t="n">
        <v>0</v>
      </c>
      <c r="S496" t="n">
        <v>0</v>
      </c>
      <c r="T496" t="n">
        <v>0</v>
      </c>
      <c r="U496" s="2" t="inlineStr"/>
    </row>
    <row r="497" ht="15" customHeight="1">
      <c r="A497" t="inlineStr">
        <is>
          <t>A 23648-2023</t>
        </is>
      </c>
      <c r="B497" t="inlineStr">
        <is>
          <t>avverkningsanmälan</t>
        </is>
      </c>
      <c r="C497" t="inlineStr">
        <is>
          <t>Föryngringsavverkning</t>
        </is>
      </c>
      <c r="D497" s="1" t="n">
        <v>45077</v>
      </c>
      <c r="E497" s="1" t="n">
        <v>46216</v>
      </c>
      <c r="F497" t="inlineStr">
        <is>
          <t>VÄSTERBOTTENS LÄN</t>
        </is>
      </c>
      <c r="G497" t="inlineStr">
        <is>
          <t>ÅSELE</t>
        </is>
      </c>
      <c r="H497" t="inlineStr">
        <is>
          <t>Naturvårdsverket</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62975-2021</t>
        </is>
      </c>
      <c r="B498" t="inlineStr">
        <is>
          <t>avverkningsanmälan</t>
        </is>
      </c>
      <c r="C498" t="inlineStr">
        <is>
          <t>Avverkning för annat ändamål</t>
        </is>
      </c>
      <c r="D498" s="1" t="n">
        <v>44505</v>
      </c>
      <c r="E498" s="1" t="n">
        <v>46216</v>
      </c>
      <c r="F498" t="inlineStr">
        <is>
          <t>VÄSTERBOTTENS LÄN</t>
        </is>
      </c>
      <c r="G498" t="inlineStr">
        <is>
          <t>ÅSELE</t>
        </is>
      </c>
      <c r="H498" t="inlineStr">
        <is>
          <t>Holmen skog AB</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16893-2026</t>
        </is>
      </c>
      <c r="B499" t="inlineStr">
        <is>
          <t>avverkningsanmälan</t>
        </is>
      </c>
      <c r="C499" t="inlineStr">
        <is>
          <t>Föryngringsavverkning</t>
        </is>
      </c>
      <c r="D499" s="1" t="n">
        <v>46113</v>
      </c>
      <c r="E499" s="1" t="n">
        <v>46216</v>
      </c>
      <c r="F499" t="inlineStr">
        <is>
          <t>VÄSTERBOTTENS LÄN</t>
        </is>
      </c>
      <c r="G499" t="inlineStr">
        <is>
          <t>ÅSELE</t>
        </is>
      </c>
      <c r="H499" t="inlineStr">
        <is>
          <t>SCA</t>
        </is>
      </c>
      <c r="I499" t="n">
        <v>13.6</v>
      </c>
      <c r="J499" t="n">
        <v>0</v>
      </c>
      <c r="K499" t="n">
        <v>0</v>
      </c>
      <c r="L499" t="n">
        <v>0</v>
      </c>
      <c r="M499" t="n">
        <v>0</v>
      </c>
      <c r="N499" t="n">
        <v>0</v>
      </c>
      <c r="O499" t="n">
        <v>0</v>
      </c>
      <c r="P499" t="n">
        <v>0</v>
      </c>
      <c r="Q499" t="n">
        <v>0</v>
      </c>
      <c r="R499" t="n">
        <v>0</v>
      </c>
      <c r="S499" t="n">
        <v>0</v>
      </c>
      <c r="T499" t="n">
        <v>0</v>
      </c>
      <c r="U499" s="2" t="inlineStr"/>
    </row>
    <row r="500" ht="15" customHeight="1">
      <c r="A500" t="inlineStr">
        <is>
          <t>A 49428-2022</t>
        </is>
      </c>
      <c r="B500" t="inlineStr">
        <is>
          <t>avverkningsanmälan</t>
        </is>
      </c>
      <c r="C500" t="inlineStr">
        <is>
          <t>Föryngringsavverkning</t>
        </is>
      </c>
      <c r="D500" s="1" t="n">
        <v>44859</v>
      </c>
      <c r="E500" s="1" t="n">
        <v>46216</v>
      </c>
      <c r="F500" t="inlineStr">
        <is>
          <t>VÄSTERBOTTENS LÄN</t>
        </is>
      </c>
      <c r="G500" t="inlineStr">
        <is>
          <t>ÅSELE</t>
        </is>
      </c>
      <c r="I500" t="n">
        <v>4.6</v>
      </c>
      <c r="J500" t="n">
        <v>0</v>
      </c>
      <c r="K500" t="n">
        <v>0</v>
      </c>
      <c r="L500" t="n">
        <v>0</v>
      </c>
      <c r="M500" t="n">
        <v>0</v>
      </c>
      <c r="N500" t="n">
        <v>0</v>
      </c>
      <c r="O500" t="n">
        <v>0</v>
      </c>
      <c r="P500" t="n">
        <v>0</v>
      </c>
      <c r="Q500" t="n">
        <v>0</v>
      </c>
      <c r="R500" t="n">
        <v>0</v>
      </c>
      <c r="S500" t="n">
        <v>0</v>
      </c>
      <c r="T500" t="n">
        <v>0</v>
      </c>
      <c r="U500" s="2" t="inlineStr"/>
    </row>
    <row r="501" ht="15" customHeight="1">
      <c r="A501" t="inlineStr">
        <is>
          <t>A 17458-2026</t>
        </is>
      </c>
      <c r="B501" t="inlineStr">
        <is>
          <t>avverkningsanmälan</t>
        </is>
      </c>
      <c r="C501" t="inlineStr">
        <is>
          <t>Föryngringsavverkning</t>
        </is>
      </c>
      <c r="D501" s="1" t="n">
        <v>46119</v>
      </c>
      <c r="E501" s="1" t="n">
        <v>46216</v>
      </c>
      <c r="F501" t="inlineStr">
        <is>
          <t>VÄSTERBOTTENS LÄN</t>
        </is>
      </c>
      <c r="G501" t="inlineStr">
        <is>
          <t>ÅSELE</t>
        </is>
      </c>
      <c r="H501" t="inlineStr">
        <is>
          <t>Allmännings- och besparingsskogar</t>
        </is>
      </c>
      <c r="I501" t="n">
        <v>5.7</v>
      </c>
      <c r="J501" t="n">
        <v>0</v>
      </c>
      <c r="K501" t="n">
        <v>0</v>
      </c>
      <c r="L501" t="n">
        <v>0</v>
      </c>
      <c r="M501" t="n">
        <v>0</v>
      </c>
      <c r="N501" t="n">
        <v>0</v>
      </c>
      <c r="O501" t="n">
        <v>0</v>
      </c>
      <c r="P501" t="n">
        <v>0</v>
      </c>
      <c r="Q501" t="n">
        <v>0</v>
      </c>
      <c r="R501" t="n">
        <v>0</v>
      </c>
      <c r="S501" t="n">
        <v>0</v>
      </c>
      <c r="T501" t="n">
        <v>0</v>
      </c>
      <c r="U501" s="2" t="inlineStr"/>
    </row>
    <row r="502" ht="15" customHeight="1">
      <c r="A502" t="inlineStr">
        <is>
          <t>A 31184-2023</t>
        </is>
      </c>
      <c r="B502" t="inlineStr">
        <is>
          <t>avverkningsanmälan</t>
        </is>
      </c>
      <c r="C502" t="inlineStr">
        <is>
          <t>Föryngringsavverkning</t>
        </is>
      </c>
      <c r="D502" s="1" t="n">
        <v>45113</v>
      </c>
      <c r="E502" s="1" t="n">
        <v>46216</v>
      </c>
      <c r="F502" t="inlineStr">
        <is>
          <t>VÄSTERBOTTENS LÄN</t>
        </is>
      </c>
      <c r="G502" t="inlineStr">
        <is>
          <t>ÅSELE</t>
        </is>
      </c>
      <c r="H502" t="inlineStr">
        <is>
          <t>SCA</t>
        </is>
      </c>
      <c r="I502" t="n">
        <v>7.2</v>
      </c>
      <c r="J502" t="n">
        <v>0</v>
      </c>
      <c r="K502" t="n">
        <v>0</v>
      </c>
      <c r="L502" t="n">
        <v>0</v>
      </c>
      <c r="M502" t="n">
        <v>0</v>
      </c>
      <c r="N502" t="n">
        <v>0</v>
      </c>
      <c r="O502" t="n">
        <v>0</v>
      </c>
      <c r="P502" t="n">
        <v>0</v>
      </c>
      <c r="Q502" t="n">
        <v>0</v>
      </c>
      <c r="R502" t="n">
        <v>0</v>
      </c>
      <c r="S502" t="n">
        <v>0</v>
      </c>
      <c r="T502" t="n">
        <v>0</v>
      </c>
      <c r="U502" s="2" t="inlineStr"/>
    </row>
    <row r="503" ht="15" customHeight="1">
      <c r="A503" t="inlineStr">
        <is>
          <t>A 73419-2021</t>
        </is>
      </c>
      <c r="B503" t="inlineStr">
        <is>
          <t>avverkningsanmälan</t>
        </is>
      </c>
      <c r="C503" t="inlineStr">
        <is>
          <t>Föryngringsavverkning</t>
        </is>
      </c>
      <c r="D503" s="1" t="n">
        <v>44551</v>
      </c>
      <c r="E503" s="1" t="n">
        <v>46216</v>
      </c>
      <c r="F503" t="inlineStr">
        <is>
          <t>VÄSTERBOTTENS LÄN</t>
        </is>
      </c>
      <c r="G503" t="inlineStr">
        <is>
          <t>ÅSELE</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28889-2024</t>
        </is>
      </c>
      <c r="B504" t="inlineStr">
        <is>
          <t>avverkningsanmälan</t>
        </is>
      </c>
      <c r="C504" t="inlineStr">
        <is>
          <t>Föryngringsavverkning</t>
        </is>
      </c>
      <c r="D504" s="1" t="n">
        <v>45479</v>
      </c>
      <c r="E504" s="1" t="n">
        <v>46216</v>
      </c>
      <c r="F504" t="inlineStr">
        <is>
          <t>VÄSTERBOTTENS LÄN</t>
        </is>
      </c>
      <c r="G504" t="inlineStr">
        <is>
          <t>ÅSELE</t>
        </is>
      </c>
      <c r="H504" t="inlineStr">
        <is>
          <t>SCA</t>
        </is>
      </c>
      <c r="I504" t="n">
        <v>10.9</v>
      </c>
      <c r="J504" t="n">
        <v>0</v>
      </c>
      <c r="K504" t="n">
        <v>0</v>
      </c>
      <c r="L504" t="n">
        <v>0</v>
      </c>
      <c r="M504" t="n">
        <v>0</v>
      </c>
      <c r="N504" t="n">
        <v>0</v>
      </c>
      <c r="O504" t="n">
        <v>0</v>
      </c>
      <c r="P504" t="n">
        <v>0</v>
      </c>
      <c r="Q504" t="n">
        <v>0</v>
      </c>
      <c r="R504" t="n">
        <v>0</v>
      </c>
      <c r="S504" t="n">
        <v>0</v>
      </c>
      <c r="T504" t="n">
        <v>0</v>
      </c>
      <c r="U504" s="2" t="inlineStr"/>
    </row>
    <row r="505" ht="15" customHeight="1">
      <c r="A505" t="inlineStr">
        <is>
          <t>A 1872-2023</t>
        </is>
      </c>
      <c r="B505" t="inlineStr">
        <is>
          <t>avverkningsanmälan</t>
        </is>
      </c>
      <c r="C505" t="inlineStr">
        <is>
          <t>Föryngringsavverkning</t>
        </is>
      </c>
      <c r="D505" s="1" t="n">
        <v>44938</v>
      </c>
      <c r="E505" s="1" t="n">
        <v>46216</v>
      </c>
      <c r="F505" t="inlineStr">
        <is>
          <t>VÄSTERBOTTENS LÄN</t>
        </is>
      </c>
      <c r="G505" t="inlineStr">
        <is>
          <t>ÅSELE</t>
        </is>
      </c>
      <c r="H505" t="inlineStr">
        <is>
          <t>SCA</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48082-2021</t>
        </is>
      </c>
      <c r="B506" t="inlineStr">
        <is>
          <t>avverkningsanmälan</t>
        </is>
      </c>
      <c r="C506" t="inlineStr">
        <is>
          <t>Föryngringsavverkning</t>
        </is>
      </c>
      <c r="D506" s="1" t="n">
        <v>44449</v>
      </c>
      <c r="E506" s="1" t="n">
        <v>46216</v>
      </c>
      <c r="F506" t="inlineStr">
        <is>
          <t>VÄSTERBOTTENS LÄN</t>
        </is>
      </c>
      <c r="G506" t="inlineStr">
        <is>
          <t>ÅSELE</t>
        </is>
      </c>
      <c r="H506" t="inlineStr">
        <is>
          <t>Holmen skog AB</t>
        </is>
      </c>
      <c r="I506" t="n">
        <v>9.800000000000001</v>
      </c>
      <c r="J506" t="n">
        <v>0</v>
      </c>
      <c r="K506" t="n">
        <v>0</v>
      </c>
      <c r="L506" t="n">
        <v>0</v>
      </c>
      <c r="M506" t="n">
        <v>0</v>
      </c>
      <c r="N506" t="n">
        <v>0</v>
      </c>
      <c r="O506" t="n">
        <v>0</v>
      </c>
      <c r="P506" t="n">
        <v>0</v>
      </c>
      <c r="Q506" t="n">
        <v>0</v>
      </c>
      <c r="R506" t="n">
        <v>0</v>
      </c>
      <c r="S506" t="n">
        <v>0</v>
      </c>
      <c r="T506" t="n">
        <v>0</v>
      </c>
      <c r="U506" s="2" t="inlineStr"/>
    </row>
    <row r="507" ht="15" customHeight="1">
      <c r="A507" t="inlineStr">
        <is>
          <t>A 20397-2025</t>
        </is>
      </c>
      <c r="B507" t="inlineStr">
        <is>
          <t>avverkningsanmälan</t>
        </is>
      </c>
      <c r="C507" t="inlineStr">
        <is>
          <t>Föryngringsavverkning</t>
        </is>
      </c>
      <c r="D507" s="1" t="n">
        <v>45775</v>
      </c>
      <c r="E507" s="1" t="n">
        <v>46216</v>
      </c>
      <c r="F507" t="inlineStr">
        <is>
          <t>VÄSTERBOTTENS LÄN</t>
        </is>
      </c>
      <c r="G507" t="inlineStr">
        <is>
          <t>ÅSELE</t>
        </is>
      </c>
      <c r="I507" t="n">
        <v>11.9</v>
      </c>
      <c r="J507" t="n">
        <v>0</v>
      </c>
      <c r="K507" t="n">
        <v>0</v>
      </c>
      <c r="L507" t="n">
        <v>0</v>
      </c>
      <c r="M507" t="n">
        <v>0</v>
      </c>
      <c r="N507" t="n">
        <v>0</v>
      </c>
      <c r="O507" t="n">
        <v>0</v>
      </c>
      <c r="P507" t="n">
        <v>0</v>
      </c>
      <c r="Q507" t="n">
        <v>0</v>
      </c>
      <c r="R507" t="n">
        <v>0</v>
      </c>
      <c r="S507" t="n">
        <v>0</v>
      </c>
      <c r="T507" t="n">
        <v>0</v>
      </c>
      <c r="U507" s="2" t="inlineStr"/>
    </row>
    <row r="508" ht="15" customHeight="1">
      <c r="A508" t="inlineStr">
        <is>
          <t>A 55657-2024</t>
        </is>
      </c>
      <c r="B508" t="inlineStr">
        <is>
          <t>avverkningsanmälan</t>
        </is>
      </c>
      <c r="C508" t="inlineStr">
        <is>
          <t>Föryngringsavverkning</t>
        </is>
      </c>
      <c r="D508" s="1" t="n">
        <v>45622</v>
      </c>
      <c r="E508" s="1" t="n">
        <v>46216</v>
      </c>
      <c r="F508" t="inlineStr">
        <is>
          <t>VÄSTERBOTTENS LÄN</t>
        </is>
      </c>
      <c r="G508" t="inlineStr">
        <is>
          <t>ÅSELE</t>
        </is>
      </c>
      <c r="H508" t="inlineStr">
        <is>
          <t>SCA</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24067-2023</t>
        </is>
      </c>
      <c r="B509" t="inlineStr">
        <is>
          <t>avverkningsanmälan</t>
        </is>
      </c>
      <c r="C509" t="inlineStr">
        <is>
          <t>Avverkning för att bevara och utveckla /försöksver</t>
        </is>
      </c>
      <c r="D509" s="1" t="n">
        <v>45078</v>
      </c>
      <c r="E509" s="1" t="n">
        <v>46216</v>
      </c>
      <c r="F509" t="inlineStr">
        <is>
          <t>VÄSTERBOTTENS LÄN</t>
        </is>
      </c>
      <c r="G509" t="inlineStr">
        <is>
          <t>ÅSELE</t>
        </is>
      </c>
      <c r="H509" t="inlineStr">
        <is>
          <t>SCA</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18683-2026</t>
        </is>
      </c>
      <c r="B510" t="inlineStr">
        <is>
          <t>avverkningsanmälan</t>
        </is>
      </c>
      <c r="C510" t="inlineStr">
        <is>
          <t>Föryngringsavverkning</t>
        </is>
      </c>
      <c r="D510" s="1" t="n">
        <v>46128</v>
      </c>
      <c r="E510" s="1" t="n">
        <v>46216</v>
      </c>
      <c r="F510" t="inlineStr">
        <is>
          <t>VÄSTERBOTTENS LÄN</t>
        </is>
      </c>
      <c r="G510" t="inlineStr">
        <is>
          <t>ÅSELE</t>
        </is>
      </c>
      <c r="I510" t="n">
        <v>19.7</v>
      </c>
      <c r="J510" t="n">
        <v>0</v>
      </c>
      <c r="K510" t="n">
        <v>0</v>
      </c>
      <c r="L510" t="n">
        <v>0</v>
      </c>
      <c r="M510" t="n">
        <v>0</v>
      </c>
      <c r="N510" t="n">
        <v>0</v>
      </c>
      <c r="O510" t="n">
        <v>0</v>
      </c>
      <c r="P510" t="n">
        <v>0</v>
      </c>
      <c r="Q510" t="n">
        <v>0</v>
      </c>
      <c r="R510" t="n">
        <v>0</v>
      </c>
      <c r="S510" t="n">
        <v>0</v>
      </c>
      <c r="T510" t="n">
        <v>0</v>
      </c>
      <c r="U510" s="2" t="inlineStr"/>
    </row>
    <row r="511" ht="15" customHeight="1">
      <c r="A511" t="inlineStr">
        <is>
          <t>A 18730-2026</t>
        </is>
      </c>
      <c r="B511" t="inlineStr">
        <is>
          <t>avverkningsanmälan</t>
        </is>
      </c>
      <c r="C511" t="inlineStr">
        <is>
          <t>Föryngringsavverkning</t>
        </is>
      </c>
      <c r="D511" s="1" t="n">
        <v>46128</v>
      </c>
      <c r="E511" s="1" t="n">
        <v>46216</v>
      </c>
      <c r="F511" t="inlineStr">
        <is>
          <t>VÄSTERBOTTENS LÄN</t>
        </is>
      </c>
      <c r="G511" t="inlineStr">
        <is>
          <t>ÅSELE</t>
        </is>
      </c>
      <c r="H511" t="inlineStr">
        <is>
          <t>SCA</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57800-2023</t>
        </is>
      </c>
      <c r="B512" t="inlineStr">
        <is>
          <t>avverkningsanmälan</t>
        </is>
      </c>
      <c r="C512" t="inlineStr">
        <is>
          <t>Föryngringsavverkning</t>
        </is>
      </c>
      <c r="D512" s="1" t="n">
        <v>45246</v>
      </c>
      <c r="E512" s="1" t="n">
        <v>46216</v>
      </c>
      <c r="F512" t="inlineStr">
        <is>
          <t>VÄSTERBOTTENS LÄN</t>
        </is>
      </c>
      <c r="G512" t="inlineStr">
        <is>
          <t>ÅSELE</t>
        </is>
      </c>
      <c r="H512" t="inlineStr">
        <is>
          <t>SCA</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18956-2026</t>
        </is>
      </c>
      <c r="B513" t="inlineStr">
        <is>
          <t>avverkningsanmälan</t>
        </is>
      </c>
      <c r="C513" t="inlineStr">
        <is>
          <t>Föryngringsavverkning</t>
        </is>
      </c>
      <c r="D513" s="1" t="n">
        <v>46129</v>
      </c>
      <c r="E513" s="1" t="n">
        <v>46216</v>
      </c>
      <c r="F513" t="inlineStr">
        <is>
          <t>VÄSTERBOTTENS LÄN</t>
        </is>
      </c>
      <c r="G513" t="inlineStr">
        <is>
          <t>ÅSELE</t>
        </is>
      </c>
      <c r="H513" t="inlineStr">
        <is>
          <t>SCA</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18957-2026</t>
        </is>
      </c>
      <c r="B514" t="inlineStr">
        <is>
          <t>avverkningsanmälan</t>
        </is>
      </c>
      <c r="C514" t="inlineStr">
        <is>
          <t>Föryngringsavverkning</t>
        </is>
      </c>
      <c r="D514" s="1" t="n">
        <v>46129</v>
      </c>
      <c r="E514" s="1" t="n">
        <v>46216</v>
      </c>
      <c r="F514" t="inlineStr">
        <is>
          <t>VÄSTERBOTTENS LÄN</t>
        </is>
      </c>
      <c r="G514" t="inlineStr">
        <is>
          <t>ÅSELE</t>
        </is>
      </c>
      <c r="H514" t="inlineStr">
        <is>
          <t>SCA</t>
        </is>
      </c>
      <c r="I514" t="n">
        <v>24.3</v>
      </c>
      <c r="J514" t="n">
        <v>0</v>
      </c>
      <c r="K514" t="n">
        <v>0</v>
      </c>
      <c r="L514" t="n">
        <v>0</v>
      </c>
      <c r="M514" t="n">
        <v>0</v>
      </c>
      <c r="N514" t="n">
        <v>0</v>
      </c>
      <c r="O514" t="n">
        <v>0</v>
      </c>
      <c r="P514" t="n">
        <v>0</v>
      </c>
      <c r="Q514" t="n">
        <v>0</v>
      </c>
      <c r="R514" t="n">
        <v>0</v>
      </c>
      <c r="S514" t="n">
        <v>0</v>
      </c>
      <c r="T514" t="n">
        <v>0</v>
      </c>
      <c r="U514" s="2" t="inlineStr"/>
    </row>
    <row r="515" ht="15" customHeight="1">
      <c r="A515" t="inlineStr">
        <is>
          <t>A 18959-2026</t>
        </is>
      </c>
      <c r="B515" t="inlineStr">
        <is>
          <t>avverkningsanmälan</t>
        </is>
      </c>
      <c r="C515" t="inlineStr">
        <is>
          <t>Föryngringsavverkning</t>
        </is>
      </c>
      <c r="D515" s="1" t="n">
        <v>46129</v>
      </c>
      <c r="E515" s="1" t="n">
        <v>46216</v>
      </c>
      <c r="F515" t="inlineStr">
        <is>
          <t>VÄSTERBOTTENS LÄN</t>
        </is>
      </c>
      <c r="G515" t="inlineStr">
        <is>
          <t>ÅSELE</t>
        </is>
      </c>
      <c r="H515" t="inlineStr">
        <is>
          <t>SCA</t>
        </is>
      </c>
      <c r="I515" t="n">
        <v>21.1</v>
      </c>
      <c r="J515" t="n">
        <v>0</v>
      </c>
      <c r="K515" t="n">
        <v>0</v>
      </c>
      <c r="L515" t="n">
        <v>0</v>
      </c>
      <c r="M515" t="n">
        <v>0</v>
      </c>
      <c r="N515" t="n">
        <v>0</v>
      </c>
      <c r="O515" t="n">
        <v>0</v>
      </c>
      <c r="P515" t="n">
        <v>0</v>
      </c>
      <c r="Q515" t="n">
        <v>0</v>
      </c>
      <c r="R515" t="n">
        <v>0</v>
      </c>
      <c r="S515" t="n">
        <v>0</v>
      </c>
      <c r="T515" t="n">
        <v>0</v>
      </c>
      <c r="U515" s="2" t="inlineStr"/>
    </row>
    <row r="516" ht="15" customHeight="1">
      <c r="A516" t="inlineStr">
        <is>
          <t>A 16536-2026</t>
        </is>
      </c>
      <c r="B516" t="inlineStr">
        <is>
          <t>avverkningsanmälan</t>
        </is>
      </c>
      <c r="C516" t="inlineStr">
        <is>
          <t>Föryngringsavverkning</t>
        </is>
      </c>
      <c r="D516" s="1" t="n">
        <v>46112</v>
      </c>
      <c r="E516" s="1" t="n">
        <v>46216</v>
      </c>
      <c r="F516" t="inlineStr">
        <is>
          <t>VÄSTERBOTTENS LÄN</t>
        </is>
      </c>
      <c r="G516" t="inlineStr">
        <is>
          <t>ÅSELE</t>
        </is>
      </c>
      <c r="I516" t="n">
        <v>3.6</v>
      </c>
      <c r="J516" t="n">
        <v>0</v>
      </c>
      <c r="K516" t="n">
        <v>0</v>
      </c>
      <c r="L516" t="n">
        <v>0</v>
      </c>
      <c r="M516" t="n">
        <v>0</v>
      </c>
      <c r="N516" t="n">
        <v>0</v>
      </c>
      <c r="O516" t="n">
        <v>0</v>
      </c>
      <c r="P516" t="n">
        <v>0</v>
      </c>
      <c r="Q516" t="n">
        <v>0</v>
      </c>
      <c r="R516" t="n">
        <v>0</v>
      </c>
      <c r="S516" t="n">
        <v>0</v>
      </c>
      <c r="T516" t="n">
        <v>0</v>
      </c>
      <c r="U516" s="2" t="inlineStr"/>
    </row>
    <row r="517" ht="15" customHeight="1">
      <c r="A517" t="inlineStr">
        <is>
          <t>A 19458-2026</t>
        </is>
      </c>
      <c r="B517" t="inlineStr">
        <is>
          <t>avverkningsanmälan</t>
        </is>
      </c>
      <c r="C517" t="inlineStr">
        <is>
          <t>Föryngringsavverkning</t>
        </is>
      </c>
      <c r="D517" s="1" t="n">
        <v>46129</v>
      </c>
      <c r="E517" s="1" t="n">
        <v>46216</v>
      </c>
      <c r="F517" t="inlineStr">
        <is>
          <t>VÄSTERBOTTENS LÄN</t>
        </is>
      </c>
      <c r="G517" t="inlineStr">
        <is>
          <t>ÅSELE</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18958-2026</t>
        </is>
      </c>
      <c r="B518" t="inlineStr">
        <is>
          <t>avverkningsanmälan</t>
        </is>
      </c>
      <c r="C518" t="inlineStr">
        <is>
          <t>Föryngringsavverkning</t>
        </is>
      </c>
      <c r="D518" s="1" t="n">
        <v>46129</v>
      </c>
      <c r="E518" s="1" t="n">
        <v>46216</v>
      </c>
      <c r="F518" t="inlineStr">
        <is>
          <t>VÄSTERBOTTENS LÄN</t>
        </is>
      </c>
      <c r="G518" t="inlineStr">
        <is>
          <t>ÅSELE</t>
        </is>
      </c>
      <c r="H518" t="inlineStr">
        <is>
          <t>SCA</t>
        </is>
      </c>
      <c r="I518" t="n">
        <v>27.7</v>
      </c>
      <c r="J518" t="n">
        <v>0</v>
      </c>
      <c r="K518" t="n">
        <v>0</v>
      </c>
      <c r="L518" t="n">
        <v>0</v>
      </c>
      <c r="M518" t="n">
        <v>0</v>
      </c>
      <c r="N518" t="n">
        <v>0</v>
      </c>
      <c r="O518" t="n">
        <v>0</v>
      </c>
      <c r="P518" t="n">
        <v>0</v>
      </c>
      <c r="Q518" t="n">
        <v>0</v>
      </c>
      <c r="R518" t="n">
        <v>0</v>
      </c>
      <c r="S518" t="n">
        <v>0</v>
      </c>
      <c r="T518" t="n">
        <v>0</v>
      </c>
      <c r="U518" s="2" t="inlineStr"/>
    </row>
    <row r="519" ht="15" customHeight="1">
      <c r="A519" t="inlineStr">
        <is>
          <t>A 45800-2023</t>
        </is>
      </c>
      <c r="B519" t="inlineStr">
        <is>
          <t>avverkningsanmälan</t>
        </is>
      </c>
      <c r="C519" t="inlineStr">
        <is>
          <t>Föryngringsavverkning</t>
        </is>
      </c>
      <c r="D519" s="1" t="n">
        <v>45189</v>
      </c>
      <c r="E519" s="1" t="n">
        <v>46216</v>
      </c>
      <c r="F519" t="inlineStr">
        <is>
          <t>VÄSTERBOTTENS LÄN</t>
        </is>
      </c>
      <c r="G519" t="inlineStr">
        <is>
          <t>ÅSELE</t>
        </is>
      </c>
      <c r="I519" t="n">
        <v>42.1</v>
      </c>
      <c r="J519" t="n">
        <v>0</v>
      </c>
      <c r="K519" t="n">
        <v>0</v>
      </c>
      <c r="L519" t="n">
        <v>0</v>
      </c>
      <c r="M519" t="n">
        <v>0</v>
      </c>
      <c r="N519" t="n">
        <v>0</v>
      </c>
      <c r="O519" t="n">
        <v>0</v>
      </c>
      <c r="P519" t="n">
        <v>0</v>
      </c>
      <c r="Q519" t="n">
        <v>0</v>
      </c>
      <c r="R519" t="n">
        <v>0</v>
      </c>
      <c r="S519" t="n">
        <v>0</v>
      </c>
      <c r="T519" t="n">
        <v>0</v>
      </c>
      <c r="U519" s="2" t="inlineStr"/>
    </row>
    <row r="520" ht="15" customHeight="1">
      <c r="A520" t="inlineStr">
        <is>
          <t>A 16526-2026</t>
        </is>
      </c>
      <c r="B520" t="inlineStr">
        <is>
          <t>avverkningsanmälan</t>
        </is>
      </c>
      <c r="C520" t="inlineStr">
        <is>
          <t>Föryngringsavverkning</t>
        </is>
      </c>
      <c r="D520" s="1" t="n">
        <v>46112</v>
      </c>
      <c r="E520" s="1" t="n">
        <v>46216</v>
      </c>
      <c r="F520" t="inlineStr">
        <is>
          <t>VÄSTERBOTTENS LÄN</t>
        </is>
      </c>
      <c r="G520" t="inlineStr">
        <is>
          <t>ÅSELE</t>
        </is>
      </c>
      <c r="I520" t="n">
        <v>4.4</v>
      </c>
      <c r="J520" t="n">
        <v>0</v>
      </c>
      <c r="K520" t="n">
        <v>0</v>
      </c>
      <c r="L520" t="n">
        <v>0</v>
      </c>
      <c r="M520" t="n">
        <v>0</v>
      </c>
      <c r="N520" t="n">
        <v>0</v>
      </c>
      <c r="O520" t="n">
        <v>0</v>
      </c>
      <c r="P520" t="n">
        <v>0</v>
      </c>
      <c r="Q520" t="n">
        <v>0</v>
      </c>
      <c r="R520" t="n">
        <v>0</v>
      </c>
      <c r="S520" t="n">
        <v>0</v>
      </c>
      <c r="T520" t="n">
        <v>0</v>
      </c>
      <c r="U520" s="2" t="inlineStr"/>
    </row>
    <row r="521" ht="15" customHeight="1">
      <c r="A521" t="inlineStr">
        <is>
          <t>A 18731-2026</t>
        </is>
      </c>
      <c r="B521" t="inlineStr">
        <is>
          <t>avverkningsanmälan</t>
        </is>
      </c>
      <c r="C521" t="inlineStr">
        <is>
          <t>Föryngringsavverkning</t>
        </is>
      </c>
      <c r="D521" s="1" t="n">
        <v>46128</v>
      </c>
      <c r="E521" s="1" t="n">
        <v>46216</v>
      </c>
      <c r="F521" t="inlineStr">
        <is>
          <t>VÄSTERBOTTENS LÄN</t>
        </is>
      </c>
      <c r="G521" t="inlineStr">
        <is>
          <t>ÅSELE</t>
        </is>
      </c>
      <c r="H521" t="inlineStr">
        <is>
          <t>SCA</t>
        </is>
      </c>
      <c r="I521" t="n">
        <v>13.6</v>
      </c>
      <c r="J521" t="n">
        <v>0</v>
      </c>
      <c r="K521" t="n">
        <v>0</v>
      </c>
      <c r="L521" t="n">
        <v>0</v>
      </c>
      <c r="M521" t="n">
        <v>0</v>
      </c>
      <c r="N521" t="n">
        <v>0</v>
      </c>
      <c r="O521" t="n">
        <v>0</v>
      </c>
      <c r="P521" t="n">
        <v>0</v>
      </c>
      <c r="Q521" t="n">
        <v>0</v>
      </c>
      <c r="R521" t="n">
        <v>0</v>
      </c>
      <c r="S521" t="n">
        <v>0</v>
      </c>
      <c r="T521" t="n">
        <v>0</v>
      </c>
      <c r="U521" s="2" t="inlineStr"/>
    </row>
    <row r="522" ht="15" customHeight="1">
      <c r="A522" t="inlineStr">
        <is>
          <t>A 12589-2024</t>
        </is>
      </c>
      <c r="B522" t="inlineStr">
        <is>
          <t>avverkningsanmälan</t>
        </is>
      </c>
      <c r="C522" t="inlineStr">
        <is>
          <t>Föryngringsavverkning</t>
        </is>
      </c>
      <c r="D522" s="1" t="n">
        <v>45379</v>
      </c>
      <c r="E522" s="1" t="n">
        <v>46216</v>
      </c>
      <c r="F522" t="inlineStr">
        <is>
          <t>VÄSTERBOTTENS LÄN</t>
        </is>
      </c>
      <c r="G522" t="inlineStr">
        <is>
          <t>ÅSELE</t>
        </is>
      </c>
      <c r="H522" t="inlineStr">
        <is>
          <t>SCA</t>
        </is>
      </c>
      <c r="I522" t="n">
        <v>6.2</v>
      </c>
      <c r="J522" t="n">
        <v>0</v>
      </c>
      <c r="K522" t="n">
        <v>0</v>
      </c>
      <c r="L522" t="n">
        <v>0</v>
      </c>
      <c r="M522" t="n">
        <v>0</v>
      </c>
      <c r="N522" t="n">
        <v>0</v>
      </c>
      <c r="O522" t="n">
        <v>0</v>
      </c>
      <c r="P522" t="n">
        <v>0</v>
      </c>
      <c r="Q522" t="n">
        <v>0</v>
      </c>
      <c r="R522" t="n">
        <v>0</v>
      </c>
      <c r="S522" t="n">
        <v>0</v>
      </c>
      <c r="T522" t="n">
        <v>0</v>
      </c>
      <c r="U522" s="2" t="inlineStr"/>
    </row>
    <row r="523" ht="15" customHeight="1">
      <c r="A523" t="inlineStr">
        <is>
          <t>A 19177-2026</t>
        </is>
      </c>
      <c r="B523" t="inlineStr">
        <is>
          <t>avverkningsanmälan</t>
        </is>
      </c>
      <c r="C523" t="inlineStr">
        <is>
          <t>Föryngringsavverkning</t>
        </is>
      </c>
      <c r="D523" s="1" t="n">
        <v>46132</v>
      </c>
      <c r="E523" s="1" t="n">
        <v>46216</v>
      </c>
      <c r="F523" t="inlineStr">
        <is>
          <t>VÄSTERBOTTENS LÄN</t>
        </is>
      </c>
      <c r="G523" t="inlineStr">
        <is>
          <t>ÅSELE</t>
        </is>
      </c>
      <c r="H523" t="inlineStr">
        <is>
          <t>SCA</t>
        </is>
      </c>
      <c r="I523" t="n">
        <v>31.9</v>
      </c>
      <c r="J523" t="n">
        <v>0</v>
      </c>
      <c r="K523" t="n">
        <v>0</v>
      </c>
      <c r="L523" t="n">
        <v>0</v>
      </c>
      <c r="M523" t="n">
        <v>0</v>
      </c>
      <c r="N523" t="n">
        <v>0</v>
      </c>
      <c r="O523" t="n">
        <v>0</v>
      </c>
      <c r="P523" t="n">
        <v>0</v>
      </c>
      <c r="Q523" t="n">
        <v>0</v>
      </c>
      <c r="R523" t="n">
        <v>0</v>
      </c>
      <c r="S523" t="n">
        <v>0</v>
      </c>
      <c r="T523" t="n">
        <v>0</v>
      </c>
      <c r="U523" s="2" t="inlineStr"/>
    </row>
    <row r="524" ht="15" customHeight="1">
      <c r="A524" t="inlineStr">
        <is>
          <t>A 19598-2026</t>
        </is>
      </c>
      <c r="B524" t="inlineStr">
        <is>
          <t>avverkningsanmälan</t>
        </is>
      </c>
      <c r="C524" t="inlineStr">
        <is>
          <t>Föryngringsavverkning</t>
        </is>
      </c>
      <c r="D524" s="1" t="n">
        <v>46132</v>
      </c>
      <c r="E524" s="1" t="n">
        <v>46216</v>
      </c>
      <c r="F524" t="inlineStr">
        <is>
          <t>VÄSTERBOTTENS LÄN</t>
        </is>
      </c>
      <c r="G524" t="inlineStr">
        <is>
          <t>ÅSELE</t>
        </is>
      </c>
      <c r="I524" t="n">
        <v>19.6</v>
      </c>
      <c r="J524" t="n">
        <v>0</v>
      </c>
      <c r="K524" t="n">
        <v>0</v>
      </c>
      <c r="L524" t="n">
        <v>0</v>
      </c>
      <c r="M524" t="n">
        <v>0</v>
      </c>
      <c r="N524" t="n">
        <v>0</v>
      </c>
      <c r="O524" t="n">
        <v>0</v>
      </c>
      <c r="P524" t="n">
        <v>0</v>
      </c>
      <c r="Q524" t="n">
        <v>0</v>
      </c>
      <c r="R524" t="n">
        <v>0</v>
      </c>
      <c r="S524" t="n">
        <v>0</v>
      </c>
      <c r="T524" t="n">
        <v>0</v>
      </c>
      <c r="U524" s="2" t="inlineStr"/>
    </row>
    <row r="525" ht="15" customHeight="1">
      <c r="A525" t="inlineStr">
        <is>
          <t>A 45475-2024</t>
        </is>
      </c>
      <c r="B525" t="inlineStr">
        <is>
          <t>avverkningsanmälan</t>
        </is>
      </c>
      <c r="C525" t="inlineStr">
        <is>
          <t>Föryngringsavverkning</t>
        </is>
      </c>
      <c r="D525" s="1" t="n">
        <v>45576</v>
      </c>
      <c r="E525" s="1" t="n">
        <v>46216</v>
      </c>
      <c r="F525" t="inlineStr">
        <is>
          <t>VÄSTERBOTTENS LÄN</t>
        </is>
      </c>
      <c r="G525" t="inlineStr">
        <is>
          <t>ÅSELE</t>
        </is>
      </c>
      <c r="H525" t="inlineStr">
        <is>
          <t>Sveaskog</t>
        </is>
      </c>
      <c r="I525" t="n">
        <v>2.2</v>
      </c>
      <c r="J525" t="n">
        <v>0</v>
      </c>
      <c r="K525" t="n">
        <v>0</v>
      </c>
      <c r="L525" t="n">
        <v>0</v>
      </c>
      <c r="M525" t="n">
        <v>0</v>
      </c>
      <c r="N525" t="n">
        <v>0</v>
      </c>
      <c r="O525" t="n">
        <v>0</v>
      </c>
      <c r="P525" t="n">
        <v>0</v>
      </c>
      <c r="Q525" t="n">
        <v>0</v>
      </c>
      <c r="R525" t="n">
        <v>0</v>
      </c>
      <c r="S525" t="n">
        <v>0</v>
      </c>
      <c r="T525" t="n">
        <v>0</v>
      </c>
      <c r="U525" s="2" t="inlineStr"/>
    </row>
    <row r="526" ht="15" customHeight="1">
      <c r="A526" t="inlineStr">
        <is>
          <t>A 5247-2024</t>
        </is>
      </c>
      <c r="B526" t="inlineStr">
        <is>
          <t>avverkningsanmälan</t>
        </is>
      </c>
      <c r="C526" t="inlineStr">
        <is>
          <t>Föryngringsavverkning</t>
        </is>
      </c>
      <c r="D526" s="1" t="n">
        <v>45330</v>
      </c>
      <c r="E526" s="1" t="n">
        <v>46216</v>
      </c>
      <c r="F526" t="inlineStr">
        <is>
          <t>VÄSTERBOTTENS LÄN</t>
        </is>
      </c>
      <c r="G526" t="inlineStr">
        <is>
          <t>ÅSELE</t>
        </is>
      </c>
      <c r="I526" t="n">
        <v>2.6</v>
      </c>
      <c r="J526" t="n">
        <v>0</v>
      </c>
      <c r="K526" t="n">
        <v>0</v>
      </c>
      <c r="L526" t="n">
        <v>0</v>
      </c>
      <c r="M526" t="n">
        <v>0</v>
      </c>
      <c r="N526" t="n">
        <v>0</v>
      </c>
      <c r="O526" t="n">
        <v>0</v>
      </c>
      <c r="P526" t="n">
        <v>0</v>
      </c>
      <c r="Q526" t="n">
        <v>0</v>
      </c>
      <c r="R526" t="n">
        <v>0</v>
      </c>
      <c r="S526" t="n">
        <v>0</v>
      </c>
      <c r="T526" t="n">
        <v>0</v>
      </c>
      <c r="U526" s="2" t="inlineStr"/>
    </row>
    <row r="527" ht="15" customHeight="1">
      <c r="A527" t="inlineStr">
        <is>
          <t>A 22935-2024</t>
        </is>
      </c>
      <c r="B527" t="inlineStr">
        <is>
          <t>avverkningsanmälan</t>
        </is>
      </c>
      <c r="C527" t="inlineStr">
        <is>
          <t>Föryngringsavverkning</t>
        </is>
      </c>
      <c r="D527" s="1" t="n">
        <v>45448</v>
      </c>
      <c r="E527" s="1" t="n">
        <v>46216</v>
      </c>
      <c r="F527" t="inlineStr">
        <is>
          <t>VÄSTERBOTTENS LÄN</t>
        </is>
      </c>
      <c r="G527" t="inlineStr">
        <is>
          <t>ÅSELE</t>
        </is>
      </c>
      <c r="H527" t="inlineStr">
        <is>
          <t>SCA</t>
        </is>
      </c>
      <c r="I527" t="n">
        <v>3.3</v>
      </c>
      <c r="J527" t="n">
        <v>0</v>
      </c>
      <c r="K527" t="n">
        <v>0</v>
      </c>
      <c r="L527" t="n">
        <v>0</v>
      </c>
      <c r="M527" t="n">
        <v>0</v>
      </c>
      <c r="N527" t="n">
        <v>0</v>
      </c>
      <c r="O527" t="n">
        <v>0</v>
      </c>
      <c r="P527" t="n">
        <v>0</v>
      </c>
      <c r="Q527" t="n">
        <v>0</v>
      </c>
      <c r="R527" t="n">
        <v>0</v>
      </c>
      <c r="S527" t="n">
        <v>0</v>
      </c>
      <c r="T527" t="n">
        <v>0</v>
      </c>
      <c r="U527" s="2" t="inlineStr"/>
    </row>
    <row r="528" ht="15" customHeight="1">
      <c r="A528" t="inlineStr">
        <is>
          <t>A 20304-2025</t>
        </is>
      </c>
      <c r="B528" t="inlineStr">
        <is>
          <t>avverkningsanmälan</t>
        </is>
      </c>
      <c r="C528" t="inlineStr">
        <is>
          <t>Föryngringsavverkning</t>
        </is>
      </c>
      <c r="D528" s="1" t="n">
        <v>45774</v>
      </c>
      <c r="E528" s="1" t="n">
        <v>46216</v>
      </c>
      <c r="F528" t="inlineStr">
        <is>
          <t>VÄSTERBOTTENS LÄN</t>
        </is>
      </c>
      <c r="G528" t="inlineStr">
        <is>
          <t>ÅSELE</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19184-2026</t>
        </is>
      </c>
      <c r="B529" t="inlineStr">
        <is>
          <t>avverkningsanmälan</t>
        </is>
      </c>
      <c r="C529" t="inlineStr">
        <is>
          <t>Föryngringsavverkning</t>
        </is>
      </c>
      <c r="D529" s="1" t="n">
        <v>46132</v>
      </c>
      <c r="E529" s="1" t="n">
        <v>46216</v>
      </c>
      <c r="F529" t="inlineStr">
        <is>
          <t>VÄSTERBOTTENS LÄN</t>
        </is>
      </c>
      <c r="G529" t="inlineStr">
        <is>
          <t>ÅSELE</t>
        </is>
      </c>
      <c r="H529" t="inlineStr">
        <is>
          <t>SCA</t>
        </is>
      </c>
      <c r="I529" t="n">
        <v>47.2</v>
      </c>
      <c r="J529" t="n">
        <v>0</v>
      </c>
      <c r="K529" t="n">
        <v>0</v>
      </c>
      <c r="L529" t="n">
        <v>0</v>
      </c>
      <c r="M529" t="n">
        <v>0</v>
      </c>
      <c r="N529" t="n">
        <v>0</v>
      </c>
      <c r="O529" t="n">
        <v>0</v>
      </c>
      <c r="P529" t="n">
        <v>0</v>
      </c>
      <c r="Q529" t="n">
        <v>0</v>
      </c>
      <c r="R529" t="n">
        <v>0</v>
      </c>
      <c r="S529" t="n">
        <v>0</v>
      </c>
      <c r="T529" t="n">
        <v>0</v>
      </c>
      <c r="U529" s="2" t="inlineStr"/>
    </row>
    <row r="530" ht="15" customHeight="1">
      <c r="A530" t="inlineStr">
        <is>
          <t>A 19611-2026</t>
        </is>
      </c>
      <c r="B530" t="inlineStr">
        <is>
          <t>avverkningsanmälan</t>
        </is>
      </c>
      <c r="C530" t="inlineStr">
        <is>
          <t>Föryngringsavverkning</t>
        </is>
      </c>
      <c r="D530" s="1" t="n">
        <v>46132</v>
      </c>
      <c r="E530" s="1" t="n">
        <v>46216</v>
      </c>
      <c r="F530" t="inlineStr">
        <is>
          <t>VÄSTERBOTTENS LÄN</t>
        </is>
      </c>
      <c r="G530" t="inlineStr">
        <is>
          <t>ÅSELE</t>
        </is>
      </c>
      <c r="I530" t="n">
        <v>4</v>
      </c>
      <c r="J530" t="n">
        <v>0</v>
      </c>
      <c r="K530" t="n">
        <v>0</v>
      </c>
      <c r="L530" t="n">
        <v>0</v>
      </c>
      <c r="M530" t="n">
        <v>0</v>
      </c>
      <c r="N530" t="n">
        <v>0</v>
      </c>
      <c r="O530" t="n">
        <v>0</v>
      </c>
      <c r="P530" t="n">
        <v>0</v>
      </c>
      <c r="Q530" t="n">
        <v>0</v>
      </c>
      <c r="R530" t="n">
        <v>0</v>
      </c>
      <c r="S530" t="n">
        <v>0</v>
      </c>
      <c r="T530" t="n">
        <v>0</v>
      </c>
      <c r="U530" s="2" t="inlineStr"/>
    </row>
    <row r="531" ht="15" customHeight="1">
      <c r="A531" t="inlineStr">
        <is>
          <t>A 41402-2024</t>
        </is>
      </c>
      <c r="B531" t="inlineStr">
        <is>
          <t>avverkningsanmälan</t>
        </is>
      </c>
      <c r="C531" t="inlineStr">
        <is>
          <t>Föryngringsavverkning</t>
        </is>
      </c>
      <c r="D531" s="1" t="n">
        <v>45560</v>
      </c>
      <c r="E531" s="1" t="n">
        <v>46216</v>
      </c>
      <c r="F531" t="inlineStr">
        <is>
          <t>VÄSTERBOTTENS LÄN</t>
        </is>
      </c>
      <c r="G531" t="inlineStr">
        <is>
          <t>ÅSELE</t>
        </is>
      </c>
      <c r="H531" t="inlineStr">
        <is>
          <t>Holmen skog AB</t>
        </is>
      </c>
      <c r="I531" t="n">
        <v>4.5</v>
      </c>
      <c r="J531" t="n">
        <v>0</v>
      </c>
      <c r="K531" t="n">
        <v>0</v>
      </c>
      <c r="L531" t="n">
        <v>0</v>
      </c>
      <c r="M531" t="n">
        <v>0</v>
      </c>
      <c r="N531" t="n">
        <v>0</v>
      </c>
      <c r="O531" t="n">
        <v>0</v>
      </c>
      <c r="P531" t="n">
        <v>0</v>
      </c>
      <c r="Q531" t="n">
        <v>0</v>
      </c>
      <c r="R531" t="n">
        <v>0</v>
      </c>
      <c r="S531" t="n">
        <v>0</v>
      </c>
      <c r="T531" t="n">
        <v>0</v>
      </c>
      <c r="U531" s="2" t="inlineStr"/>
    </row>
    <row r="532" ht="15" customHeight="1">
      <c r="A532" t="inlineStr">
        <is>
          <t>A 36070-2023</t>
        </is>
      </c>
      <c r="B532" t="inlineStr">
        <is>
          <t>avverkningsanmälan</t>
        </is>
      </c>
      <c r="C532" t="inlineStr">
        <is>
          <t>Föryngringsavverkning</t>
        </is>
      </c>
      <c r="D532" s="1" t="n">
        <v>45149</v>
      </c>
      <c r="E532" s="1" t="n">
        <v>46216</v>
      </c>
      <c r="F532" t="inlineStr">
        <is>
          <t>VÄSTERBOTTENS LÄN</t>
        </is>
      </c>
      <c r="G532" t="inlineStr">
        <is>
          <t>ÅSELE</t>
        </is>
      </c>
      <c r="H532" t="inlineStr">
        <is>
          <t>Holmen skog AB</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19517-2026</t>
        </is>
      </c>
      <c r="B533" t="inlineStr">
        <is>
          <t>avverkningsanmälan</t>
        </is>
      </c>
      <c r="C533" t="inlineStr">
        <is>
          <t>Föryngringsavverkning</t>
        </is>
      </c>
      <c r="D533" s="1" t="n">
        <v>46134</v>
      </c>
      <c r="E533" s="1" t="n">
        <v>46216</v>
      </c>
      <c r="F533" t="inlineStr">
        <is>
          <t>VÄSTERBOTTENS LÄN</t>
        </is>
      </c>
      <c r="G533" t="inlineStr">
        <is>
          <t>ÅSELE</t>
        </is>
      </c>
      <c r="H533" t="inlineStr">
        <is>
          <t>SCA</t>
        </is>
      </c>
      <c r="I533" t="n">
        <v>22.5</v>
      </c>
      <c r="J533" t="n">
        <v>0</v>
      </c>
      <c r="K533" t="n">
        <v>0</v>
      </c>
      <c r="L533" t="n">
        <v>0</v>
      </c>
      <c r="M533" t="n">
        <v>0</v>
      </c>
      <c r="N533" t="n">
        <v>0</v>
      </c>
      <c r="O533" t="n">
        <v>0</v>
      </c>
      <c r="P533" t="n">
        <v>0</v>
      </c>
      <c r="Q533" t="n">
        <v>0</v>
      </c>
      <c r="R533" t="n">
        <v>0</v>
      </c>
      <c r="S533" t="n">
        <v>0</v>
      </c>
      <c r="T533" t="n">
        <v>0</v>
      </c>
      <c r="U533" s="2" t="inlineStr"/>
    </row>
    <row r="534" ht="15" customHeight="1">
      <c r="A534" t="inlineStr">
        <is>
          <t>A 19518-2026</t>
        </is>
      </c>
      <c r="B534" t="inlineStr">
        <is>
          <t>avverkningsanmälan</t>
        </is>
      </c>
      <c r="C534" t="inlineStr">
        <is>
          <t>Föryngringsavverkning</t>
        </is>
      </c>
      <c r="D534" s="1" t="n">
        <v>46134</v>
      </c>
      <c r="E534" s="1" t="n">
        <v>46216</v>
      </c>
      <c r="F534" t="inlineStr">
        <is>
          <t>VÄSTERBOTTENS LÄN</t>
        </is>
      </c>
      <c r="G534" t="inlineStr">
        <is>
          <t>ÅSELE</t>
        </is>
      </c>
      <c r="H534" t="inlineStr">
        <is>
          <t>SCA</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39450-2024</t>
        </is>
      </c>
      <c r="B535" t="inlineStr">
        <is>
          <t>avverkningsanmälan</t>
        </is>
      </c>
      <c r="C535" t="inlineStr">
        <is>
          <t>Föryngringsavverkning</t>
        </is>
      </c>
      <c r="D535" s="1" t="n">
        <v>45551</v>
      </c>
      <c r="E535" s="1" t="n">
        <v>46216</v>
      </c>
      <c r="F535" t="inlineStr">
        <is>
          <t>VÄSTERBOTTENS LÄN</t>
        </is>
      </c>
      <c r="G535" t="inlineStr">
        <is>
          <t>ÅSELE</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25391-2026</t>
        </is>
      </c>
      <c r="B536" t="inlineStr">
        <is>
          <t>avverkningsanmälan</t>
        </is>
      </c>
      <c r="C536" t="inlineStr">
        <is>
          <t>Föryngringsavverkning</t>
        </is>
      </c>
      <c r="D536" s="1" t="n">
        <v>46174</v>
      </c>
      <c r="E536" s="1" t="n">
        <v>46216</v>
      </c>
      <c r="F536" t="inlineStr">
        <is>
          <t>VÄSTERBOTTENS LÄN</t>
        </is>
      </c>
      <c r="G536" t="inlineStr">
        <is>
          <t>ÅSELE</t>
        </is>
      </c>
      <c r="I536" t="n">
        <v>7.2</v>
      </c>
      <c r="J536" t="n">
        <v>0</v>
      </c>
      <c r="K536" t="n">
        <v>0</v>
      </c>
      <c r="L536" t="n">
        <v>0</v>
      </c>
      <c r="M536" t="n">
        <v>0</v>
      </c>
      <c r="N536" t="n">
        <v>0</v>
      </c>
      <c r="O536" t="n">
        <v>0</v>
      </c>
      <c r="P536" t="n">
        <v>0</v>
      </c>
      <c r="Q536" t="n">
        <v>0</v>
      </c>
      <c r="R536" t="n">
        <v>0</v>
      </c>
      <c r="S536" t="n">
        <v>0</v>
      </c>
      <c r="T536" t="n">
        <v>0</v>
      </c>
      <c r="U536" s="2" t="inlineStr"/>
    </row>
    <row r="537" ht="15" customHeight="1">
      <c r="A537" t="inlineStr">
        <is>
          <t>A 5249-2024</t>
        </is>
      </c>
      <c r="B537" t="inlineStr">
        <is>
          <t>avverkningsanmälan</t>
        </is>
      </c>
      <c r="C537" t="inlineStr">
        <is>
          <t>Föryngringsavverkning</t>
        </is>
      </c>
      <c r="D537" s="1" t="n">
        <v>45330</v>
      </c>
      <c r="E537" s="1" t="n">
        <v>46216</v>
      </c>
      <c r="F537" t="inlineStr">
        <is>
          <t>VÄSTERBOTTENS LÄN</t>
        </is>
      </c>
      <c r="G537" t="inlineStr">
        <is>
          <t>ÅSELE</t>
        </is>
      </c>
      <c r="I537" t="n">
        <v>8.699999999999999</v>
      </c>
      <c r="J537" t="n">
        <v>0</v>
      </c>
      <c r="K537" t="n">
        <v>0</v>
      </c>
      <c r="L537" t="n">
        <v>0</v>
      </c>
      <c r="M537" t="n">
        <v>0</v>
      </c>
      <c r="N537" t="n">
        <v>0</v>
      </c>
      <c r="O537" t="n">
        <v>0</v>
      </c>
      <c r="P537" t="n">
        <v>0</v>
      </c>
      <c r="Q537" t="n">
        <v>0</v>
      </c>
      <c r="R537" t="n">
        <v>0</v>
      </c>
      <c r="S537" t="n">
        <v>0</v>
      </c>
      <c r="T537" t="n">
        <v>0</v>
      </c>
      <c r="U537" s="2" t="inlineStr"/>
    </row>
    <row r="538" ht="15" customHeight="1">
      <c r="A538" t="inlineStr">
        <is>
          <t>A 22831-2023</t>
        </is>
      </c>
      <c r="B538" t="inlineStr">
        <is>
          <t>avverkningsanmälan</t>
        </is>
      </c>
      <c r="C538" t="inlineStr">
        <is>
          <t>Föryngringsavverkning</t>
        </is>
      </c>
      <c r="D538" s="1" t="n">
        <v>45072</v>
      </c>
      <c r="E538" s="1" t="n">
        <v>46216</v>
      </c>
      <c r="F538" t="inlineStr">
        <is>
          <t>VÄSTERBOTTENS LÄN</t>
        </is>
      </c>
      <c r="G538" t="inlineStr">
        <is>
          <t>ÅSELE</t>
        </is>
      </c>
      <c r="H538" t="inlineStr">
        <is>
          <t>Holmen skog AB</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7706-2025</t>
        </is>
      </c>
      <c r="B539" t="inlineStr">
        <is>
          <t>avverkningsanmälan</t>
        </is>
      </c>
      <c r="C539" t="inlineStr">
        <is>
          <t>Föryngringsavverkning</t>
        </is>
      </c>
      <c r="D539" s="1" t="n">
        <v>45706</v>
      </c>
      <c r="E539" s="1" t="n">
        <v>46216</v>
      </c>
      <c r="F539" t="inlineStr">
        <is>
          <t>VÄSTERBOTTENS LÄN</t>
        </is>
      </c>
      <c r="G539" t="inlineStr">
        <is>
          <t>ÅSELE</t>
        </is>
      </c>
      <c r="H539" t="inlineStr">
        <is>
          <t>Sveaskog</t>
        </is>
      </c>
      <c r="I539" t="n">
        <v>24.8</v>
      </c>
      <c r="J539" t="n">
        <v>0</v>
      </c>
      <c r="K539" t="n">
        <v>0</v>
      </c>
      <c r="L539" t="n">
        <v>0</v>
      </c>
      <c r="M539" t="n">
        <v>0</v>
      </c>
      <c r="N539" t="n">
        <v>0</v>
      </c>
      <c r="O539" t="n">
        <v>0</v>
      </c>
      <c r="P539" t="n">
        <v>0</v>
      </c>
      <c r="Q539" t="n">
        <v>0</v>
      </c>
      <c r="R539" t="n">
        <v>0</v>
      </c>
      <c r="S539" t="n">
        <v>0</v>
      </c>
      <c r="T539" t="n">
        <v>0</v>
      </c>
      <c r="U539" s="2" t="inlineStr"/>
    </row>
    <row r="540" ht="15" customHeight="1">
      <c r="A540" t="inlineStr">
        <is>
          <t>A 35971-2023</t>
        </is>
      </c>
      <c r="B540" t="inlineStr">
        <is>
          <t>avverkningsanmälan</t>
        </is>
      </c>
      <c r="C540" t="inlineStr">
        <is>
          <t>Avverkning för annat ändamål</t>
        </is>
      </c>
      <c r="D540" s="1" t="n">
        <v>45148</v>
      </c>
      <c r="E540" s="1" t="n">
        <v>46216</v>
      </c>
      <c r="F540" t="inlineStr">
        <is>
          <t>VÄSTERBOTTENS LÄN</t>
        </is>
      </c>
      <c r="G540" t="inlineStr">
        <is>
          <t>ÅSELE</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4462-2023</t>
        </is>
      </c>
      <c r="B541" t="inlineStr">
        <is>
          <t>avverkningsanmälan</t>
        </is>
      </c>
      <c r="C541" t="inlineStr">
        <is>
          <t>Föryngringsavverkning</t>
        </is>
      </c>
      <c r="D541" s="1" t="n">
        <v>44952</v>
      </c>
      <c r="E541" s="1" t="n">
        <v>46216</v>
      </c>
      <c r="F541" t="inlineStr">
        <is>
          <t>VÄSTERBOTTENS LÄN</t>
        </is>
      </c>
      <c r="G541" t="inlineStr">
        <is>
          <t>ÅSELE</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19962-2026</t>
        </is>
      </c>
      <c r="B542" t="inlineStr">
        <is>
          <t>avverkningsanmälan</t>
        </is>
      </c>
      <c r="C542" t="inlineStr">
        <is>
          <t>Föryngringsavverkning</t>
        </is>
      </c>
      <c r="D542" s="1" t="n">
        <v>46136</v>
      </c>
      <c r="E542" s="1" t="n">
        <v>46216</v>
      </c>
      <c r="F542" t="inlineStr">
        <is>
          <t>VÄSTERBOTTENS LÄN</t>
        </is>
      </c>
      <c r="G542" t="inlineStr">
        <is>
          <t>ÅSELE</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34054-2023</t>
        </is>
      </c>
      <c r="B543" t="inlineStr">
        <is>
          <t>avverkningsanmälan</t>
        </is>
      </c>
      <c r="C543" t="inlineStr">
        <is>
          <t>Föryngringsavverkning</t>
        </is>
      </c>
      <c r="D543" s="1" t="n">
        <v>45135</v>
      </c>
      <c r="E543" s="1" t="n">
        <v>46216</v>
      </c>
      <c r="F543" t="inlineStr">
        <is>
          <t>VÄSTERBOTTENS LÄN</t>
        </is>
      </c>
      <c r="G543" t="inlineStr">
        <is>
          <t>ÅSELE</t>
        </is>
      </c>
      <c r="H543" t="inlineStr">
        <is>
          <t>Holmen skog AB</t>
        </is>
      </c>
      <c r="I543" t="n">
        <v>3</v>
      </c>
      <c r="J543" t="n">
        <v>0</v>
      </c>
      <c r="K543" t="n">
        <v>0</v>
      </c>
      <c r="L543" t="n">
        <v>0</v>
      </c>
      <c r="M543" t="n">
        <v>0</v>
      </c>
      <c r="N543" t="n">
        <v>0</v>
      </c>
      <c r="O543" t="n">
        <v>0</v>
      </c>
      <c r="P543" t="n">
        <v>0</v>
      </c>
      <c r="Q543" t="n">
        <v>0</v>
      </c>
      <c r="R543" t="n">
        <v>0</v>
      </c>
      <c r="S543" t="n">
        <v>0</v>
      </c>
      <c r="T543" t="n">
        <v>0</v>
      </c>
      <c r="U543" s="2" t="inlineStr"/>
    </row>
    <row r="544" ht="15" customHeight="1">
      <c r="A544" t="inlineStr">
        <is>
          <t>A 2893-2025</t>
        </is>
      </c>
      <c r="B544" t="inlineStr">
        <is>
          <t>avverkningsanmälan</t>
        </is>
      </c>
      <c r="C544" t="inlineStr">
        <is>
          <t>Föryngringsavverkning</t>
        </is>
      </c>
      <c r="D544" s="1" t="n">
        <v>45677</v>
      </c>
      <c r="E544" s="1" t="n">
        <v>46216</v>
      </c>
      <c r="F544" t="inlineStr">
        <is>
          <t>VÄSTERBOTTENS LÄN</t>
        </is>
      </c>
      <c r="G544" t="inlineStr">
        <is>
          <t>ÅSELE</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56258-2023</t>
        </is>
      </c>
      <c r="B545" t="inlineStr">
        <is>
          <t>avverkningsanmälan</t>
        </is>
      </c>
      <c r="C545" t="inlineStr">
        <is>
          <t>Avverkning för att bevara och utveckla /försöksver</t>
        </is>
      </c>
      <c r="D545" s="1" t="n">
        <v>45240</v>
      </c>
      <c r="E545" s="1" t="n">
        <v>46216</v>
      </c>
      <c r="F545" t="inlineStr">
        <is>
          <t>VÄSTERBOTTENS LÄN</t>
        </is>
      </c>
      <c r="G545" t="inlineStr">
        <is>
          <t>ÅSELE</t>
        </is>
      </c>
      <c r="H545" t="inlineStr">
        <is>
          <t>SCA</t>
        </is>
      </c>
      <c r="I545" t="n">
        <v>4.6</v>
      </c>
      <c r="J545" t="n">
        <v>0</v>
      </c>
      <c r="K545" t="n">
        <v>0</v>
      </c>
      <c r="L545" t="n">
        <v>0</v>
      </c>
      <c r="M545" t="n">
        <v>0</v>
      </c>
      <c r="N545" t="n">
        <v>0</v>
      </c>
      <c r="O545" t="n">
        <v>0</v>
      </c>
      <c r="P545" t="n">
        <v>0</v>
      </c>
      <c r="Q545" t="n">
        <v>0</v>
      </c>
      <c r="R545" t="n">
        <v>0</v>
      </c>
      <c r="S545" t="n">
        <v>0</v>
      </c>
      <c r="T545" t="n">
        <v>0</v>
      </c>
      <c r="U545" s="2" t="inlineStr"/>
    </row>
    <row r="546" ht="15" customHeight="1">
      <c r="A546" t="inlineStr">
        <is>
          <t>A 25549-2024</t>
        </is>
      </c>
      <c r="B546" t="inlineStr">
        <is>
          <t>avverkningsanmälan</t>
        </is>
      </c>
      <c r="C546" t="inlineStr">
        <is>
          <t>Föryngringsavverkning</t>
        </is>
      </c>
      <c r="D546" s="1" t="n">
        <v>45463</v>
      </c>
      <c r="E546" s="1" t="n">
        <v>46216</v>
      </c>
      <c r="F546" t="inlineStr">
        <is>
          <t>VÄSTERBOTTENS LÄN</t>
        </is>
      </c>
      <c r="G546" t="inlineStr">
        <is>
          <t>ÅSELE</t>
        </is>
      </c>
      <c r="H546" t="inlineStr">
        <is>
          <t>Sveaskog</t>
        </is>
      </c>
      <c r="I546" t="n">
        <v>3.8</v>
      </c>
      <c r="J546" t="n">
        <v>0</v>
      </c>
      <c r="K546" t="n">
        <v>0</v>
      </c>
      <c r="L546" t="n">
        <v>0</v>
      </c>
      <c r="M546" t="n">
        <v>0</v>
      </c>
      <c r="N546" t="n">
        <v>0</v>
      </c>
      <c r="O546" t="n">
        <v>0</v>
      </c>
      <c r="P546" t="n">
        <v>0</v>
      </c>
      <c r="Q546" t="n">
        <v>0</v>
      </c>
      <c r="R546" t="n">
        <v>0</v>
      </c>
      <c r="S546" t="n">
        <v>0</v>
      </c>
      <c r="T546" t="n">
        <v>0</v>
      </c>
      <c r="U546" s="2" t="inlineStr"/>
    </row>
    <row r="547" ht="15" customHeight="1">
      <c r="A547" t="inlineStr">
        <is>
          <t>A 25574-2024</t>
        </is>
      </c>
      <c r="B547" t="inlineStr">
        <is>
          <t>avverkningsanmälan</t>
        </is>
      </c>
      <c r="C547" t="inlineStr">
        <is>
          <t>Föryngringsavverkning</t>
        </is>
      </c>
      <c r="D547" s="1" t="n">
        <v>45463</v>
      </c>
      <c r="E547" s="1" t="n">
        <v>46216</v>
      </c>
      <c r="F547" t="inlineStr">
        <is>
          <t>VÄSTERBOTTENS LÄN</t>
        </is>
      </c>
      <c r="G547" t="inlineStr">
        <is>
          <t>ÅSELE</t>
        </is>
      </c>
      <c r="H547" t="inlineStr">
        <is>
          <t>Sveaskog</t>
        </is>
      </c>
      <c r="I547" t="n">
        <v>4.6</v>
      </c>
      <c r="J547" t="n">
        <v>0</v>
      </c>
      <c r="K547" t="n">
        <v>0</v>
      </c>
      <c r="L547" t="n">
        <v>0</v>
      </c>
      <c r="M547" t="n">
        <v>0</v>
      </c>
      <c r="N547" t="n">
        <v>0</v>
      </c>
      <c r="O547" t="n">
        <v>0</v>
      </c>
      <c r="P547" t="n">
        <v>0</v>
      </c>
      <c r="Q547" t="n">
        <v>0</v>
      </c>
      <c r="R547" t="n">
        <v>0</v>
      </c>
      <c r="S547" t="n">
        <v>0</v>
      </c>
      <c r="T547" t="n">
        <v>0</v>
      </c>
      <c r="U547" s="2" t="inlineStr"/>
    </row>
    <row r="548" ht="15" customHeight="1">
      <c r="A548" t="inlineStr">
        <is>
          <t>A 61534-2024</t>
        </is>
      </c>
      <c r="B548" t="inlineStr">
        <is>
          <t>avverkningsanmälan</t>
        </is>
      </c>
      <c r="C548" t="inlineStr">
        <is>
          <t>Föryngringsavverkning</t>
        </is>
      </c>
      <c r="D548" s="1" t="n">
        <v>45645</v>
      </c>
      <c r="E548" s="1" t="n">
        <v>46216</v>
      </c>
      <c r="F548" t="inlineStr">
        <is>
          <t>VÄSTERBOTTENS LÄN</t>
        </is>
      </c>
      <c r="G548" t="inlineStr">
        <is>
          <t>ÅSELE</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27951-2024</t>
        </is>
      </c>
      <c r="B549" t="inlineStr">
        <is>
          <t>avverkningsanmälan</t>
        </is>
      </c>
      <c r="C549" t="inlineStr">
        <is>
          <t>Föryngringsavverkning</t>
        </is>
      </c>
      <c r="D549" s="1" t="n">
        <v>45476</v>
      </c>
      <c r="E549" s="1" t="n">
        <v>46216</v>
      </c>
      <c r="F549" t="inlineStr">
        <is>
          <t>VÄSTERBOTTENS LÄN</t>
        </is>
      </c>
      <c r="G549" t="inlineStr">
        <is>
          <t>ÅSELE</t>
        </is>
      </c>
      <c r="H549" t="inlineStr">
        <is>
          <t>Sveaskog</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38076-2023</t>
        </is>
      </c>
      <c r="B550" t="inlineStr">
        <is>
          <t>avverkningsanmälan</t>
        </is>
      </c>
      <c r="C550" t="inlineStr">
        <is>
          <t>Föryngringsavverkning</t>
        </is>
      </c>
      <c r="D550" s="1" t="n">
        <v>45160</v>
      </c>
      <c r="E550" s="1" t="n">
        <v>46216</v>
      </c>
      <c r="F550" t="inlineStr">
        <is>
          <t>VÄSTERBOTTENS LÄN</t>
        </is>
      </c>
      <c r="G550" t="inlineStr">
        <is>
          <t>ÅSELE</t>
        </is>
      </c>
      <c r="I550" t="n">
        <v>3.1</v>
      </c>
      <c r="J550" t="n">
        <v>0</v>
      </c>
      <c r="K550" t="n">
        <v>0</v>
      </c>
      <c r="L550" t="n">
        <v>0</v>
      </c>
      <c r="M550" t="n">
        <v>0</v>
      </c>
      <c r="N550" t="n">
        <v>0</v>
      </c>
      <c r="O550" t="n">
        <v>0</v>
      </c>
      <c r="P550" t="n">
        <v>0</v>
      </c>
      <c r="Q550" t="n">
        <v>0</v>
      </c>
      <c r="R550" t="n">
        <v>0</v>
      </c>
      <c r="S550" t="n">
        <v>0</v>
      </c>
      <c r="T550" t="n">
        <v>0</v>
      </c>
      <c r="U550" s="2" t="inlineStr"/>
    </row>
    <row r="551" ht="15" customHeight="1">
      <c r="A551" t="inlineStr">
        <is>
          <t>A 22111-2024</t>
        </is>
      </c>
      <c r="B551" t="inlineStr">
        <is>
          <t>avverkningsanmälan</t>
        </is>
      </c>
      <c r="C551" t="inlineStr">
        <is>
          <t>Föryngringsavverkning</t>
        </is>
      </c>
      <c r="D551" s="1" t="n">
        <v>45443</v>
      </c>
      <c r="E551" s="1" t="n">
        <v>46216</v>
      </c>
      <c r="F551" t="inlineStr">
        <is>
          <t>VÄSTERBOTTENS LÄN</t>
        </is>
      </c>
      <c r="G551" t="inlineStr">
        <is>
          <t>ÅSELE</t>
        </is>
      </c>
      <c r="H551" t="inlineStr">
        <is>
          <t>SCA</t>
        </is>
      </c>
      <c r="I551" t="n">
        <v>5.6</v>
      </c>
      <c r="J551" t="n">
        <v>0</v>
      </c>
      <c r="K551" t="n">
        <v>0</v>
      </c>
      <c r="L551" t="n">
        <v>0</v>
      </c>
      <c r="M551" t="n">
        <v>0</v>
      </c>
      <c r="N551" t="n">
        <v>0</v>
      </c>
      <c r="O551" t="n">
        <v>0</v>
      </c>
      <c r="P551" t="n">
        <v>0</v>
      </c>
      <c r="Q551" t="n">
        <v>0</v>
      </c>
      <c r="R551" t="n">
        <v>0</v>
      </c>
      <c r="S551" t="n">
        <v>0</v>
      </c>
      <c r="T551" t="n">
        <v>0</v>
      </c>
      <c r="U551" s="2" t="inlineStr"/>
    </row>
    <row r="552" ht="15" customHeight="1">
      <c r="A552" t="inlineStr">
        <is>
          <t>A 31659-2024</t>
        </is>
      </c>
      <c r="B552" t="inlineStr">
        <is>
          <t>avverkningsanmälan</t>
        </is>
      </c>
      <c r="C552" t="inlineStr">
        <is>
          <t>Föryngringsavverkning</t>
        </is>
      </c>
      <c r="D552" s="1" t="n">
        <v>45506</v>
      </c>
      <c r="E552" s="1" t="n">
        <v>46216</v>
      </c>
      <c r="F552" t="inlineStr">
        <is>
          <t>VÄSTERBOTTENS LÄN</t>
        </is>
      </c>
      <c r="G552" t="inlineStr">
        <is>
          <t>ÅSELE</t>
        </is>
      </c>
      <c r="I552" t="n">
        <v>41.1</v>
      </c>
      <c r="J552" t="n">
        <v>0</v>
      </c>
      <c r="K552" t="n">
        <v>0</v>
      </c>
      <c r="L552" t="n">
        <v>0</v>
      </c>
      <c r="M552" t="n">
        <v>0</v>
      </c>
      <c r="N552" t="n">
        <v>0</v>
      </c>
      <c r="O552" t="n">
        <v>0</v>
      </c>
      <c r="P552" t="n">
        <v>0</v>
      </c>
      <c r="Q552" t="n">
        <v>0</v>
      </c>
      <c r="R552" t="n">
        <v>0</v>
      </c>
      <c r="S552" t="n">
        <v>0</v>
      </c>
      <c r="T552" t="n">
        <v>0</v>
      </c>
      <c r="U552" s="2" t="inlineStr"/>
    </row>
    <row r="553" ht="15" customHeight="1">
      <c r="A553" t="inlineStr">
        <is>
          <t>A 41468-2022</t>
        </is>
      </c>
      <c r="B553" t="inlineStr">
        <is>
          <t>avverkningsanmälan</t>
        </is>
      </c>
      <c r="C553" t="inlineStr">
        <is>
          <t>Föryngringsavverkning</t>
        </is>
      </c>
      <c r="D553" s="1" t="n">
        <v>44826</v>
      </c>
      <c r="E553" s="1" t="n">
        <v>46216</v>
      </c>
      <c r="F553" t="inlineStr">
        <is>
          <t>VÄSTERBOTTENS LÄN</t>
        </is>
      </c>
      <c r="G553" t="inlineStr">
        <is>
          <t>ÅSELE</t>
        </is>
      </c>
      <c r="H553" t="inlineStr">
        <is>
          <t>SCA</t>
        </is>
      </c>
      <c r="I553" t="n">
        <v>5.8</v>
      </c>
      <c r="J553" t="n">
        <v>0</v>
      </c>
      <c r="K553" t="n">
        <v>0</v>
      </c>
      <c r="L553" t="n">
        <v>0</v>
      </c>
      <c r="M553" t="n">
        <v>0</v>
      </c>
      <c r="N553" t="n">
        <v>0</v>
      </c>
      <c r="O553" t="n">
        <v>0</v>
      </c>
      <c r="P553" t="n">
        <v>0</v>
      </c>
      <c r="Q553" t="n">
        <v>0</v>
      </c>
      <c r="R553" t="n">
        <v>0</v>
      </c>
      <c r="S553" t="n">
        <v>0</v>
      </c>
      <c r="T553" t="n">
        <v>0</v>
      </c>
      <c r="U553" s="2" t="inlineStr"/>
    </row>
    <row r="554" ht="15" customHeight="1">
      <c r="A554" t="inlineStr">
        <is>
          <t>A 32214-2022</t>
        </is>
      </c>
      <c r="B554" t="inlineStr">
        <is>
          <t>avverkningsanmälan</t>
        </is>
      </c>
      <c r="C554" t="inlineStr">
        <is>
          <t>Föryngringsavverkning</t>
        </is>
      </c>
      <c r="D554" s="1" t="n">
        <v>44781</v>
      </c>
      <c r="E554" s="1" t="n">
        <v>46216</v>
      </c>
      <c r="F554" t="inlineStr">
        <is>
          <t>VÄSTERBOTTENS LÄN</t>
        </is>
      </c>
      <c r="G554" t="inlineStr">
        <is>
          <t>ÅSELE</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3059-2024</t>
        </is>
      </c>
      <c r="B555" t="inlineStr">
        <is>
          <t>avverkningsanmälan</t>
        </is>
      </c>
      <c r="C555" t="inlineStr">
        <is>
          <t>Föryngringsavverkning</t>
        </is>
      </c>
      <c r="D555" s="1" t="n">
        <v>45316</v>
      </c>
      <c r="E555" s="1" t="n">
        <v>46216</v>
      </c>
      <c r="F555" t="inlineStr">
        <is>
          <t>VÄSTERBOTTENS LÄN</t>
        </is>
      </c>
      <c r="G555" t="inlineStr">
        <is>
          <t>ÅSELE</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44622-2024</t>
        </is>
      </c>
      <c r="B556" t="inlineStr">
        <is>
          <t>avverkningsanmälan</t>
        </is>
      </c>
      <c r="C556" t="inlineStr">
        <is>
          <t>Föryngringsavverkning</t>
        </is>
      </c>
      <c r="D556" s="1" t="n">
        <v>45574</v>
      </c>
      <c r="E556" s="1" t="n">
        <v>46216</v>
      </c>
      <c r="F556" t="inlineStr">
        <is>
          <t>VÄSTERBOTTENS LÄN</t>
        </is>
      </c>
      <c r="G556" t="inlineStr">
        <is>
          <t>ÅSELE</t>
        </is>
      </c>
      <c r="H556" t="inlineStr">
        <is>
          <t>SCA</t>
        </is>
      </c>
      <c r="I556" t="n">
        <v>14.9</v>
      </c>
      <c r="J556" t="n">
        <v>0</v>
      </c>
      <c r="K556" t="n">
        <v>0</v>
      </c>
      <c r="L556" t="n">
        <v>0</v>
      </c>
      <c r="M556" t="n">
        <v>0</v>
      </c>
      <c r="N556" t="n">
        <v>0</v>
      </c>
      <c r="O556" t="n">
        <v>0</v>
      </c>
      <c r="P556" t="n">
        <v>0</v>
      </c>
      <c r="Q556" t="n">
        <v>0</v>
      </c>
      <c r="R556" t="n">
        <v>0</v>
      </c>
      <c r="S556" t="n">
        <v>0</v>
      </c>
      <c r="T556" t="n">
        <v>0</v>
      </c>
      <c r="U556" s="2" t="inlineStr"/>
    </row>
    <row r="557" ht="15" customHeight="1">
      <c r="A557" t="inlineStr">
        <is>
          <t>A 57697-2025</t>
        </is>
      </c>
      <c r="B557" t="inlineStr">
        <is>
          <t>avverkningsanmälan</t>
        </is>
      </c>
      <c r="C557" t="inlineStr">
        <is>
          <t>Föryngringsavverkning</t>
        </is>
      </c>
      <c r="D557" s="1" t="n">
        <v>45981</v>
      </c>
      <c r="E557" s="1" t="n">
        <v>46216</v>
      </c>
      <c r="F557" t="inlineStr">
        <is>
          <t>VÄSTERBOTTENS LÄN</t>
        </is>
      </c>
      <c r="G557" t="inlineStr">
        <is>
          <t>ÅSELE</t>
        </is>
      </c>
      <c r="I557" t="n">
        <v>5.5</v>
      </c>
      <c r="J557" t="n">
        <v>0</v>
      </c>
      <c r="K557" t="n">
        <v>0</v>
      </c>
      <c r="L557" t="n">
        <v>0</v>
      </c>
      <c r="M557" t="n">
        <v>0</v>
      </c>
      <c r="N557" t="n">
        <v>0</v>
      </c>
      <c r="O557" t="n">
        <v>0</v>
      </c>
      <c r="P557" t="n">
        <v>0</v>
      </c>
      <c r="Q557" t="n">
        <v>0</v>
      </c>
      <c r="R557" t="n">
        <v>0</v>
      </c>
      <c r="S557" t="n">
        <v>0</v>
      </c>
      <c r="T557" t="n">
        <v>0</v>
      </c>
      <c r="U557" s="2" t="inlineStr"/>
    </row>
    <row r="558" ht="15" customHeight="1">
      <c r="A558" t="inlineStr">
        <is>
          <t>A 28728-2023</t>
        </is>
      </c>
      <c r="B558" t="inlineStr">
        <is>
          <t>avverkningsanmälan</t>
        </is>
      </c>
      <c r="C558" t="inlineStr">
        <is>
          <t>Föryngringsavverkning</t>
        </is>
      </c>
      <c r="D558" s="1" t="n">
        <v>45103</v>
      </c>
      <c r="E558" s="1" t="n">
        <v>46216</v>
      </c>
      <c r="F558" t="inlineStr">
        <is>
          <t>VÄSTERBOTTENS LÄN</t>
        </is>
      </c>
      <c r="G558" t="inlineStr">
        <is>
          <t>ÅSELE</t>
        </is>
      </c>
      <c r="H558" t="inlineStr">
        <is>
          <t>Sveaskog</t>
        </is>
      </c>
      <c r="I558" t="n">
        <v>1</v>
      </c>
      <c r="J558" t="n">
        <v>0</v>
      </c>
      <c r="K558" t="n">
        <v>0</v>
      </c>
      <c r="L558" t="n">
        <v>0</v>
      </c>
      <c r="M558" t="n">
        <v>0</v>
      </c>
      <c r="N558" t="n">
        <v>0</v>
      </c>
      <c r="O558" t="n">
        <v>0</v>
      </c>
      <c r="P558" t="n">
        <v>0</v>
      </c>
      <c r="Q558" t="n">
        <v>0</v>
      </c>
      <c r="R558" t="n">
        <v>0</v>
      </c>
      <c r="S558" t="n">
        <v>0</v>
      </c>
      <c r="T558" t="n">
        <v>0</v>
      </c>
      <c r="U558" s="2" t="inlineStr"/>
    </row>
    <row r="559" ht="15" customHeight="1">
      <c r="A559" t="inlineStr">
        <is>
          <t>A 58386-2022</t>
        </is>
      </c>
      <c r="B559" t="inlineStr">
        <is>
          <t>avverkningsanmälan</t>
        </is>
      </c>
      <c r="C559" t="inlineStr">
        <is>
          <t>Föryngringsavverkning</t>
        </is>
      </c>
      <c r="D559" s="1" t="n">
        <v>44894</v>
      </c>
      <c r="E559" s="1" t="n">
        <v>46216</v>
      </c>
      <c r="F559" t="inlineStr">
        <is>
          <t>VÄSTERBOTTENS LÄN</t>
        </is>
      </c>
      <c r="G559" t="inlineStr">
        <is>
          <t>ÅSELE</t>
        </is>
      </c>
      <c r="H559" t="inlineStr">
        <is>
          <t>Kommuner</t>
        </is>
      </c>
      <c r="I559" t="n">
        <v>25</v>
      </c>
      <c r="J559" t="n">
        <v>0</v>
      </c>
      <c r="K559" t="n">
        <v>0</v>
      </c>
      <c r="L559" t="n">
        <v>0</v>
      </c>
      <c r="M559" t="n">
        <v>0</v>
      </c>
      <c r="N559" t="n">
        <v>0</v>
      </c>
      <c r="O559" t="n">
        <v>0</v>
      </c>
      <c r="P559" t="n">
        <v>0</v>
      </c>
      <c r="Q559" t="n">
        <v>0</v>
      </c>
      <c r="R559" t="n">
        <v>0</v>
      </c>
      <c r="S559" t="n">
        <v>0</v>
      </c>
      <c r="T559" t="n">
        <v>0</v>
      </c>
      <c r="U559" s="2" t="inlineStr"/>
    </row>
    <row r="560" ht="15" customHeight="1">
      <c r="A560" t="inlineStr">
        <is>
          <t>A 19979-2026</t>
        </is>
      </c>
      <c r="B560" t="inlineStr">
        <is>
          <t>avverkningsanmälan</t>
        </is>
      </c>
      <c r="C560" t="inlineStr">
        <is>
          <t>Föryngringsavverkning</t>
        </is>
      </c>
      <c r="D560" s="1" t="n">
        <v>46136</v>
      </c>
      <c r="E560" s="1" t="n">
        <v>46216</v>
      </c>
      <c r="F560" t="inlineStr">
        <is>
          <t>VÄSTERBOTTENS LÄN</t>
        </is>
      </c>
      <c r="G560" t="inlineStr">
        <is>
          <t>ÅSELE</t>
        </is>
      </c>
      <c r="I560" t="n">
        <v>6.5</v>
      </c>
      <c r="J560" t="n">
        <v>0</v>
      </c>
      <c r="K560" t="n">
        <v>0</v>
      </c>
      <c r="L560" t="n">
        <v>0</v>
      </c>
      <c r="M560" t="n">
        <v>0</v>
      </c>
      <c r="N560" t="n">
        <v>0</v>
      </c>
      <c r="O560" t="n">
        <v>0</v>
      </c>
      <c r="P560" t="n">
        <v>0</v>
      </c>
      <c r="Q560" t="n">
        <v>0</v>
      </c>
      <c r="R560" t="n">
        <v>0</v>
      </c>
      <c r="S560" t="n">
        <v>0</v>
      </c>
      <c r="T560" t="n">
        <v>0</v>
      </c>
      <c r="U560" s="2" t="inlineStr"/>
    </row>
    <row r="561" ht="15" customHeight="1">
      <c r="A561" t="inlineStr">
        <is>
          <t>A 5955-2024</t>
        </is>
      </c>
      <c r="B561" t="inlineStr">
        <is>
          <t>avverkningsanmälan</t>
        </is>
      </c>
      <c r="C561" t="inlineStr">
        <is>
          <t>Föryngringsavverkning</t>
        </is>
      </c>
      <c r="D561" s="1" t="n">
        <v>45336</v>
      </c>
      <c r="E561" s="1" t="n">
        <v>46216</v>
      </c>
      <c r="F561" t="inlineStr">
        <is>
          <t>VÄSTERBOTTENS LÄN</t>
        </is>
      </c>
      <c r="G561" t="inlineStr">
        <is>
          <t>ÅSELE</t>
        </is>
      </c>
      <c r="H561" t="inlineStr">
        <is>
          <t>Naturvårdsverket</t>
        </is>
      </c>
      <c r="I561" t="n">
        <v>22.6</v>
      </c>
      <c r="J561" t="n">
        <v>0</v>
      </c>
      <c r="K561" t="n">
        <v>0</v>
      </c>
      <c r="L561" t="n">
        <v>0</v>
      </c>
      <c r="M561" t="n">
        <v>0</v>
      </c>
      <c r="N561" t="n">
        <v>0</v>
      </c>
      <c r="O561" t="n">
        <v>0</v>
      </c>
      <c r="P561" t="n">
        <v>0</v>
      </c>
      <c r="Q561" t="n">
        <v>0</v>
      </c>
      <c r="R561" t="n">
        <v>0</v>
      </c>
      <c r="S561" t="n">
        <v>0</v>
      </c>
      <c r="T561" t="n">
        <v>0</v>
      </c>
      <c r="U561" s="2" t="inlineStr"/>
    </row>
    <row r="562" ht="15" customHeight="1">
      <c r="A562" t="inlineStr">
        <is>
          <t>A 45622-2023</t>
        </is>
      </c>
      <c r="B562" t="inlineStr">
        <is>
          <t>avverkningsanmälan</t>
        </is>
      </c>
      <c r="C562" t="inlineStr">
        <is>
          <t>Föryngringsavverkning</t>
        </is>
      </c>
      <c r="D562" s="1" t="n">
        <v>45194</v>
      </c>
      <c r="E562" s="1" t="n">
        <v>46216</v>
      </c>
      <c r="F562" t="inlineStr">
        <is>
          <t>VÄSTERBOTTENS LÄN</t>
        </is>
      </c>
      <c r="G562" t="inlineStr">
        <is>
          <t>ÅSELE</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4078-2025</t>
        </is>
      </c>
      <c r="B563" t="inlineStr">
        <is>
          <t>avverkningsanmälan</t>
        </is>
      </c>
      <c r="C563" t="inlineStr">
        <is>
          <t>Föryngringsavverkning</t>
        </is>
      </c>
      <c r="D563" s="1" t="n">
        <v>45684</v>
      </c>
      <c r="E563" s="1" t="n">
        <v>46216</v>
      </c>
      <c r="F563" t="inlineStr">
        <is>
          <t>VÄSTERBOTTENS LÄN</t>
        </is>
      </c>
      <c r="G563" t="inlineStr">
        <is>
          <t>ÅSELE</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31183-2023</t>
        </is>
      </c>
      <c r="B564" t="inlineStr">
        <is>
          <t>avverkningsanmälan</t>
        </is>
      </c>
      <c r="C564" t="inlineStr">
        <is>
          <t>Föryngringsavverkning</t>
        </is>
      </c>
      <c r="D564" s="1" t="n">
        <v>45113</v>
      </c>
      <c r="E564" s="1" t="n">
        <v>46216</v>
      </c>
      <c r="F564" t="inlineStr">
        <is>
          <t>VÄSTERBOTTENS LÄN</t>
        </is>
      </c>
      <c r="G564" t="inlineStr">
        <is>
          <t>ÅSELE</t>
        </is>
      </c>
      <c r="H564" t="inlineStr">
        <is>
          <t>SCA</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41409-2023</t>
        </is>
      </c>
      <c r="B565" t="inlineStr">
        <is>
          <t>avverkningsanmälan</t>
        </is>
      </c>
      <c r="C565" t="inlineStr">
        <is>
          <t>Föryngringsavverkning</t>
        </is>
      </c>
      <c r="D565" s="1" t="n">
        <v>45174</v>
      </c>
      <c r="E565" s="1" t="n">
        <v>46216</v>
      </c>
      <c r="F565" t="inlineStr">
        <is>
          <t>VÄSTERBOTTENS LÄN</t>
        </is>
      </c>
      <c r="G565" t="inlineStr">
        <is>
          <t>ÅSELE</t>
        </is>
      </c>
      <c r="H565" t="inlineStr">
        <is>
          <t>SCA</t>
        </is>
      </c>
      <c r="I565" t="n">
        <v>7.3</v>
      </c>
      <c r="J565" t="n">
        <v>0</v>
      </c>
      <c r="K565" t="n">
        <v>0</v>
      </c>
      <c r="L565" t="n">
        <v>0</v>
      </c>
      <c r="M565" t="n">
        <v>0</v>
      </c>
      <c r="N565" t="n">
        <v>0</v>
      </c>
      <c r="O565" t="n">
        <v>0</v>
      </c>
      <c r="P565" t="n">
        <v>0</v>
      </c>
      <c r="Q565" t="n">
        <v>0</v>
      </c>
      <c r="R565" t="n">
        <v>0</v>
      </c>
      <c r="S565" t="n">
        <v>0</v>
      </c>
      <c r="T565" t="n">
        <v>0</v>
      </c>
      <c r="U565" s="2" t="inlineStr"/>
    </row>
    <row r="566" ht="15" customHeight="1">
      <c r="A566" t="inlineStr">
        <is>
          <t>A 19928-2025</t>
        </is>
      </c>
      <c r="B566" t="inlineStr">
        <is>
          <t>avverkningsanmälan</t>
        </is>
      </c>
      <c r="C566" t="inlineStr">
        <is>
          <t>Föryngringsavverkning</t>
        </is>
      </c>
      <c r="D566" s="1" t="n">
        <v>45771</v>
      </c>
      <c r="E566" s="1" t="n">
        <v>46216</v>
      </c>
      <c r="F566" t="inlineStr">
        <is>
          <t>VÄSTERBOTTENS LÄN</t>
        </is>
      </c>
      <c r="G566" t="inlineStr">
        <is>
          <t>ÅSELE</t>
        </is>
      </c>
      <c r="H566" t="inlineStr">
        <is>
          <t>SCA</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25918-2026</t>
        </is>
      </c>
      <c r="B567" t="inlineStr">
        <is>
          <t>avverkningsanmälan</t>
        </is>
      </c>
      <c r="C567" t="inlineStr">
        <is>
          <t>Föryngringsavverkning</t>
        </is>
      </c>
      <c r="D567" s="1" t="n">
        <v>46178</v>
      </c>
      <c r="E567" s="1" t="n">
        <v>46216</v>
      </c>
      <c r="F567" t="inlineStr">
        <is>
          <t>VÄSTERBOTTENS LÄN</t>
        </is>
      </c>
      <c r="G567" t="inlineStr">
        <is>
          <t>ÅSELE</t>
        </is>
      </c>
      <c r="H567" t="inlineStr">
        <is>
          <t>Sveaskog</t>
        </is>
      </c>
      <c r="I567" t="n">
        <v>8.6</v>
      </c>
      <c r="J567" t="n">
        <v>0</v>
      </c>
      <c r="K567" t="n">
        <v>0</v>
      </c>
      <c r="L567" t="n">
        <v>0</v>
      </c>
      <c r="M567" t="n">
        <v>0</v>
      </c>
      <c r="N567" t="n">
        <v>0</v>
      </c>
      <c r="O567" t="n">
        <v>0</v>
      </c>
      <c r="P567" t="n">
        <v>0</v>
      </c>
      <c r="Q567" t="n">
        <v>0</v>
      </c>
      <c r="R567" t="n">
        <v>0</v>
      </c>
      <c r="S567" t="n">
        <v>0</v>
      </c>
      <c r="T567" t="n">
        <v>0</v>
      </c>
      <c r="U567" s="2" t="inlineStr"/>
    </row>
    <row r="568" ht="15" customHeight="1">
      <c r="A568" t="inlineStr">
        <is>
          <t>A 25636-2024</t>
        </is>
      </c>
      <c r="B568" t="inlineStr">
        <is>
          <t>avverkningsanmälan</t>
        </is>
      </c>
      <c r="C568" t="inlineStr">
        <is>
          <t>Föryngringsavverkning</t>
        </is>
      </c>
      <c r="D568" s="1" t="n">
        <v>45463</v>
      </c>
      <c r="E568" s="1" t="n">
        <v>46216</v>
      </c>
      <c r="F568" t="inlineStr">
        <is>
          <t>VÄSTERBOTTENS LÄN</t>
        </is>
      </c>
      <c r="G568" t="inlineStr">
        <is>
          <t>ÅSELE</t>
        </is>
      </c>
      <c r="H568" t="inlineStr">
        <is>
          <t>Sveaskog</t>
        </is>
      </c>
      <c r="I568" t="n">
        <v>5.3</v>
      </c>
      <c r="J568" t="n">
        <v>0</v>
      </c>
      <c r="K568" t="n">
        <v>0</v>
      </c>
      <c r="L568" t="n">
        <v>0</v>
      </c>
      <c r="M568" t="n">
        <v>0</v>
      </c>
      <c r="N568" t="n">
        <v>0</v>
      </c>
      <c r="O568" t="n">
        <v>0</v>
      </c>
      <c r="P568" t="n">
        <v>0</v>
      </c>
      <c r="Q568" t="n">
        <v>0</v>
      </c>
      <c r="R568" t="n">
        <v>0</v>
      </c>
      <c r="S568" t="n">
        <v>0</v>
      </c>
      <c r="T568" t="n">
        <v>0</v>
      </c>
      <c r="U568" s="2" t="inlineStr"/>
    </row>
    <row r="569" ht="15" customHeight="1">
      <c r="A569" t="inlineStr">
        <is>
          <t>A 48531-2024</t>
        </is>
      </c>
      <c r="B569" t="inlineStr">
        <is>
          <t>avverkningsanmälan</t>
        </is>
      </c>
      <c r="C569" t="inlineStr">
        <is>
          <t>Föryngringsavverkning</t>
        </is>
      </c>
      <c r="D569" s="1" t="n">
        <v>45593</v>
      </c>
      <c r="E569" s="1" t="n">
        <v>46216</v>
      </c>
      <c r="F569" t="inlineStr">
        <is>
          <t>VÄSTERBOTTENS LÄN</t>
        </is>
      </c>
      <c r="G569" t="inlineStr">
        <is>
          <t>ÅSELE</t>
        </is>
      </c>
      <c r="H569" t="inlineStr">
        <is>
          <t>SCA</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33012-2023</t>
        </is>
      </c>
      <c r="B570" t="inlineStr">
        <is>
          <t>avverkningsanmälan</t>
        </is>
      </c>
      <c r="C570" t="inlineStr">
        <is>
          <t>Föryngringsavverkning</t>
        </is>
      </c>
      <c r="D570" s="1" t="n">
        <v>45113</v>
      </c>
      <c r="E570" s="1" t="n">
        <v>46216</v>
      </c>
      <c r="F570" t="inlineStr">
        <is>
          <t>VÄSTERBOTTENS LÄN</t>
        </is>
      </c>
      <c r="G570" t="inlineStr">
        <is>
          <t>ÅSELE</t>
        </is>
      </c>
      <c r="I570" t="n">
        <v>6.3</v>
      </c>
      <c r="J570" t="n">
        <v>0</v>
      </c>
      <c r="K570" t="n">
        <v>0</v>
      </c>
      <c r="L570" t="n">
        <v>0</v>
      </c>
      <c r="M570" t="n">
        <v>0</v>
      </c>
      <c r="N570" t="n">
        <v>0</v>
      </c>
      <c r="O570" t="n">
        <v>0</v>
      </c>
      <c r="P570" t="n">
        <v>0</v>
      </c>
      <c r="Q570" t="n">
        <v>0</v>
      </c>
      <c r="R570" t="n">
        <v>0</v>
      </c>
      <c r="S570" t="n">
        <v>0</v>
      </c>
      <c r="T570" t="n">
        <v>0</v>
      </c>
      <c r="U570" s="2" t="inlineStr"/>
    </row>
    <row r="571" ht="15" customHeight="1">
      <c r="A571" t="inlineStr">
        <is>
          <t>A 57788-2023</t>
        </is>
      </c>
      <c r="B571" t="inlineStr">
        <is>
          <t>avverkningsanmälan</t>
        </is>
      </c>
      <c r="C571" t="inlineStr">
        <is>
          <t>Föryngringsavverkning</t>
        </is>
      </c>
      <c r="D571" s="1" t="n">
        <v>45246</v>
      </c>
      <c r="E571" s="1" t="n">
        <v>46216</v>
      </c>
      <c r="F571" t="inlineStr">
        <is>
          <t>VÄSTERBOTTENS LÄN</t>
        </is>
      </c>
      <c r="G571" t="inlineStr">
        <is>
          <t>ÅSELE</t>
        </is>
      </c>
      <c r="H571" t="inlineStr">
        <is>
          <t>SCA</t>
        </is>
      </c>
      <c r="I571" t="n">
        <v>7.7</v>
      </c>
      <c r="J571" t="n">
        <v>0</v>
      </c>
      <c r="K571" t="n">
        <v>0</v>
      </c>
      <c r="L571" t="n">
        <v>0</v>
      </c>
      <c r="M571" t="n">
        <v>0</v>
      </c>
      <c r="N571" t="n">
        <v>0</v>
      </c>
      <c r="O571" t="n">
        <v>0</v>
      </c>
      <c r="P571" t="n">
        <v>0</v>
      </c>
      <c r="Q571" t="n">
        <v>0</v>
      </c>
      <c r="R571" t="n">
        <v>0</v>
      </c>
      <c r="S571" t="n">
        <v>0</v>
      </c>
      <c r="T571" t="n">
        <v>0</v>
      </c>
      <c r="U571" s="2" t="inlineStr"/>
    </row>
    <row r="572" ht="15" customHeight="1">
      <c r="A572" t="inlineStr">
        <is>
          <t>A 65040-2023</t>
        </is>
      </c>
      <c r="B572" t="inlineStr">
        <is>
          <t>avverkningsanmälan</t>
        </is>
      </c>
      <c r="C572" t="inlineStr">
        <is>
          <t>Föryngringsavverkning</t>
        </is>
      </c>
      <c r="D572" s="1" t="n">
        <v>45282</v>
      </c>
      <c r="E572" s="1" t="n">
        <v>46216</v>
      </c>
      <c r="F572" t="inlineStr">
        <is>
          <t>VÄSTERBOTTENS LÄN</t>
        </is>
      </c>
      <c r="G572" t="inlineStr">
        <is>
          <t>ÅSELE</t>
        </is>
      </c>
      <c r="I572" t="n">
        <v>6.6</v>
      </c>
      <c r="J572" t="n">
        <v>0</v>
      </c>
      <c r="K572" t="n">
        <v>0</v>
      </c>
      <c r="L572" t="n">
        <v>0</v>
      </c>
      <c r="M572" t="n">
        <v>0</v>
      </c>
      <c r="N572" t="n">
        <v>0</v>
      </c>
      <c r="O572" t="n">
        <v>0</v>
      </c>
      <c r="P572" t="n">
        <v>0</v>
      </c>
      <c r="Q572" t="n">
        <v>0</v>
      </c>
      <c r="R572" t="n">
        <v>0</v>
      </c>
      <c r="S572" t="n">
        <v>0</v>
      </c>
      <c r="T572" t="n">
        <v>0</v>
      </c>
      <c r="U572" s="2" t="inlineStr"/>
    </row>
    <row r="573" ht="15" customHeight="1">
      <c r="A573" t="inlineStr">
        <is>
          <t>A 36372-2025</t>
        </is>
      </c>
      <c r="B573" t="inlineStr">
        <is>
          <t>avverkningsanmälan</t>
        </is>
      </c>
      <c r="C573" t="inlineStr">
        <is>
          <t>Föryngringsavverkning</t>
        </is>
      </c>
      <c r="D573" s="1" t="n">
        <v>45867</v>
      </c>
      <c r="E573" s="1" t="n">
        <v>46216</v>
      </c>
      <c r="F573" t="inlineStr">
        <is>
          <t>VÄSTERBOTTENS LÄN</t>
        </is>
      </c>
      <c r="G573" t="inlineStr">
        <is>
          <t>ÅSELE</t>
        </is>
      </c>
      <c r="I573" t="n">
        <v>4.3</v>
      </c>
      <c r="J573" t="n">
        <v>0</v>
      </c>
      <c r="K573" t="n">
        <v>0</v>
      </c>
      <c r="L573" t="n">
        <v>0</v>
      </c>
      <c r="M573" t="n">
        <v>0</v>
      </c>
      <c r="N573" t="n">
        <v>0</v>
      </c>
      <c r="O573" t="n">
        <v>0</v>
      </c>
      <c r="P573" t="n">
        <v>0</v>
      </c>
      <c r="Q573" t="n">
        <v>0</v>
      </c>
      <c r="R573" t="n">
        <v>0</v>
      </c>
      <c r="S573" t="n">
        <v>0</v>
      </c>
      <c r="T573" t="n">
        <v>0</v>
      </c>
      <c r="U573" s="2" t="inlineStr"/>
    </row>
    <row r="574" ht="15" customHeight="1">
      <c r="A574" t="inlineStr">
        <is>
          <t>A 34139-2024</t>
        </is>
      </c>
      <c r="B574" t="inlineStr">
        <is>
          <t>avverkningsanmälan</t>
        </is>
      </c>
      <c r="C574" t="inlineStr">
        <is>
          <t>Föryngringsavverkning</t>
        </is>
      </c>
      <c r="D574" s="1" t="n">
        <v>45524</v>
      </c>
      <c r="E574" s="1" t="n">
        <v>46216</v>
      </c>
      <c r="F574" t="inlineStr">
        <is>
          <t>VÄSTERBOTTENS LÄN</t>
        </is>
      </c>
      <c r="G574" t="inlineStr">
        <is>
          <t>ÅSELE</t>
        </is>
      </c>
      <c r="H574" t="inlineStr">
        <is>
          <t>Sveaskog</t>
        </is>
      </c>
      <c r="I574" t="n">
        <v>5.9</v>
      </c>
      <c r="J574" t="n">
        <v>0</v>
      </c>
      <c r="K574" t="n">
        <v>0</v>
      </c>
      <c r="L574" t="n">
        <v>0</v>
      </c>
      <c r="M574" t="n">
        <v>0</v>
      </c>
      <c r="N574" t="n">
        <v>0</v>
      </c>
      <c r="O574" t="n">
        <v>0</v>
      </c>
      <c r="P574" t="n">
        <v>0</v>
      </c>
      <c r="Q574" t="n">
        <v>0</v>
      </c>
      <c r="R574" t="n">
        <v>0</v>
      </c>
      <c r="S574" t="n">
        <v>0</v>
      </c>
      <c r="T574" t="n">
        <v>0</v>
      </c>
      <c r="U574" s="2" t="inlineStr"/>
    </row>
    <row r="575" ht="15" customHeight="1">
      <c r="A575" t="inlineStr">
        <is>
          <t>A 34144-2024</t>
        </is>
      </c>
      <c r="B575" t="inlineStr">
        <is>
          <t>avverkningsanmälan</t>
        </is>
      </c>
      <c r="C575" t="inlineStr">
        <is>
          <t>Föryngringsavverkning</t>
        </is>
      </c>
      <c r="D575" s="1" t="n">
        <v>45524</v>
      </c>
      <c r="E575" s="1" t="n">
        <v>46216</v>
      </c>
      <c r="F575" t="inlineStr">
        <is>
          <t>VÄSTERBOTTENS LÄN</t>
        </is>
      </c>
      <c r="G575" t="inlineStr">
        <is>
          <t>ÅSELE</t>
        </is>
      </c>
      <c r="H575" t="inlineStr">
        <is>
          <t>Sveaskog</t>
        </is>
      </c>
      <c r="I575" t="n">
        <v>10.9</v>
      </c>
      <c r="J575" t="n">
        <v>0</v>
      </c>
      <c r="K575" t="n">
        <v>0</v>
      </c>
      <c r="L575" t="n">
        <v>0</v>
      </c>
      <c r="M575" t="n">
        <v>0</v>
      </c>
      <c r="N575" t="n">
        <v>0</v>
      </c>
      <c r="O575" t="n">
        <v>0</v>
      </c>
      <c r="P575" t="n">
        <v>0</v>
      </c>
      <c r="Q575" t="n">
        <v>0</v>
      </c>
      <c r="R575" t="n">
        <v>0</v>
      </c>
      <c r="S575" t="n">
        <v>0</v>
      </c>
      <c r="T575" t="n">
        <v>0</v>
      </c>
      <c r="U575" s="2" t="inlineStr"/>
    </row>
    <row r="576" ht="15" customHeight="1">
      <c r="A576" t="inlineStr">
        <is>
          <t>A 33194-2024</t>
        </is>
      </c>
      <c r="B576" t="inlineStr">
        <is>
          <t>avverkningsanmälan</t>
        </is>
      </c>
      <c r="C576" t="inlineStr">
        <is>
          <t>Avverkning för annat ändamål</t>
        </is>
      </c>
      <c r="D576" s="1" t="n">
        <v>45518</v>
      </c>
      <c r="E576" s="1" t="n">
        <v>46216</v>
      </c>
      <c r="F576" t="inlineStr">
        <is>
          <t>VÄSTERBOTTENS LÄN</t>
        </is>
      </c>
      <c r="G576" t="inlineStr">
        <is>
          <t>ÅSELE</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60524-2021</t>
        </is>
      </c>
      <c r="B577" t="inlineStr">
        <is>
          <t>avverkningsanmälan</t>
        </is>
      </c>
      <c r="C577" t="inlineStr">
        <is>
          <t>Föryngringsavverkning</t>
        </is>
      </c>
      <c r="D577" s="1" t="n">
        <v>44496</v>
      </c>
      <c r="E577" s="1" t="n">
        <v>46216</v>
      </c>
      <c r="F577" t="inlineStr">
        <is>
          <t>VÄSTERBOTTENS LÄN</t>
        </is>
      </c>
      <c r="G577" t="inlineStr">
        <is>
          <t>ÅSELE</t>
        </is>
      </c>
      <c r="H577" t="inlineStr">
        <is>
          <t>Holmen skog AB</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50234-2025</t>
        </is>
      </c>
      <c r="B578" t="inlineStr">
        <is>
          <t>avverkningsanmälan</t>
        </is>
      </c>
      <c r="C578" t="inlineStr">
        <is>
          <t>Föryngringsavverkning</t>
        </is>
      </c>
      <c r="D578" s="1" t="n">
        <v>45943</v>
      </c>
      <c r="E578" s="1" t="n">
        <v>46216</v>
      </c>
      <c r="F578" t="inlineStr">
        <is>
          <t>VÄSTERBOTTENS LÄN</t>
        </is>
      </c>
      <c r="G578" t="inlineStr">
        <is>
          <t>ÅSELE</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11291-2023</t>
        </is>
      </c>
      <c r="B579" t="inlineStr">
        <is>
          <t>avverkningsanmälan</t>
        </is>
      </c>
      <c r="C579" t="inlineStr">
        <is>
          <t>Föryngringsavverkning</t>
        </is>
      </c>
      <c r="D579" s="1" t="n">
        <v>44992</v>
      </c>
      <c r="E579" s="1" t="n">
        <v>46216</v>
      </c>
      <c r="F579" t="inlineStr">
        <is>
          <t>VÄSTERBOTTENS LÄN</t>
        </is>
      </c>
      <c r="G579" t="inlineStr">
        <is>
          <t>ÅSELE</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42601-2024</t>
        </is>
      </c>
      <c r="B580" t="inlineStr">
        <is>
          <t>avverkningsanmälan</t>
        </is>
      </c>
      <c r="C580" t="inlineStr">
        <is>
          <t>Föryngringsavverkning</t>
        </is>
      </c>
      <c r="D580" s="1" t="n">
        <v>45565</v>
      </c>
      <c r="E580" s="1" t="n">
        <v>46216</v>
      </c>
      <c r="F580" t="inlineStr">
        <is>
          <t>VÄSTERBOTTENS LÄN</t>
        </is>
      </c>
      <c r="G580" t="inlineStr">
        <is>
          <t>ÅSELE</t>
        </is>
      </c>
      <c r="H580" t="inlineStr">
        <is>
          <t>Holmen skog AB</t>
        </is>
      </c>
      <c r="I580" t="n">
        <v>8.6</v>
      </c>
      <c r="J580" t="n">
        <v>0</v>
      </c>
      <c r="K580" t="n">
        <v>0</v>
      </c>
      <c r="L580" t="n">
        <v>0</v>
      </c>
      <c r="M580" t="n">
        <v>0</v>
      </c>
      <c r="N580" t="n">
        <v>0</v>
      </c>
      <c r="O580" t="n">
        <v>0</v>
      </c>
      <c r="P580" t="n">
        <v>0</v>
      </c>
      <c r="Q580" t="n">
        <v>0</v>
      </c>
      <c r="R580" t="n">
        <v>0</v>
      </c>
      <c r="S580" t="n">
        <v>0</v>
      </c>
      <c r="T580" t="n">
        <v>0</v>
      </c>
      <c r="U580" s="2" t="inlineStr"/>
    </row>
    <row r="581" ht="15" customHeight="1">
      <c r="A581" t="inlineStr">
        <is>
          <t>A 36852-2023</t>
        </is>
      </c>
      <c r="B581" t="inlineStr">
        <is>
          <t>avverkningsanmälan</t>
        </is>
      </c>
      <c r="C581" t="inlineStr">
        <is>
          <t>Föryngringsavverkning</t>
        </is>
      </c>
      <c r="D581" s="1" t="n">
        <v>45154</v>
      </c>
      <c r="E581" s="1" t="n">
        <v>46216</v>
      </c>
      <c r="F581" t="inlineStr">
        <is>
          <t>VÄSTERBOTTENS LÄN</t>
        </is>
      </c>
      <c r="G581" t="inlineStr">
        <is>
          <t>ÅSELE</t>
        </is>
      </c>
      <c r="H581" t="inlineStr">
        <is>
          <t>Holmen skog AB</t>
        </is>
      </c>
      <c r="I581" t="n">
        <v>11.8</v>
      </c>
      <c r="J581" t="n">
        <v>0</v>
      </c>
      <c r="K581" t="n">
        <v>0</v>
      </c>
      <c r="L581" t="n">
        <v>0</v>
      </c>
      <c r="M581" t="n">
        <v>0</v>
      </c>
      <c r="N581" t="n">
        <v>0</v>
      </c>
      <c r="O581" t="n">
        <v>0</v>
      </c>
      <c r="P581" t="n">
        <v>0</v>
      </c>
      <c r="Q581" t="n">
        <v>0</v>
      </c>
      <c r="R581" t="n">
        <v>0</v>
      </c>
      <c r="S581" t="n">
        <v>0</v>
      </c>
      <c r="T581" t="n">
        <v>0</v>
      </c>
      <c r="U581" s="2" t="inlineStr"/>
    </row>
    <row r="582" ht="15" customHeight="1">
      <c r="A582" t="inlineStr">
        <is>
          <t>A 42883-2025</t>
        </is>
      </c>
      <c r="B582" t="inlineStr">
        <is>
          <t>avverkningsanmälan</t>
        </is>
      </c>
      <c r="C582" t="inlineStr">
        <is>
          <t>Föryngringsavverkning</t>
        </is>
      </c>
      <c r="D582" s="1" t="n">
        <v>45908</v>
      </c>
      <c r="E582" s="1" t="n">
        <v>46216</v>
      </c>
      <c r="F582" t="inlineStr">
        <is>
          <t>VÄSTERBOTTENS LÄN</t>
        </is>
      </c>
      <c r="G582" t="inlineStr">
        <is>
          <t>ÅSELE</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22945-2024</t>
        </is>
      </c>
      <c r="B583" t="inlineStr">
        <is>
          <t>avverkningsanmälan</t>
        </is>
      </c>
      <c r="C583" t="inlineStr">
        <is>
          <t>Föryngringsavverkning</t>
        </is>
      </c>
      <c r="D583" s="1" t="n">
        <v>45448</v>
      </c>
      <c r="E583" s="1" t="n">
        <v>46216</v>
      </c>
      <c r="F583" t="inlineStr">
        <is>
          <t>VÄSTERBOTTENS LÄN</t>
        </is>
      </c>
      <c r="G583" t="inlineStr">
        <is>
          <t>ÅSELE</t>
        </is>
      </c>
      <c r="H583" t="inlineStr">
        <is>
          <t>SCA</t>
        </is>
      </c>
      <c r="I583" t="n">
        <v>7.5</v>
      </c>
      <c r="J583" t="n">
        <v>0</v>
      </c>
      <c r="K583" t="n">
        <v>0</v>
      </c>
      <c r="L583" t="n">
        <v>0</v>
      </c>
      <c r="M583" t="n">
        <v>0</v>
      </c>
      <c r="N583" t="n">
        <v>0</v>
      </c>
      <c r="O583" t="n">
        <v>0</v>
      </c>
      <c r="P583" t="n">
        <v>0</v>
      </c>
      <c r="Q583" t="n">
        <v>0</v>
      </c>
      <c r="R583" t="n">
        <v>0</v>
      </c>
      <c r="S583" t="n">
        <v>0</v>
      </c>
      <c r="T583" t="n">
        <v>0</v>
      </c>
      <c r="U583" s="2" t="inlineStr"/>
    </row>
    <row r="584" ht="15" customHeight="1">
      <c r="A584" t="inlineStr">
        <is>
          <t>A 26901-2026</t>
        </is>
      </c>
      <c r="B584" t="inlineStr">
        <is>
          <t>avverkningsanmälan</t>
        </is>
      </c>
      <c r="C584" t="inlineStr">
        <is>
          <t>Föryngringsavverkning</t>
        </is>
      </c>
      <c r="D584" s="1" t="n">
        <v>46185</v>
      </c>
      <c r="E584" s="1" t="n">
        <v>46216</v>
      </c>
      <c r="F584" t="inlineStr">
        <is>
          <t>VÄSTERBOTTENS LÄN</t>
        </is>
      </c>
      <c r="G584" t="inlineStr">
        <is>
          <t>ÅSELE</t>
        </is>
      </c>
      <c r="H584" t="inlineStr">
        <is>
          <t>Holmen skog AB</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29736-2024</t>
        </is>
      </c>
      <c r="B585" t="inlineStr">
        <is>
          <t>avverkningsanmälan</t>
        </is>
      </c>
      <c r="C585" t="inlineStr">
        <is>
          <t>Föryngringsavverkning</t>
        </is>
      </c>
      <c r="D585" s="1" t="n">
        <v>45485</v>
      </c>
      <c r="E585" s="1" t="n">
        <v>46216</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s="2" t="inlineStr"/>
    </row>
    <row r="586" ht="15" customHeight="1">
      <c r="A586" t="inlineStr">
        <is>
          <t>A 20962-2026</t>
        </is>
      </c>
      <c r="B586" t="inlineStr">
        <is>
          <t>avverkningsanmälan</t>
        </is>
      </c>
      <c r="C586" t="inlineStr">
        <is>
          <t>Föryngringsavverkning</t>
        </is>
      </c>
      <c r="D586" s="1" t="n">
        <v>46142</v>
      </c>
      <c r="E586" s="1" t="n">
        <v>46216</v>
      </c>
      <c r="F586" t="inlineStr">
        <is>
          <t>VÄSTERBOTTENS LÄN</t>
        </is>
      </c>
      <c r="G586" t="inlineStr">
        <is>
          <t>ÅSELE</t>
        </is>
      </c>
      <c r="H586" t="inlineStr">
        <is>
          <t>Sveaskog</t>
        </is>
      </c>
      <c r="I586" t="n">
        <v>15.2</v>
      </c>
      <c r="J586" t="n">
        <v>0</v>
      </c>
      <c r="K586" t="n">
        <v>0</v>
      </c>
      <c r="L586" t="n">
        <v>0</v>
      </c>
      <c r="M586" t="n">
        <v>0</v>
      </c>
      <c r="N586" t="n">
        <v>0</v>
      </c>
      <c r="O586" t="n">
        <v>0</v>
      </c>
      <c r="P586" t="n">
        <v>0</v>
      </c>
      <c r="Q586" t="n">
        <v>0</v>
      </c>
      <c r="R586" t="n">
        <v>0</v>
      </c>
      <c r="S586" t="n">
        <v>0</v>
      </c>
      <c r="T586" t="n">
        <v>0</v>
      </c>
      <c r="U586" s="2" t="inlineStr"/>
    </row>
    <row r="587" ht="15" customHeight="1">
      <c r="A587" t="inlineStr">
        <is>
          <t>A 26677-2023</t>
        </is>
      </c>
      <c r="B587" t="inlineStr">
        <is>
          <t>avverkningsanmälan</t>
        </is>
      </c>
      <c r="C587" t="inlineStr">
        <is>
          <t>Föryngringsavverkning</t>
        </is>
      </c>
      <c r="D587" s="1" t="n">
        <v>45093</v>
      </c>
      <c r="E587" s="1" t="n">
        <v>46216</v>
      </c>
      <c r="F587" t="inlineStr">
        <is>
          <t>VÄSTERBOTTENS LÄN</t>
        </is>
      </c>
      <c r="G587" t="inlineStr">
        <is>
          <t>ÅSELE</t>
        </is>
      </c>
      <c r="H587" t="inlineStr">
        <is>
          <t>Sveaskog</t>
        </is>
      </c>
      <c r="I587" t="n">
        <v>3.3</v>
      </c>
      <c r="J587" t="n">
        <v>0</v>
      </c>
      <c r="K587" t="n">
        <v>0</v>
      </c>
      <c r="L587" t="n">
        <v>0</v>
      </c>
      <c r="M587" t="n">
        <v>0</v>
      </c>
      <c r="N587" t="n">
        <v>0</v>
      </c>
      <c r="O587" t="n">
        <v>0</v>
      </c>
      <c r="P587" t="n">
        <v>0</v>
      </c>
      <c r="Q587" t="n">
        <v>0</v>
      </c>
      <c r="R587" t="n">
        <v>0</v>
      </c>
      <c r="S587" t="n">
        <v>0</v>
      </c>
      <c r="T587" t="n">
        <v>0</v>
      </c>
      <c r="U587" s="2" t="inlineStr"/>
    </row>
    <row r="588" ht="15" customHeight="1">
      <c r="A588" t="inlineStr">
        <is>
          <t>A 20955-2026</t>
        </is>
      </c>
      <c r="B588" t="inlineStr">
        <is>
          <t>avverkningsanmälan</t>
        </is>
      </c>
      <c r="C588" t="inlineStr">
        <is>
          <t>Föryngringsavverkning</t>
        </is>
      </c>
      <c r="D588" s="1" t="n">
        <v>46142</v>
      </c>
      <c r="E588" s="1" t="n">
        <v>46216</v>
      </c>
      <c r="F588" t="inlineStr">
        <is>
          <t>VÄSTERBOTTENS LÄN</t>
        </is>
      </c>
      <c r="G588" t="inlineStr">
        <is>
          <t>ÅSELE</t>
        </is>
      </c>
      <c r="H588" t="inlineStr">
        <is>
          <t>Sveaskog</t>
        </is>
      </c>
      <c r="I588" t="n">
        <v>63</v>
      </c>
      <c r="J588" t="n">
        <v>0</v>
      </c>
      <c r="K588" t="n">
        <v>0</v>
      </c>
      <c r="L588" t="n">
        <v>0</v>
      </c>
      <c r="M588" t="n">
        <v>0</v>
      </c>
      <c r="N588" t="n">
        <v>0</v>
      </c>
      <c r="O588" t="n">
        <v>0</v>
      </c>
      <c r="P588" t="n">
        <v>0</v>
      </c>
      <c r="Q588" t="n">
        <v>0</v>
      </c>
      <c r="R588" t="n">
        <v>0</v>
      </c>
      <c r="S588" t="n">
        <v>0</v>
      </c>
      <c r="T588" t="n">
        <v>0</v>
      </c>
      <c r="U588" s="2" t="inlineStr"/>
    </row>
    <row r="589" ht="15" customHeight="1">
      <c r="A589" t="inlineStr">
        <is>
          <t>A 27033-2026</t>
        </is>
      </c>
      <c r="B589" t="inlineStr">
        <is>
          <t>avverkningsanmälan</t>
        </is>
      </c>
      <c r="C589" t="inlineStr">
        <is>
          <t>Föryngringsavverkning</t>
        </is>
      </c>
      <c r="D589" s="1" t="n">
        <v>46185</v>
      </c>
      <c r="E589" s="1" t="n">
        <v>46216</v>
      </c>
      <c r="F589" t="inlineStr">
        <is>
          <t>VÄSTERBOTTENS LÄN</t>
        </is>
      </c>
      <c r="G589" t="inlineStr">
        <is>
          <t>ÅSELE</t>
        </is>
      </c>
      <c r="H589" t="inlineStr">
        <is>
          <t>SCA</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27036-2026</t>
        </is>
      </c>
      <c r="B590" t="inlineStr">
        <is>
          <t>avverkningsanmälan</t>
        </is>
      </c>
      <c r="C590" t="inlineStr">
        <is>
          <t>Föryngringsavverkning</t>
        </is>
      </c>
      <c r="D590" s="1" t="n">
        <v>46185</v>
      </c>
      <c r="E590" s="1" t="n">
        <v>46216</v>
      </c>
      <c r="F590" t="inlineStr">
        <is>
          <t>VÄSTERBOTTENS LÄN</t>
        </is>
      </c>
      <c r="G590" t="inlineStr">
        <is>
          <t>ÅSELE</t>
        </is>
      </c>
      <c r="H590" t="inlineStr">
        <is>
          <t>SCA</t>
        </is>
      </c>
      <c r="I590" t="n">
        <v>5.2</v>
      </c>
      <c r="J590" t="n">
        <v>0</v>
      </c>
      <c r="K590" t="n">
        <v>0</v>
      </c>
      <c r="L590" t="n">
        <v>0</v>
      </c>
      <c r="M590" t="n">
        <v>0</v>
      </c>
      <c r="N590" t="n">
        <v>0</v>
      </c>
      <c r="O590" t="n">
        <v>0</v>
      </c>
      <c r="P590" t="n">
        <v>0</v>
      </c>
      <c r="Q590" t="n">
        <v>0</v>
      </c>
      <c r="R590" t="n">
        <v>0</v>
      </c>
      <c r="S590" t="n">
        <v>0</v>
      </c>
      <c r="T590" t="n">
        <v>0</v>
      </c>
      <c r="U590" s="2" t="inlineStr"/>
    </row>
    <row r="591" ht="15" customHeight="1">
      <c r="A591" t="inlineStr">
        <is>
          <t>A 38197-2024</t>
        </is>
      </c>
      <c r="B591" t="inlineStr">
        <is>
          <t>avverkningsanmälan</t>
        </is>
      </c>
      <c r="C591" t="inlineStr">
        <is>
          <t>Föryngringsavverkning</t>
        </is>
      </c>
      <c r="D591" s="1" t="n">
        <v>45545</v>
      </c>
      <c r="E591" s="1" t="n">
        <v>46216</v>
      </c>
      <c r="F591" t="inlineStr">
        <is>
          <t>VÄSTERBOTTENS LÄN</t>
        </is>
      </c>
      <c r="G591" t="inlineStr">
        <is>
          <t>ÅSELE</t>
        </is>
      </c>
      <c r="H591" t="inlineStr">
        <is>
          <t>Sveaskog</t>
        </is>
      </c>
      <c r="I591" t="n">
        <v>10.6</v>
      </c>
      <c r="J591" t="n">
        <v>0</v>
      </c>
      <c r="K591" t="n">
        <v>0</v>
      </c>
      <c r="L591" t="n">
        <v>0</v>
      </c>
      <c r="M591" t="n">
        <v>0</v>
      </c>
      <c r="N591" t="n">
        <v>0</v>
      </c>
      <c r="O591" t="n">
        <v>0</v>
      </c>
      <c r="P591" t="n">
        <v>0</v>
      </c>
      <c r="Q591" t="n">
        <v>0</v>
      </c>
      <c r="R591" t="n">
        <v>0</v>
      </c>
      <c r="S591" t="n">
        <v>0</v>
      </c>
      <c r="T591" t="n">
        <v>0</v>
      </c>
      <c r="U591" s="2" t="inlineStr"/>
    </row>
    <row r="592" ht="15" customHeight="1">
      <c r="A592" t="inlineStr">
        <is>
          <t>A 27049-2026</t>
        </is>
      </c>
      <c r="B592" t="inlineStr">
        <is>
          <t>avverkningsanmälan</t>
        </is>
      </c>
      <c r="C592" t="inlineStr">
        <is>
          <t>Föryngringsavverkning</t>
        </is>
      </c>
      <c r="D592" s="1" t="n">
        <v>46185</v>
      </c>
      <c r="E592" s="1" t="n">
        <v>46216</v>
      </c>
      <c r="F592" t="inlineStr">
        <is>
          <t>VÄSTERBOTTENS LÄN</t>
        </is>
      </c>
      <c r="G592" t="inlineStr">
        <is>
          <t>ÅSELE</t>
        </is>
      </c>
      <c r="H592" t="inlineStr">
        <is>
          <t>SCA</t>
        </is>
      </c>
      <c r="I592" t="n">
        <v>4.7</v>
      </c>
      <c r="J592" t="n">
        <v>0</v>
      </c>
      <c r="K592" t="n">
        <v>0</v>
      </c>
      <c r="L592" t="n">
        <v>0</v>
      </c>
      <c r="M592" t="n">
        <v>0</v>
      </c>
      <c r="N592" t="n">
        <v>0</v>
      </c>
      <c r="O592" t="n">
        <v>0</v>
      </c>
      <c r="P592" t="n">
        <v>0</v>
      </c>
      <c r="Q592" t="n">
        <v>0</v>
      </c>
      <c r="R592" t="n">
        <v>0</v>
      </c>
      <c r="S592" t="n">
        <v>0</v>
      </c>
      <c r="T592" t="n">
        <v>0</v>
      </c>
      <c r="U592" s="2" t="inlineStr"/>
    </row>
    <row r="593" ht="15" customHeight="1">
      <c r="A593" t="inlineStr">
        <is>
          <t>A 27050-2026</t>
        </is>
      </c>
      <c r="B593" t="inlineStr">
        <is>
          <t>avverkningsanmälan</t>
        </is>
      </c>
      <c r="C593" t="inlineStr">
        <is>
          <t>Föryngringsavverkning</t>
        </is>
      </c>
      <c r="D593" s="1" t="n">
        <v>46185</v>
      </c>
      <c r="E593" s="1" t="n">
        <v>46216</v>
      </c>
      <c r="F593" t="inlineStr">
        <is>
          <t>VÄSTERBOTTENS LÄN</t>
        </is>
      </c>
      <c r="G593" t="inlineStr">
        <is>
          <t>ÅSELE</t>
        </is>
      </c>
      <c r="H593" t="inlineStr">
        <is>
          <t>SCA</t>
        </is>
      </c>
      <c r="I593" t="n">
        <v>7.5</v>
      </c>
      <c r="J593" t="n">
        <v>0</v>
      </c>
      <c r="K593" t="n">
        <v>0</v>
      </c>
      <c r="L593" t="n">
        <v>0</v>
      </c>
      <c r="M593" t="n">
        <v>0</v>
      </c>
      <c r="N593" t="n">
        <v>0</v>
      </c>
      <c r="O593" t="n">
        <v>0</v>
      </c>
      <c r="P593" t="n">
        <v>0</v>
      </c>
      <c r="Q593" t="n">
        <v>0</v>
      </c>
      <c r="R593" t="n">
        <v>0</v>
      </c>
      <c r="S593" t="n">
        <v>0</v>
      </c>
      <c r="T593" t="n">
        <v>0</v>
      </c>
      <c r="U593" s="2" t="inlineStr"/>
    </row>
    <row r="594" ht="15" customHeight="1">
      <c r="A594" t="inlineStr">
        <is>
          <t>A 11320-2023</t>
        </is>
      </c>
      <c r="B594" t="inlineStr">
        <is>
          <t>avverkningsanmälan</t>
        </is>
      </c>
      <c r="C594" t="inlineStr">
        <is>
          <t>Föryngringsavverkning</t>
        </is>
      </c>
      <c r="D594" s="1" t="n">
        <v>44993</v>
      </c>
      <c r="E594" s="1" t="n">
        <v>46216</v>
      </c>
      <c r="F594" t="inlineStr">
        <is>
          <t>VÄSTERBOTTENS LÄN</t>
        </is>
      </c>
      <c r="G594" t="inlineStr">
        <is>
          <t>ÅSELE</t>
        </is>
      </c>
      <c r="H594" t="inlineStr">
        <is>
          <t>SCA</t>
        </is>
      </c>
      <c r="I594" t="n">
        <v>2.5</v>
      </c>
      <c r="J594" t="n">
        <v>0</v>
      </c>
      <c r="K594" t="n">
        <v>0</v>
      </c>
      <c r="L594" t="n">
        <v>0</v>
      </c>
      <c r="M594" t="n">
        <v>0</v>
      </c>
      <c r="N594" t="n">
        <v>0</v>
      </c>
      <c r="O594" t="n">
        <v>0</v>
      </c>
      <c r="P594" t="n">
        <v>0</v>
      </c>
      <c r="Q594" t="n">
        <v>0</v>
      </c>
      <c r="R594" t="n">
        <v>0</v>
      </c>
      <c r="S594" t="n">
        <v>0</v>
      </c>
      <c r="T594" t="n">
        <v>0</v>
      </c>
      <c r="U594" s="2" t="inlineStr"/>
    </row>
    <row r="595" ht="15" customHeight="1">
      <c r="A595" t="inlineStr">
        <is>
          <t>A 20985-2026</t>
        </is>
      </c>
      <c r="B595" t="inlineStr">
        <is>
          <t>avverkningsanmälan</t>
        </is>
      </c>
      <c r="C595" t="inlineStr">
        <is>
          <t>Föryngringsavverkning</t>
        </is>
      </c>
      <c r="D595" s="1" t="n">
        <v>46142</v>
      </c>
      <c r="E595" s="1" t="n">
        <v>46216</v>
      </c>
      <c r="F595" t="inlineStr">
        <is>
          <t>VÄSTERBOTTENS LÄN</t>
        </is>
      </c>
      <c r="G595" t="inlineStr">
        <is>
          <t>ÅSELE</t>
        </is>
      </c>
      <c r="H595" t="inlineStr">
        <is>
          <t>SCA</t>
        </is>
      </c>
      <c r="I595" t="n">
        <v>7.4</v>
      </c>
      <c r="J595" t="n">
        <v>0</v>
      </c>
      <c r="K595" t="n">
        <v>0</v>
      </c>
      <c r="L595" t="n">
        <v>0</v>
      </c>
      <c r="M595" t="n">
        <v>0</v>
      </c>
      <c r="N595" t="n">
        <v>0</v>
      </c>
      <c r="O595" t="n">
        <v>0</v>
      </c>
      <c r="P595" t="n">
        <v>0</v>
      </c>
      <c r="Q595" t="n">
        <v>0</v>
      </c>
      <c r="R595" t="n">
        <v>0</v>
      </c>
      <c r="S595" t="n">
        <v>0</v>
      </c>
      <c r="T595" t="n">
        <v>0</v>
      </c>
      <c r="U595" s="2" t="inlineStr"/>
    </row>
    <row r="596" ht="15" customHeight="1">
      <c r="A596" t="inlineStr">
        <is>
          <t>A 27034-2026</t>
        </is>
      </c>
      <c r="B596" t="inlineStr">
        <is>
          <t>avverkningsanmälan</t>
        </is>
      </c>
      <c r="C596" t="inlineStr">
        <is>
          <t>Föryngringsavverkning</t>
        </is>
      </c>
      <c r="D596" s="1" t="n">
        <v>46185</v>
      </c>
      <c r="E596" s="1" t="n">
        <v>46216</v>
      </c>
      <c r="F596" t="inlineStr">
        <is>
          <t>VÄSTERBOTTENS LÄN</t>
        </is>
      </c>
      <c r="G596" t="inlineStr">
        <is>
          <t>ÅSELE</t>
        </is>
      </c>
      <c r="H596" t="inlineStr">
        <is>
          <t>SCA</t>
        </is>
      </c>
      <c r="I596" t="n">
        <v>4.5</v>
      </c>
      <c r="J596" t="n">
        <v>0</v>
      </c>
      <c r="K596" t="n">
        <v>0</v>
      </c>
      <c r="L596" t="n">
        <v>0</v>
      </c>
      <c r="M596" t="n">
        <v>0</v>
      </c>
      <c r="N596" t="n">
        <v>0</v>
      </c>
      <c r="O596" t="n">
        <v>0</v>
      </c>
      <c r="P596" t="n">
        <v>0</v>
      </c>
      <c r="Q596" t="n">
        <v>0</v>
      </c>
      <c r="R596" t="n">
        <v>0</v>
      </c>
      <c r="S596" t="n">
        <v>0</v>
      </c>
      <c r="T596" t="n">
        <v>0</v>
      </c>
      <c r="U596" s="2" t="inlineStr"/>
    </row>
    <row r="597" ht="15" customHeight="1">
      <c r="A597" t="inlineStr">
        <is>
          <t>A 8722-2025</t>
        </is>
      </c>
      <c r="B597" t="inlineStr">
        <is>
          <t>avverkningsanmälan</t>
        </is>
      </c>
      <c r="C597" t="inlineStr">
        <is>
          <t>Föryngringsavverkning</t>
        </is>
      </c>
      <c r="D597" s="1" t="n">
        <v>45712</v>
      </c>
      <c r="E597" s="1" t="n">
        <v>46216</v>
      </c>
      <c r="F597" t="inlineStr">
        <is>
          <t>VÄSTERBOTTENS LÄN</t>
        </is>
      </c>
      <c r="G597" t="inlineStr">
        <is>
          <t>ÅSELE</t>
        </is>
      </c>
      <c r="H597" t="inlineStr">
        <is>
          <t>SCA</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27047-2026</t>
        </is>
      </c>
      <c r="B598" t="inlineStr">
        <is>
          <t>avverkningsanmälan</t>
        </is>
      </c>
      <c r="C598" t="inlineStr">
        <is>
          <t>Föryngringsavverkning</t>
        </is>
      </c>
      <c r="D598" s="1" t="n">
        <v>46185</v>
      </c>
      <c r="E598" s="1" t="n">
        <v>46216</v>
      </c>
      <c r="F598" t="inlineStr">
        <is>
          <t>VÄSTERBOTTENS LÄN</t>
        </is>
      </c>
      <c r="G598" t="inlineStr">
        <is>
          <t>ÅSELE</t>
        </is>
      </c>
      <c r="H598" t="inlineStr">
        <is>
          <t>SCA</t>
        </is>
      </c>
      <c r="I598" t="n">
        <v>9.199999999999999</v>
      </c>
      <c r="J598" t="n">
        <v>0</v>
      </c>
      <c r="K598" t="n">
        <v>0</v>
      </c>
      <c r="L598" t="n">
        <v>0</v>
      </c>
      <c r="M598" t="n">
        <v>0</v>
      </c>
      <c r="N598" t="n">
        <v>0</v>
      </c>
      <c r="O598" t="n">
        <v>0</v>
      </c>
      <c r="P598" t="n">
        <v>0</v>
      </c>
      <c r="Q598" t="n">
        <v>0</v>
      </c>
      <c r="R598" t="n">
        <v>0</v>
      </c>
      <c r="S598" t="n">
        <v>0</v>
      </c>
      <c r="T598" t="n">
        <v>0</v>
      </c>
      <c r="U598" s="2" t="inlineStr"/>
    </row>
    <row r="599" ht="15" customHeight="1">
      <c r="A599" t="inlineStr">
        <is>
          <t>A 27234-2026</t>
        </is>
      </c>
      <c r="B599" t="inlineStr">
        <is>
          <t>avverkningsanmälan</t>
        </is>
      </c>
      <c r="C599" t="inlineStr">
        <is>
          <t>Föryngringsavverkning</t>
        </is>
      </c>
      <c r="D599" s="1" t="n">
        <v>46188</v>
      </c>
      <c r="E599" s="1" t="n">
        <v>46216</v>
      </c>
      <c r="F599" t="inlineStr">
        <is>
          <t>VÄSTERBOTTENS LÄN</t>
        </is>
      </c>
      <c r="G599" t="inlineStr">
        <is>
          <t>ÅSELE</t>
        </is>
      </c>
      <c r="H599" t="inlineStr">
        <is>
          <t>SCA</t>
        </is>
      </c>
      <c r="I599" t="n">
        <v>9.9</v>
      </c>
      <c r="J599" t="n">
        <v>0</v>
      </c>
      <c r="K599" t="n">
        <v>0</v>
      </c>
      <c r="L599" t="n">
        <v>0</v>
      </c>
      <c r="M599" t="n">
        <v>0</v>
      </c>
      <c r="N599" t="n">
        <v>0</v>
      </c>
      <c r="O599" t="n">
        <v>0</v>
      </c>
      <c r="P599" t="n">
        <v>0</v>
      </c>
      <c r="Q599" t="n">
        <v>0</v>
      </c>
      <c r="R599" t="n">
        <v>0</v>
      </c>
      <c r="S599" t="n">
        <v>0</v>
      </c>
      <c r="T599" t="n">
        <v>0</v>
      </c>
      <c r="U599" s="2" t="inlineStr"/>
    </row>
    <row r="600" ht="15" customHeight="1">
      <c r="A600" t="inlineStr">
        <is>
          <t>A 53638-2022</t>
        </is>
      </c>
      <c r="B600" t="inlineStr">
        <is>
          <t>avverkningsanmälan</t>
        </is>
      </c>
      <c r="C600" t="inlineStr">
        <is>
          <t>Föryngringsavverkning</t>
        </is>
      </c>
      <c r="D600" s="1" t="n">
        <v>44879</v>
      </c>
      <c r="E600" s="1" t="n">
        <v>46216</v>
      </c>
      <c r="F600" t="inlineStr">
        <is>
          <t>VÄSTERBOTTENS LÄN</t>
        </is>
      </c>
      <c r="G600" t="inlineStr">
        <is>
          <t>ÅSELE</t>
        </is>
      </c>
      <c r="I600" t="n">
        <v>4.7</v>
      </c>
      <c r="J600" t="n">
        <v>0</v>
      </c>
      <c r="K600" t="n">
        <v>0</v>
      </c>
      <c r="L600" t="n">
        <v>0</v>
      </c>
      <c r="M600" t="n">
        <v>0</v>
      </c>
      <c r="N600" t="n">
        <v>0</v>
      </c>
      <c r="O600" t="n">
        <v>0</v>
      </c>
      <c r="P600" t="n">
        <v>0</v>
      </c>
      <c r="Q600" t="n">
        <v>0</v>
      </c>
      <c r="R600" t="n">
        <v>0</v>
      </c>
      <c r="S600" t="n">
        <v>0</v>
      </c>
      <c r="T600" t="n">
        <v>0</v>
      </c>
      <c r="U600" s="2" t="inlineStr"/>
    </row>
    <row r="601" ht="15" customHeight="1">
      <c r="A601" t="inlineStr">
        <is>
          <t>A 31402-2022</t>
        </is>
      </c>
      <c r="B601" t="inlineStr">
        <is>
          <t>avverkningsanmälan</t>
        </is>
      </c>
      <c r="C601" t="inlineStr">
        <is>
          <t>Föryngringsavverkning</t>
        </is>
      </c>
      <c r="D601" s="1" t="n">
        <v>44774</v>
      </c>
      <c r="E601" s="1" t="n">
        <v>46216</v>
      </c>
      <c r="F601" t="inlineStr">
        <is>
          <t>VÄSTERBOTTENS LÄN</t>
        </is>
      </c>
      <c r="G601" t="inlineStr">
        <is>
          <t>ÅSELE</t>
        </is>
      </c>
      <c r="I601" t="n">
        <v>7.7</v>
      </c>
      <c r="J601" t="n">
        <v>0</v>
      </c>
      <c r="K601" t="n">
        <v>0</v>
      </c>
      <c r="L601" t="n">
        <v>0</v>
      </c>
      <c r="M601" t="n">
        <v>0</v>
      </c>
      <c r="N601" t="n">
        <v>0</v>
      </c>
      <c r="O601" t="n">
        <v>0</v>
      </c>
      <c r="P601" t="n">
        <v>0</v>
      </c>
      <c r="Q601" t="n">
        <v>0</v>
      </c>
      <c r="R601" t="n">
        <v>0</v>
      </c>
      <c r="S601" t="n">
        <v>0</v>
      </c>
      <c r="T601" t="n">
        <v>0</v>
      </c>
      <c r="U601" s="2" t="inlineStr"/>
    </row>
    <row r="602" ht="15" customHeight="1">
      <c r="A602" t="inlineStr">
        <is>
          <t>A 27235-2026</t>
        </is>
      </c>
      <c r="B602" t="inlineStr">
        <is>
          <t>avverkningsanmälan</t>
        </is>
      </c>
      <c r="C602" t="inlineStr">
        <is>
          <t>Föryngringsavverkning</t>
        </is>
      </c>
      <c r="D602" s="1" t="n">
        <v>46188</v>
      </c>
      <c r="E602" s="1" t="n">
        <v>46216</v>
      </c>
      <c r="F602" t="inlineStr">
        <is>
          <t>VÄSTERBOTTENS LÄN</t>
        </is>
      </c>
      <c r="G602" t="inlineStr">
        <is>
          <t>ÅSELE</t>
        </is>
      </c>
      <c r="H602" t="inlineStr">
        <is>
          <t>SCA</t>
        </is>
      </c>
      <c r="I602" t="n">
        <v>11.1</v>
      </c>
      <c r="J602" t="n">
        <v>0</v>
      </c>
      <c r="K602" t="n">
        <v>0</v>
      </c>
      <c r="L602" t="n">
        <v>0</v>
      </c>
      <c r="M602" t="n">
        <v>0</v>
      </c>
      <c r="N602" t="n">
        <v>0</v>
      </c>
      <c r="O602" t="n">
        <v>0</v>
      </c>
      <c r="P602" t="n">
        <v>0</v>
      </c>
      <c r="Q602" t="n">
        <v>0</v>
      </c>
      <c r="R602" t="n">
        <v>0</v>
      </c>
      <c r="S602" t="n">
        <v>0</v>
      </c>
      <c r="T602" t="n">
        <v>0</v>
      </c>
      <c r="U602" s="2" t="inlineStr"/>
    </row>
    <row r="603" ht="15" customHeight="1">
      <c r="A603" t="inlineStr">
        <is>
          <t>A 54958-2024</t>
        </is>
      </c>
      <c r="B603" t="inlineStr">
        <is>
          <t>avverkningsanmälan</t>
        </is>
      </c>
      <c r="C603" t="inlineStr">
        <is>
          <t>Föryngringsavverkning</t>
        </is>
      </c>
      <c r="D603" s="1" t="n">
        <v>45619</v>
      </c>
      <c r="E603" s="1" t="n">
        <v>46216</v>
      </c>
      <c r="F603" t="inlineStr">
        <is>
          <t>VÄSTERBOTTENS LÄN</t>
        </is>
      </c>
      <c r="G603" t="inlineStr">
        <is>
          <t>ÅSELE</t>
        </is>
      </c>
      <c r="H603" t="inlineStr">
        <is>
          <t>SCA</t>
        </is>
      </c>
      <c r="I603" t="n">
        <v>1.9</v>
      </c>
      <c r="J603" t="n">
        <v>0</v>
      </c>
      <c r="K603" t="n">
        <v>0</v>
      </c>
      <c r="L603" t="n">
        <v>0</v>
      </c>
      <c r="M603" t="n">
        <v>0</v>
      </c>
      <c r="N603" t="n">
        <v>0</v>
      </c>
      <c r="O603" t="n">
        <v>0</v>
      </c>
      <c r="P603" t="n">
        <v>0</v>
      </c>
      <c r="Q603" t="n">
        <v>0</v>
      </c>
      <c r="R603" t="n">
        <v>0</v>
      </c>
      <c r="S603" t="n">
        <v>0</v>
      </c>
      <c r="T603" t="n">
        <v>0</v>
      </c>
      <c r="U603" s="2" t="inlineStr"/>
    </row>
    <row r="604" ht="15" customHeight="1">
      <c r="A604" t="inlineStr">
        <is>
          <t>A 13552-2024</t>
        </is>
      </c>
      <c r="B604" t="inlineStr">
        <is>
          <t>avverkningsanmälan</t>
        </is>
      </c>
      <c r="C604" t="inlineStr">
        <is>
          <t>Föryngringsavverkning</t>
        </is>
      </c>
      <c r="D604" s="1" t="n">
        <v>45387</v>
      </c>
      <c r="E604" s="1" t="n">
        <v>46216</v>
      </c>
      <c r="F604" t="inlineStr">
        <is>
          <t>VÄSTERBOTTENS LÄN</t>
        </is>
      </c>
      <c r="G604" t="inlineStr">
        <is>
          <t>ÅSELE</t>
        </is>
      </c>
      <c r="H604" t="inlineStr">
        <is>
          <t>SCA</t>
        </is>
      </c>
      <c r="I604" t="n">
        <v>42</v>
      </c>
      <c r="J604" t="n">
        <v>0</v>
      </c>
      <c r="K604" t="n">
        <v>0</v>
      </c>
      <c r="L604" t="n">
        <v>0</v>
      </c>
      <c r="M604" t="n">
        <v>0</v>
      </c>
      <c r="N604" t="n">
        <v>0</v>
      </c>
      <c r="O604" t="n">
        <v>0</v>
      </c>
      <c r="P604" t="n">
        <v>0</v>
      </c>
      <c r="Q604" t="n">
        <v>0</v>
      </c>
      <c r="R604" t="n">
        <v>0</v>
      </c>
      <c r="S604" t="n">
        <v>0</v>
      </c>
      <c r="T604" t="n">
        <v>0</v>
      </c>
      <c r="U604" s="2" t="inlineStr"/>
    </row>
    <row r="605" ht="15" customHeight="1">
      <c r="A605" t="inlineStr">
        <is>
          <t>A 21560-2026</t>
        </is>
      </c>
      <c r="B605" t="inlineStr">
        <is>
          <t>avverkningsanmälan</t>
        </is>
      </c>
      <c r="C605" t="inlineStr">
        <is>
          <t>Föryngringsavverkning</t>
        </is>
      </c>
      <c r="D605" s="1" t="n">
        <v>46148</v>
      </c>
      <c r="E605" s="1" t="n">
        <v>46216</v>
      </c>
      <c r="F605" t="inlineStr">
        <is>
          <t>VÄSTERBOTTENS LÄN</t>
        </is>
      </c>
      <c r="G605" t="inlineStr">
        <is>
          <t>ÅSELE</t>
        </is>
      </c>
      <c r="H605" t="inlineStr">
        <is>
          <t>Holmen skog AB</t>
        </is>
      </c>
      <c r="I605" t="n">
        <v>2.8</v>
      </c>
      <c r="J605" t="n">
        <v>0</v>
      </c>
      <c r="K605" t="n">
        <v>0</v>
      </c>
      <c r="L605" t="n">
        <v>0</v>
      </c>
      <c r="M605" t="n">
        <v>0</v>
      </c>
      <c r="N605" t="n">
        <v>0</v>
      </c>
      <c r="O605" t="n">
        <v>0</v>
      </c>
      <c r="P605" t="n">
        <v>0</v>
      </c>
      <c r="Q605" t="n">
        <v>0</v>
      </c>
      <c r="R605" t="n">
        <v>0</v>
      </c>
      <c r="S605" t="n">
        <v>0</v>
      </c>
      <c r="T605" t="n">
        <v>0</v>
      </c>
      <c r="U605" s="2" t="inlineStr"/>
    </row>
    <row r="606" ht="15" customHeight="1">
      <c r="A606" t="inlineStr">
        <is>
          <t>A 19330-2024</t>
        </is>
      </c>
      <c r="B606" t="inlineStr">
        <is>
          <t>avverkningsanmälan</t>
        </is>
      </c>
      <c r="C606" t="inlineStr">
        <is>
          <t>Föryngringsavverkning</t>
        </is>
      </c>
      <c r="D606" s="1" t="n">
        <v>45428</v>
      </c>
      <c r="E606" s="1" t="n">
        <v>46216</v>
      </c>
      <c r="F606" t="inlineStr">
        <is>
          <t>VÄSTERBOTTENS LÄN</t>
        </is>
      </c>
      <c r="G606" t="inlineStr">
        <is>
          <t>ÅSELE</t>
        </is>
      </c>
      <c r="H606" t="inlineStr">
        <is>
          <t>SCA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21537-2026</t>
        </is>
      </c>
      <c r="B607" t="inlineStr">
        <is>
          <t>avverkningsanmälan</t>
        </is>
      </c>
      <c r="C607" t="inlineStr">
        <is>
          <t>Föryngringsavverkning</t>
        </is>
      </c>
      <c r="D607" s="1" t="n">
        <v>46148</v>
      </c>
      <c r="E607" s="1" t="n">
        <v>46216</v>
      </c>
      <c r="F607" t="inlineStr">
        <is>
          <t>VÄSTERBOTTENS LÄN</t>
        </is>
      </c>
      <c r="G607" t="inlineStr">
        <is>
          <t>ÅSELE</t>
        </is>
      </c>
      <c r="H607" t="inlineStr">
        <is>
          <t>SCA</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45311-2024</t>
        </is>
      </c>
      <c r="B608" t="inlineStr">
        <is>
          <t>avverkningsanmälan</t>
        </is>
      </c>
      <c r="C608" t="inlineStr">
        <is>
          <t>Avverkning för annat ändamål</t>
        </is>
      </c>
      <c r="D608" s="1" t="n">
        <v>45576</v>
      </c>
      <c r="E608" s="1" t="n">
        <v>46216</v>
      </c>
      <c r="F608" t="inlineStr">
        <is>
          <t>VÄSTERBOTTENS LÄN</t>
        </is>
      </c>
      <c r="G608" t="inlineStr">
        <is>
          <t>ÅSELE</t>
        </is>
      </c>
      <c r="H608" t="inlineStr">
        <is>
          <t>Sveaskog</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17285-2025</t>
        </is>
      </c>
      <c r="B609" t="inlineStr">
        <is>
          <t>avverkningsanmälan</t>
        </is>
      </c>
      <c r="C609" t="inlineStr">
        <is>
          <t>Föryngringsavverkning</t>
        </is>
      </c>
      <c r="D609" s="1" t="n">
        <v>45756</v>
      </c>
      <c r="E609" s="1" t="n">
        <v>46216</v>
      </c>
      <c r="F609" t="inlineStr">
        <is>
          <t>VÄSTERBOTTENS LÄN</t>
        </is>
      </c>
      <c r="G609" t="inlineStr">
        <is>
          <t>ÅSELE</t>
        </is>
      </c>
      <c r="H609" t="inlineStr">
        <is>
          <t>SCA</t>
        </is>
      </c>
      <c r="I609" t="n">
        <v>5.9</v>
      </c>
      <c r="J609" t="n">
        <v>0</v>
      </c>
      <c r="K609" t="n">
        <v>0</v>
      </c>
      <c r="L609" t="n">
        <v>0</v>
      </c>
      <c r="M609" t="n">
        <v>0</v>
      </c>
      <c r="N609" t="n">
        <v>0</v>
      </c>
      <c r="O609" t="n">
        <v>0</v>
      </c>
      <c r="P609" t="n">
        <v>0</v>
      </c>
      <c r="Q609" t="n">
        <v>0</v>
      </c>
      <c r="R609" t="n">
        <v>0</v>
      </c>
      <c r="S609" t="n">
        <v>0</v>
      </c>
      <c r="T609" t="n">
        <v>0</v>
      </c>
      <c r="U609" s="2" t="inlineStr"/>
    </row>
    <row r="610" ht="15" customHeight="1">
      <c r="A610" t="inlineStr">
        <is>
          <t>A 61542-2024</t>
        </is>
      </c>
      <c r="B610" t="inlineStr">
        <is>
          <t>avverkningsanmälan</t>
        </is>
      </c>
      <c r="C610" t="inlineStr">
        <is>
          <t>Föryngringsavverkning</t>
        </is>
      </c>
      <c r="D610" s="1" t="n">
        <v>45645</v>
      </c>
      <c r="E610" s="1" t="n">
        <v>46216</v>
      </c>
      <c r="F610" t="inlineStr">
        <is>
          <t>VÄSTERBOTTENS LÄN</t>
        </is>
      </c>
      <c r="G610" t="inlineStr">
        <is>
          <t>ÅSELE</t>
        </is>
      </c>
      <c r="I610" t="n">
        <v>1.2</v>
      </c>
      <c r="J610" t="n">
        <v>0</v>
      </c>
      <c r="K610" t="n">
        <v>0</v>
      </c>
      <c r="L610" t="n">
        <v>0</v>
      </c>
      <c r="M610" t="n">
        <v>0</v>
      </c>
      <c r="N610" t="n">
        <v>0</v>
      </c>
      <c r="O610" t="n">
        <v>0</v>
      </c>
      <c r="P610" t="n">
        <v>0</v>
      </c>
      <c r="Q610" t="n">
        <v>0</v>
      </c>
      <c r="R610" t="n">
        <v>0</v>
      </c>
      <c r="S610" t="n">
        <v>0</v>
      </c>
      <c r="T610" t="n">
        <v>0</v>
      </c>
      <c r="U610" s="2" t="inlineStr"/>
    </row>
    <row r="611" ht="15" customHeight="1">
      <c r="A611" t="inlineStr">
        <is>
          <t>A 15777-2025</t>
        </is>
      </c>
      <c r="B611" t="inlineStr">
        <is>
          <t>avverkningsanmälan</t>
        </is>
      </c>
      <c r="C611" t="inlineStr">
        <is>
          <t>Föryngringsavverkning</t>
        </is>
      </c>
      <c r="D611" s="1" t="n">
        <v>45748</v>
      </c>
      <c r="E611" s="1" t="n">
        <v>46216</v>
      </c>
      <c r="F611" t="inlineStr">
        <is>
          <t>VÄSTERBOTTENS LÄN</t>
        </is>
      </c>
      <c r="G611" t="inlineStr">
        <is>
          <t>ÅSELE</t>
        </is>
      </c>
      <c r="I611" t="n">
        <v>8.199999999999999</v>
      </c>
      <c r="J611" t="n">
        <v>0</v>
      </c>
      <c r="K611" t="n">
        <v>0</v>
      </c>
      <c r="L611" t="n">
        <v>0</v>
      </c>
      <c r="M611" t="n">
        <v>0</v>
      </c>
      <c r="N611" t="n">
        <v>0</v>
      </c>
      <c r="O611" t="n">
        <v>0</v>
      </c>
      <c r="P611" t="n">
        <v>0</v>
      </c>
      <c r="Q611" t="n">
        <v>0</v>
      </c>
      <c r="R611" t="n">
        <v>0</v>
      </c>
      <c r="S611" t="n">
        <v>0</v>
      </c>
      <c r="T611" t="n">
        <v>0</v>
      </c>
      <c r="U611" s="2" t="inlineStr"/>
    </row>
    <row r="612" ht="15" customHeight="1">
      <c r="A612" t="inlineStr">
        <is>
          <t>A 30588-2024</t>
        </is>
      </c>
      <c r="B612" t="inlineStr">
        <is>
          <t>avverkningsanmälan</t>
        </is>
      </c>
      <c r="C612" t="inlineStr">
        <is>
          <t>Avverkning för att bevara och utveckla /försöksver</t>
        </is>
      </c>
      <c r="D612" s="1" t="n">
        <v>45492</v>
      </c>
      <c r="E612" s="1" t="n">
        <v>46216</v>
      </c>
      <c r="F612" t="inlineStr">
        <is>
          <t>VÄSTERBOTTENS LÄN</t>
        </is>
      </c>
      <c r="G612" t="inlineStr">
        <is>
          <t>ÅSELE</t>
        </is>
      </c>
      <c r="H612" t="inlineStr">
        <is>
          <t>SCA</t>
        </is>
      </c>
      <c r="I612" t="n">
        <v>1.7</v>
      </c>
      <c r="J612" t="n">
        <v>0</v>
      </c>
      <c r="K612" t="n">
        <v>0</v>
      </c>
      <c r="L612" t="n">
        <v>0</v>
      </c>
      <c r="M612" t="n">
        <v>0</v>
      </c>
      <c r="N612" t="n">
        <v>0</v>
      </c>
      <c r="O612" t="n">
        <v>0</v>
      </c>
      <c r="P612" t="n">
        <v>0</v>
      </c>
      <c r="Q612" t="n">
        <v>0</v>
      </c>
      <c r="R612" t="n">
        <v>0</v>
      </c>
      <c r="S612" t="n">
        <v>0</v>
      </c>
      <c r="T612" t="n">
        <v>0</v>
      </c>
      <c r="U612" s="2" t="inlineStr"/>
    </row>
    <row r="613" ht="15" customHeight="1">
      <c r="A613" t="inlineStr">
        <is>
          <t>A 7621-2025</t>
        </is>
      </c>
      <c r="B613" t="inlineStr">
        <is>
          <t>avverkningsanmälan</t>
        </is>
      </c>
      <c r="C613" t="inlineStr">
        <is>
          <t>Föryngringsavverkning</t>
        </is>
      </c>
      <c r="D613" s="1" t="n">
        <v>45705</v>
      </c>
      <c r="E613" s="1" t="n">
        <v>46216</v>
      </c>
      <c r="F613" t="inlineStr">
        <is>
          <t>VÄSTERBOTTENS LÄN</t>
        </is>
      </c>
      <c r="G613" t="inlineStr">
        <is>
          <t>ÅSELE</t>
        </is>
      </c>
      <c r="I613" t="n">
        <v>5.9</v>
      </c>
      <c r="J613" t="n">
        <v>0</v>
      </c>
      <c r="K613" t="n">
        <v>0</v>
      </c>
      <c r="L613" t="n">
        <v>0</v>
      </c>
      <c r="M613" t="n">
        <v>0</v>
      </c>
      <c r="N613" t="n">
        <v>0</v>
      </c>
      <c r="O613" t="n">
        <v>0</v>
      </c>
      <c r="P613" t="n">
        <v>0</v>
      </c>
      <c r="Q613" t="n">
        <v>0</v>
      </c>
      <c r="R613" t="n">
        <v>0</v>
      </c>
      <c r="S613" t="n">
        <v>0</v>
      </c>
      <c r="T613" t="n">
        <v>0</v>
      </c>
      <c r="U613" s="2" t="inlineStr"/>
    </row>
    <row r="614" ht="15" customHeight="1">
      <c r="A614" t="inlineStr">
        <is>
          <t>A 27934-2026</t>
        </is>
      </c>
      <c r="B614" t="inlineStr">
        <is>
          <t>avverkningsanmälan</t>
        </is>
      </c>
      <c r="C614" t="inlineStr">
        <is>
          <t>Föryngringsavverkning</t>
        </is>
      </c>
      <c r="D614" s="1" t="n">
        <v>46191</v>
      </c>
      <c r="E614" s="1" t="n">
        <v>46216</v>
      </c>
      <c r="F614" t="inlineStr">
        <is>
          <t>VÄSTERBOTTENS LÄN</t>
        </is>
      </c>
      <c r="G614" t="inlineStr">
        <is>
          <t>ÅSELE</t>
        </is>
      </c>
      <c r="H614" t="inlineStr">
        <is>
          <t>Kommuner</t>
        </is>
      </c>
      <c r="I614" t="n">
        <v>7.2</v>
      </c>
      <c r="J614" t="n">
        <v>0</v>
      </c>
      <c r="K614" t="n">
        <v>0</v>
      </c>
      <c r="L614" t="n">
        <v>0</v>
      </c>
      <c r="M614" t="n">
        <v>0</v>
      </c>
      <c r="N614" t="n">
        <v>0</v>
      </c>
      <c r="O614" t="n">
        <v>0</v>
      </c>
      <c r="P614" t="n">
        <v>0</v>
      </c>
      <c r="Q614" t="n">
        <v>0</v>
      </c>
      <c r="R614" t="n">
        <v>0</v>
      </c>
      <c r="S614" t="n">
        <v>0</v>
      </c>
      <c r="T614" t="n">
        <v>0</v>
      </c>
      <c r="U614" s="2" t="inlineStr"/>
    </row>
    <row r="615" ht="15" customHeight="1">
      <c r="A615" t="inlineStr">
        <is>
          <t>A 12359-2024</t>
        </is>
      </c>
      <c r="B615" t="inlineStr">
        <is>
          <t>avverkningsanmälan</t>
        </is>
      </c>
      <c r="C615" t="inlineStr">
        <is>
          <t>Föryngringsavverkning</t>
        </is>
      </c>
      <c r="D615" s="1" t="n">
        <v>45378</v>
      </c>
      <c r="E615" s="1" t="n">
        <v>46216</v>
      </c>
      <c r="F615" t="inlineStr">
        <is>
          <t>VÄSTERBOTTENS LÄN</t>
        </is>
      </c>
      <c r="G615" t="inlineStr">
        <is>
          <t>ÅSELE</t>
        </is>
      </c>
      <c r="H615" t="inlineStr">
        <is>
          <t>SCA</t>
        </is>
      </c>
      <c r="I615" t="n">
        <v>2</v>
      </c>
      <c r="J615" t="n">
        <v>0</v>
      </c>
      <c r="K615" t="n">
        <v>0</v>
      </c>
      <c r="L615" t="n">
        <v>0</v>
      </c>
      <c r="M615" t="n">
        <v>0</v>
      </c>
      <c r="N615" t="n">
        <v>0</v>
      </c>
      <c r="O615" t="n">
        <v>0</v>
      </c>
      <c r="P615" t="n">
        <v>0</v>
      </c>
      <c r="Q615" t="n">
        <v>0</v>
      </c>
      <c r="R615" t="n">
        <v>0</v>
      </c>
      <c r="S615" t="n">
        <v>0</v>
      </c>
      <c r="T615" t="n">
        <v>0</v>
      </c>
      <c r="U615" s="2" t="inlineStr"/>
    </row>
    <row r="616" ht="15" customHeight="1">
      <c r="A616" t="inlineStr">
        <is>
          <t>A 8878-2024</t>
        </is>
      </c>
      <c r="B616" t="inlineStr">
        <is>
          <t>avverkningsanmälan</t>
        </is>
      </c>
      <c r="C616" t="inlineStr">
        <is>
          <t>Föryngringsavverkning</t>
        </is>
      </c>
      <c r="D616" s="1" t="n">
        <v>45357</v>
      </c>
      <c r="E616" s="1" t="n">
        <v>46216</v>
      </c>
      <c r="F616" t="inlineStr">
        <is>
          <t>VÄSTERBOTTENS LÄN</t>
        </is>
      </c>
      <c r="G616" t="inlineStr">
        <is>
          <t>ÅSELE</t>
        </is>
      </c>
      <c r="H616" t="inlineStr">
        <is>
          <t>SCA</t>
        </is>
      </c>
      <c r="I616" t="n">
        <v>4.8</v>
      </c>
      <c r="J616" t="n">
        <v>0</v>
      </c>
      <c r="K616" t="n">
        <v>0</v>
      </c>
      <c r="L616" t="n">
        <v>0</v>
      </c>
      <c r="M616" t="n">
        <v>0</v>
      </c>
      <c r="N616" t="n">
        <v>0</v>
      </c>
      <c r="O616" t="n">
        <v>0</v>
      </c>
      <c r="P616" t="n">
        <v>0</v>
      </c>
      <c r="Q616" t="n">
        <v>0</v>
      </c>
      <c r="R616" t="n">
        <v>0</v>
      </c>
      <c r="S616" t="n">
        <v>0</v>
      </c>
      <c r="T616" t="n">
        <v>0</v>
      </c>
      <c r="U616" s="2" t="inlineStr"/>
    </row>
    <row r="617" ht="15" customHeight="1">
      <c r="A617" t="inlineStr">
        <is>
          <t>A 42910-2024</t>
        </is>
      </c>
      <c r="B617" t="inlineStr">
        <is>
          <t>avverkningsanmälan</t>
        </is>
      </c>
      <c r="C617" t="inlineStr">
        <is>
          <t>Avverkning för annat ändamål</t>
        </is>
      </c>
      <c r="D617" s="1" t="n">
        <v>45566</v>
      </c>
      <c r="E617" s="1" t="n">
        <v>46216</v>
      </c>
      <c r="F617" t="inlineStr">
        <is>
          <t>VÄSTERBOTTENS LÄN</t>
        </is>
      </c>
      <c r="G617" t="inlineStr">
        <is>
          <t>ÅSELE</t>
        </is>
      </c>
      <c r="H617" t="inlineStr">
        <is>
          <t>Sveaskog</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27933-2026</t>
        </is>
      </c>
      <c r="B618" t="inlineStr">
        <is>
          <t>avverkningsanmälan</t>
        </is>
      </c>
      <c r="C618" t="inlineStr">
        <is>
          <t>Föryngringsavverkning</t>
        </is>
      </c>
      <c r="D618" s="1" t="n">
        <v>46191</v>
      </c>
      <c r="E618" s="1" t="n">
        <v>46216</v>
      </c>
      <c r="F618" t="inlineStr">
        <is>
          <t>VÄSTERBOTTENS LÄN</t>
        </is>
      </c>
      <c r="G618" t="inlineStr">
        <is>
          <t>ÅSELE</t>
        </is>
      </c>
      <c r="H618" t="inlineStr">
        <is>
          <t>Kommuner</t>
        </is>
      </c>
      <c r="I618" t="n">
        <v>1.6</v>
      </c>
      <c r="J618" t="n">
        <v>0</v>
      </c>
      <c r="K618" t="n">
        <v>0</v>
      </c>
      <c r="L618" t="n">
        <v>0</v>
      </c>
      <c r="M618" t="n">
        <v>0</v>
      </c>
      <c r="N618" t="n">
        <v>0</v>
      </c>
      <c r="O618" t="n">
        <v>0</v>
      </c>
      <c r="P618" t="n">
        <v>0</v>
      </c>
      <c r="Q618" t="n">
        <v>0</v>
      </c>
      <c r="R618" t="n">
        <v>0</v>
      </c>
      <c r="S618" t="n">
        <v>0</v>
      </c>
      <c r="T618" t="n">
        <v>0</v>
      </c>
      <c r="U618" s="2" t="inlineStr"/>
    </row>
    <row r="619" ht="15" customHeight="1">
      <c r="A619" t="inlineStr">
        <is>
          <t>A 28139-2026</t>
        </is>
      </c>
      <c r="B619" t="inlineStr">
        <is>
          <t>avverkningsanmälan</t>
        </is>
      </c>
      <c r="C619" t="inlineStr">
        <is>
          <t>Föryngringsavverkning</t>
        </is>
      </c>
      <c r="D619" s="1" t="n">
        <v>46195</v>
      </c>
      <c r="E619" s="1" t="n">
        <v>46216</v>
      </c>
      <c r="F619" t="inlineStr">
        <is>
          <t>VÄSTERBOTTENS LÄN</t>
        </is>
      </c>
      <c r="G619" t="inlineStr">
        <is>
          <t>ÅSELE</t>
        </is>
      </c>
      <c r="H619" t="inlineStr">
        <is>
          <t>SCA</t>
        </is>
      </c>
      <c r="I619" t="n">
        <v>3</v>
      </c>
      <c r="J619" t="n">
        <v>0</v>
      </c>
      <c r="K619" t="n">
        <v>0</v>
      </c>
      <c r="L619" t="n">
        <v>0</v>
      </c>
      <c r="M619" t="n">
        <v>0</v>
      </c>
      <c r="N619" t="n">
        <v>0</v>
      </c>
      <c r="O619" t="n">
        <v>0</v>
      </c>
      <c r="P619" t="n">
        <v>0</v>
      </c>
      <c r="Q619" t="n">
        <v>0</v>
      </c>
      <c r="R619" t="n">
        <v>0</v>
      </c>
      <c r="S619" t="n">
        <v>0</v>
      </c>
      <c r="T619" t="n">
        <v>0</v>
      </c>
      <c r="U619" s="2" t="inlineStr"/>
    </row>
    <row r="620" ht="15" customHeight="1">
      <c r="A620" t="inlineStr">
        <is>
          <t>A 38350-2024</t>
        </is>
      </c>
      <c r="B620" t="inlineStr">
        <is>
          <t>avverkningsanmälan</t>
        </is>
      </c>
      <c r="C620" t="inlineStr">
        <is>
          <t>Föryngringsavverkning</t>
        </is>
      </c>
      <c r="D620" s="1" t="n">
        <v>45545</v>
      </c>
      <c r="E620" s="1" t="n">
        <v>46216</v>
      </c>
      <c r="F620" t="inlineStr">
        <is>
          <t>VÄSTERBOTTENS LÄN</t>
        </is>
      </c>
      <c r="G620" t="inlineStr">
        <is>
          <t>ÅSELE</t>
        </is>
      </c>
      <c r="H620" t="inlineStr">
        <is>
          <t>SCA</t>
        </is>
      </c>
      <c r="I620" t="n">
        <v>2.1</v>
      </c>
      <c r="J620" t="n">
        <v>0</v>
      </c>
      <c r="K620" t="n">
        <v>0</v>
      </c>
      <c r="L620" t="n">
        <v>0</v>
      </c>
      <c r="M620" t="n">
        <v>0</v>
      </c>
      <c r="N620" t="n">
        <v>0</v>
      </c>
      <c r="O620" t="n">
        <v>0</v>
      </c>
      <c r="P620" t="n">
        <v>0</v>
      </c>
      <c r="Q620" t="n">
        <v>0</v>
      </c>
      <c r="R620" t="n">
        <v>0</v>
      </c>
      <c r="S620" t="n">
        <v>0</v>
      </c>
      <c r="T620" t="n">
        <v>0</v>
      </c>
      <c r="U620" s="2" t="inlineStr"/>
    </row>
    <row r="621" ht="15" customHeight="1">
      <c r="A621" t="inlineStr">
        <is>
          <t>A 45477-2024</t>
        </is>
      </c>
      <c r="B621" t="inlineStr">
        <is>
          <t>avverkningsanmälan</t>
        </is>
      </c>
      <c r="C621" t="inlineStr">
        <is>
          <t>Föryngringsavverkning</t>
        </is>
      </c>
      <c r="D621" s="1" t="n">
        <v>45576</v>
      </c>
      <c r="E621" s="1" t="n">
        <v>46216</v>
      </c>
      <c r="F621" t="inlineStr">
        <is>
          <t>VÄSTERBOTTENS LÄN</t>
        </is>
      </c>
      <c r="G621" t="inlineStr">
        <is>
          <t>ÅSELE</t>
        </is>
      </c>
      <c r="H621" t="inlineStr">
        <is>
          <t>Sveaskog</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5012-2024</t>
        </is>
      </c>
      <c r="B622" t="inlineStr">
        <is>
          <t>avverkningsanmälan</t>
        </is>
      </c>
      <c r="C622" t="inlineStr">
        <is>
          <t>Föryngringsavverkning</t>
        </is>
      </c>
      <c r="D622" s="1" t="n">
        <v>45329</v>
      </c>
      <c r="E622" s="1" t="n">
        <v>46216</v>
      </c>
      <c r="F622" t="inlineStr">
        <is>
          <t>VÄSTERBOTTENS LÄN</t>
        </is>
      </c>
      <c r="G622" t="inlineStr">
        <is>
          <t>ÅSELE</t>
        </is>
      </c>
      <c r="H622" t="inlineStr">
        <is>
          <t>Övriga Aktiebolag</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34779-2024</t>
        </is>
      </c>
      <c r="B623" t="inlineStr">
        <is>
          <t>avverkningsanmälan</t>
        </is>
      </c>
      <c r="C623" t="inlineStr">
        <is>
          <t>Avverkning för att bevara och utveckla /försöksver</t>
        </is>
      </c>
      <c r="D623" s="1" t="n">
        <v>45526</v>
      </c>
      <c r="E623" s="1" t="n">
        <v>46216</v>
      </c>
      <c r="F623" t="inlineStr">
        <is>
          <t>VÄSTERBOTTENS LÄN</t>
        </is>
      </c>
      <c r="G623" t="inlineStr">
        <is>
          <t>ÅSELE</t>
        </is>
      </c>
      <c r="H623" t="inlineStr">
        <is>
          <t>SCA</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11534-2026</t>
        </is>
      </c>
      <c r="B624" t="inlineStr">
        <is>
          <t>avverkningsanmälan</t>
        </is>
      </c>
      <c r="C624" t="inlineStr">
        <is>
          <t>Föryngringsavverkning</t>
        </is>
      </c>
      <c r="D624" s="1" t="n">
        <v>46083</v>
      </c>
      <c r="E624" s="1" t="n">
        <v>46216</v>
      </c>
      <c r="F624" t="inlineStr">
        <is>
          <t>VÄSTERBOTTENS LÄN</t>
        </is>
      </c>
      <c r="G624" t="inlineStr">
        <is>
          <t>ÅSELE</t>
        </is>
      </c>
      <c r="I624" t="n">
        <v>14.2</v>
      </c>
      <c r="J624" t="n">
        <v>0</v>
      </c>
      <c r="K624" t="n">
        <v>0</v>
      </c>
      <c r="L624" t="n">
        <v>0</v>
      </c>
      <c r="M624" t="n">
        <v>0</v>
      </c>
      <c r="N624" t="n">
        <v>0</v>
      </c>
      <c r="O624" t="n">
        <v>0</v>
      </c>
      <c r="P624" t="n">
        <v>0</v>
      </c>
      <c r="Q624" t="n">
        <v>0</v>
      </c>
      <c r="R624" t="n">
        <v>0</v>
      </c>
      <c r="S624" t="n">
        <v>0</v>
      </c>
      <c r="T624" t="n">
        <v>0</v>
      </c>
      <c r="U624" s="2" t="inlineStr"/>
    </row>
    <row r="625" ht="15" customHeight="1">
      <c r="A625" t="inlineStr">
        <is>
          <t>A 27939-2024</t>
        </is>
      </c>
      <c r="B625" t="inlineStr">
        <is>
          <t>avverkningsanmälan</t>
        </is>
      </c>
      <c r="C625" t="inlineStr">
        <is>
          <t>Föryngringsavverkning</t>
        </is>
      </c>
      <c r="D625" s="1" t="n">
        <v>45476</v>
      </c>
      <c r="E625" s="1" t="n">
        <v>46216</v>
      </c>
      <c r="F625" t="inlineStr">
        <is>
          <t>VÄSTERBOTTENS LÄN</t>
        </is>
      </c>
      <c r="G625" t="inlineStr">
        <is>
          <t>ÅSELE</t>
        </is>
      </c>
      <c r="H625" t="inlineStr">
        <is>
          <t>Sveaskog</t>
        </is>
      </c>
      <c r="I625" t="n">
        <v>2.1</v>
      </c>
      <c r="J625" t="n">
        <v>0</v>
      </c>
      <c r="K625" t="n">
        <v>0</v>
      </c>
      <c r="L625" t="n">
        <v>0</v>
      </c>
      <c r="M625" t="n">
        <v>0</v>
      </c>
      <c r="N625" t="n">
        <v>0</v>
      </c>
      <c r="O625" t="n">
        <v>0</v>
      </c>
      <c r="P625" t="n">
        <v>0</v>
      </c>
      <c r="Q625" t="n">
        <v>0</v>
      </c>
      <c r="R625" t="n">
        <v>0</v>
      </c>
      <c r="S625" t="n">
        <v>0</v>
      </c>
      <c r="T625" t="n">
        <v>0</v>
      </c>
      <c r="U625" s="2" t="inlineStr"/>
    </row>
    <row r="626" ht="15" customHeight="1">
      <c r="A626" t="inlineStr">
        <is>
          <t>A 22129-2026</t>
        </is>
      </c>
      <c r="B626" t="inlineStr">
        <is>
          <t>avverkningsanmälan</t>
        </is>
      </c>
      <c r="C626" t="inlineStr">
        <is>
          <t>Föryngringsavverkning</t>
        </is>
      </c>
      <c r="D626" s="1" t="n">
        <v>46153</v>
      </c>
      <c r="E626" s="1" t="n">
        <v>46216</v>
      </c>
      <c r="F626" t="inlineStr">
        <is>
          <t>VÄSTERBOTTENS LÄN</t>
        </is>
      </c>
      <c r="G626" t="inlineStr">
        <is>
          <t>ÅSELE</t>
        </is>
      </c>
      <c r="H626" t="inlineStr">
        <is>
          <t>SCA</t>
        </is>
      </c>
      <c r="I626" t="n">
        <v>19</v>
      </c>
      <c r="J626" t="n">
        <v>0</v>
      </c>
      <c r="K626" t="n">
        <v>0</v>
      </c>
      <c r="L626" t="n">
        <v>0</v>
      </c>
      <c r="M626" t="n">
        <v>0</v>
      </c>
      <c r="N626" t="n">
        <v>0</v>
      </c>
      <c r="O626" t="n">
        <v>0</v>
      </c>
      <c r="P626" t="n">
        <v>0</v>
      </c>
      <c r="Q626" t="n">
        <v>0</v>
      </c>
      <c r="R626" t="n">
        <v>0</v>
      </c>
      <c r="S626" t="n">
        <v>0</v>
      </c>
      <c r="T626" t="n">
        <v>0</v>
      </c>
      <c r="U626" s="2" t="inlineStr"/>
    </row>
    <row r="627" ht="15" customHeight="1">
      <c r="A627" t="inlineStr">
        <is>
          <t>A 22130-2026</t>
        </is>
      </c>
      <c r="B627" t="inlineStr">
        <is>
          <t>avverkningsanmälan</t>
        </is>
      </c>
      <c r="C627" t="inlineStr">
        <is>
          <t>Föryngringsavverkning</t>
        </is>
      </c>
      <c r="D627" s="1" t="n">
        <v>46153</v>
      </c>
      <c r="E627" s="1" t="n">
        <v>46216</v>
      </c>
      <c r="F627" t="inlineStr">
        <is>
          <t>VÄSTERBOTTENS LÄN</t>
        </is>
      </c>
      <c r="G627" t="inlineStr">
        <is>
          <t>ÅSELE</t>
        </is>
      </c>
      <c r="H627" t="inlineStr">
        <is>
          <t>SCA</t>
        </is>
      </c>
      <c r="I627" t="n">
        <v>8.6</v>
      </c>
      <c r="J627" t="n">
        <v>0</v>
      </c>
      <c r="K627" t="n">
        <v>0</v>
      </c>
      <c r="L627" t="n">
        <v>0</v>
      </c>
      <c r="M627" t="n">
        <v>0</v>
      </c>
      <c r="N627" t="n">
        <v>0</v>
      </c>
      <c r="O627" t="n">
        <v>0</v>
      </c>
      <c r="P627" t="n">
        <v>0</v>
      </c>
      <c r="Q627" t="n">
        <v>0</v>
      </c>
      <c r="R627" t="n">
        <v>0</v>
      </c>
      <c r="S627" t="n">
        <v>0</v>
      </c>
      <c r="T627" t="n">
        <v>0</v>
      </c>
      <c r="U627" s="2" t="inlineStr"/>
    </row>
    <row r="628" ht="15" customHeight="1">
      <c r="A628" t="inlineStr">
        <is>
          <t>A 41583-2024</t>
        </is>
      </c>
      <c r="B628" t="inlineStr">
        <is>
          <t>avverkningsanmälan</t>
        </is>
      </c>
      <c r="C628" t="inlineStr">
        <is>
          <t>Föryngringsavverkning</t>
        </is>
      </c>
      <c r="D628" s="1" t="n">
        <v>45560</v>
      </c>
      <c r="E628" s="1" t="n">
        <v>46216</v>
      </c>
      <c r="F628" t="inlineStr">
        <is>
          <t>VÄSTERBOTTENS LÄN</t>
        </is>
      </c>
      <c r="G628" t="inlineStr">
        <is>
          <t>ÅSELE</t>
        </is>
      </c>
      <c r="H628" t="inlineStr">
        <is>
          <t>Holmen skog AB</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14167-2024</t>
        </is>
      </c>
      <c r="B629" t="inlineStr">
        <is>
          <t>avverkningsanmälan</t>
        </is>
      </c>
      <c r="C629" t="inlineStr">
        <is>
          <t>Föryngringsavverkning</t>
        </is>
      </c>
      <c r="D629" s="1" t="n">
        <v>45392</v>
      </c>
      <c r="E629" s="1" t="n">
        <v>46216</v>
      </c>
      <c r="F629" t="inlineStr">
        <is>
          <t>VÄSTERBOTTENS LÄN</t>
        </is>
      </c>
      <c r="G629" t="inlineStr">
        <is>
          <t>ÅSELE</t>
        </is>
      </c>
      <c r="H629" t="inlineStr">
        <is>
          <t>SCA</t>
        </is>
      </c>
      <c r="I629" t="n">
        <v>6.5</v>
      </c>
      <c r="J629" t="n">
        <v>0</v>
      </c>
      <c r="K629" t="n">
        <v>0</v>
      </c>
      <c r="L629" t="n">
        <v>0</v>
      </c>
      <c r="M629" t="n">
        <v>0</v>
      </c>
      <c r="N629" t="n">
        <v>0</v>
      </c>
      <c r="O629" t="n">
        <v>0</v>
      </c>
      <c r="P629" t="n">
        <v>0</v>
      </c>
      <c r="Q629" t="n">
        <v>0</v>
      </c>
      <c r="R629" t="n">
        <v>0</v>
      </c>
      <c r="S629" t="n">
        <v>0</v>
      </c>
      <c r="T629" t="n">
        <v>0</v>
      </c>
      <c r="U629" s="2" t="inlineStr"/>
    </row>
    <row r="630" ht="15" customHeight="1">
      <c r="A630" t="inlineStr">
        <is>
          <t>A 4921-2024</t>
        </is>
      </c>
      <c r="B630" t="inlineStr">
        <is>
          <t>avverkningsanmälan</t>
        </is>
      </c>
      <c r="C630" t="inlineStr">
        <is>
          <t>Föryngringsavverkning</t>
        </is>
      </c>
      <c r="D630" s="1" t="n">
        <v>45329</v>
      </c>
      <c r="E630" s="1" t="n">
        <v>46216</v>
      </c>
      <c r="F630" t="inlineStr">
        <is>
          <t>VÄSTERBOTTENS LÄN</t>
        </is>
      </c>
      <c r="G630" t="inlineStr">
        <is>
          <t>ÅSELE</t>
        </is>
      </c>
      <c r="H630" t="inlineStr">
        <is>
          <t>Övriga Aktiebolag</t>
        </is>
      </c>
      <c r="I630" t="n">
        <v>7.9</v>
      </c>
      <c r="J630" t="n">
        <v>0</v>
      </c>
      <c r="K630" t="n">
        <v>0</v>
      </c>
      <c r="L630" t="n">
        <v>0</v>
      </c>
      <c r="M630" t="n">
        <v>0</v>
      </c>
      <c r="N630" t="n">
        <v>0</v>
      </c>
      <c r="O630" t="n">
        <v>0</v>
      </c>
      <c r="P630" t="n">
        <v>0</v>
      </c>
      <c r="Q630" t="n">
        <v>0</v>
      </c>
      <c r="R630" t="n">
        <v>0</v>
      </c>
      <c r="S630" t="n">
        <v>0</v>
      </c>
      <c r="T630" t="n">
        <v>0</v>
      </c>
      <c r="U630" s="2" t="inlineStr"/>
    </row>
    <row r="631" ht="15" customHeight="1">
      <c r="A631" t="inlineStr">
        <is>
          <t>A 10760-2023</t>
        </is>
      </c>
      <c r="B631" t="inlineStr">
        <is>
          <t>avverkningsanmälan</t>
        </is>
      </c>
      <c r="C631" t="inlineStr">
        <is>
          <t>Föryngringsavverkning</t>
        </is>
      </c>
      <c r="D631" s="1" t="n">
        <v>44988</v>
      </c>
      <c r="E631" s="1" t="n">
        <v>46216</v>
      </c>
      <c r="F631" t="inlineStr">
        <is>
          <t>VÄSTERBOTTENS LÄN</t>
        </is>
      </c>
      <c r="G631" t="inlineStr">
        <is>
          <t>ÅSELE</t>
        </is>
      </c>
      <c r="I631" t="n">
        <v>0.3</v>
      </c>
      <c r="J631" t="n">
        <v>0</v>
      </c>
      <c r="K631" t="n">
        <v>0</v>
      </c>
      <c r="L631" t="n">
        <v>0</v>
      </c>
      <c r="M631" t="n">
        <v>0</v>
      </c>
      <c r="N631" t="n">
        <v>0</v>
      </c>
      <c r="O631" t="n">
        <v>0</v>
      </c>
      <c r="P631" t="n">
        <v>0</v>
      </c>
      <c r="Q631" t="n">
        <v>0</v>
      </c>
      <c r="R631" t="n">
        <v>0</v>
      </c>
      <c r="S631" t="n">
        <v>0</v>
      </c>
      <c r="T631" t="n">
        <v>0</v>
      </c>
      <c r="U631" s="2" t="inlineStr"/>
    </row>
    <row r="632" ht="15" customHeight="1">
      <c r="A632" t="inlineStr">
        <is>
          <t>A 10761-2023</t>
        </is>
      </c>
      <c r="B632" t="inlineStr">
        <is>
          <t>avverkningsanmälan</t>
        </is>
      </c>
      <c r="C632" t="inlineStr">
        <is>
          <t>Föryngringsavverkning</t>
        </is>
      </c>
      <c r="D632" s="1" t="n">
        <v>44988</v>
      </c>
      <c r="E632" s="1" t="n">
        <v>46216</v>
      </c>
      <c r="F632" t="inlineStr">
        <is>
          <t>VÄSTERBOTTENS LÄN</t>
        </is>
      </c>
      <c r="G632" t="inlineStr">
        <is>
          <t>ÅSELE</t>
        </is>
      </c>
      <c r="I632" t="n">
        <v>0.3</v>
      </c>
      <c r="J632" t="n">
        <v>0</v>
      </c>
      <c r="K632" t="n">
        <v>0</v>
      </c>
      <c r="L632" t="n">
        <v>0</v>
      </c>
      <c r="M632" t="n">
        <v>0</v>
      </c>
      <c r="N632" t="n">
        <v>0</v>
      </c>
      <c r="O632" t="n">
        <v>0</v>
      </c>
      <c r="P632" t="n">
        <v>0</v>
      </c>
      <c r="Q632" t="n">
        <v>0</v>
      </c>
      <c r="R632" t="n">
        <v>0</v>
      </c>
      <c r="S632" t="n">
        <v>0</v>
      </c>
      <c r="T632" t="n">
        <v>0</v>
      </c>
      <c r="U632" s="2" t="inlineStr"/>
    </row>
    <row r="633" ht="15" customHeight="1">
      <c r="A633" t="inlineStr">
        <is>
          <t>A 22521-2026</t>
        </is>
      </c>
      <c r="B633" t="inlineStr">
        <is>
          <t>avverkningsanmälan</t>
        </is>
      </c>
      <c r="C633" t="inlineStr">
        <is>
          <t>Föryngringsavverkning</t>
        </is>
      </c>
      <c r="D633" s="1" t="n">
        <v>46155</v>
      </c>
      <c r="E633" s="1" t="n">
        <v>46216</v>
      </c>
      <c r="F633" t="inlineStr">
        <is>
          <t>VÄSTERBOTTENS LÄN</t>
        </is>
      </c>
      <c r="G633" t="inlineStr">
        <is>
          <t>ÅSELE</t>
        </is>
      </c>
      <c r="H633" t="inlineStr">
        <is>
          <t>Kommuner</t>
        </is>
      </c>
      <c r="I633" t="n">
        <v>5</v>
      </c>
      <c r="J633" t="n">
        <v>0</v>
      </c>
      <c r="K633" t="n">
        <v>0</v>
      </c>
      <c r="L633" t="n">
        <v>0</v>
      </c>
      <c r="M633" t="n">
        <v>0</v>
      </c>
      <c r="N633" t="n">
        <v>0</v>
      </c>
      <c r="O633" t="n">
        <v>0</v>
      </c>
      <c r="P633" t="n">
        <v>0</v>
      </c>
      <c r="Q633" t="n">
        <v>0</v>
      </c>
      <c r="R633" t="n">
        <v>0</v>
      </c>
      <c r="S633" t="n">
        <v>0</v>
      </c>
      <c r="T633" t="n">
        <v>0</v>
      </c>
      <c r="U633" s="2" t="inlineStr"/>
    </row>
    <row r="634" ht="15" customHeight="1">
      <c r="A634" t="inlineStr">
        <is>
          <t>A 42560-2025</t>
        </is>
      </c>
      <c r="B634" t="inlineStr">
        <is>
          <t>avverkningsanmälan</t>
        </is>
      </c>
      <c r="C634" t="inlineStr">
        <is>
          <t>Föryngringsavverkning</t>
        </is>
      </c>
      <c r="D634" s="1" t="n">
        <v>45905</v>
      </c>
      <c r="E634" s="1" t="n">
        <v>46216</v>
      </c>
      <c r="F634" t="inlineStr">
        <is>
          <t>VÄSTERBOTTENS LÄN</t>
        </is>
      </c>
      <c r="G634" t="inlineStr">
        <is>
          <t>ÅSELE</t>
        </is>
      </c>
      <c r="I634" t="n">
        <v>6.3</v>
      </c>
      <c r="J634" t="n">
        <v>0</v>
      </c>
      <c r="K634" t="n">
        <v>0</v>
      </c>
      <c r="L634" t="n">
        <v>0</v>
      </c>
      <c r="M634" t="n">
        <v>0</v>
      </c>
      <c r="N634" t="n">
        <v>0</v>
      </c>
      <c r="O634" t="n">
        <v>0</v>
      </c>
      <c r="P634" t="n">
        <v>0</v>
      </c>
      <c r="Q634" t="n">
        <v>0</v>
      </c>
      <c r="R634" t="n">
        <v>0</v>
      </c>
      <c r="S634" t="n">
        <v>0</v>
      </c>
      <c r="T634" t="n">
        <v>0</v>
      </c>
      <c r="U634" s="2" t="inlineStr"/>
    </row>
    <row r="635" ht="15" customHeight="1">
      <c r="A635" t="inlineStr">
        <is>
          <t>A 54811-2025</t>
        </is>
      </c>
      <c r="B635" t="inlineStr">
        <is>
          <t>avverkningsanmälan</t>
        </is>
      </c>
      <c r="C635" t="inlineStr">
        <is>
          <t>Föryngringsavverkning</t>
        </is>
      </c>
      <c r="D635" s="1" t="n">
        <v>45966</v>
      </c>
      <c r="E635" s="1" t="n">
        <v>46216</v>
      </c>
      <c r="F635" t="inlineStr">
        <is>
          <t>VÄSTERBOTTENS LÄN</t>
        </is>
      </c>
      <c r="G635" t="inlineStr">
        <is>
          <t>ÅSELE</t>
        </is>
      </c>
      <c r="H635" t="inlineStr">
        <is>
          <t>Kommuner</t>
        </is>
      </c>
      <c r="I635" t="n">
        <v>13.7</v>
      </c>
      <c r="J635" t="n">
        <v>0</v>
      </c>
      <c r="K635" t="n">
        <v>0</v>
      </c>
      <c r="L635" t="n">
        <v>0</v>
      </c>
      <c r="M635" t="n">
        <v>0</v>
      </c>
      <c r="N635" t="n">
        <v>0</v>
      </c>
      <c r="O635" t="n">
        <v>0</v>
      </c>
      <c r="P635" t="n">
        <v>0</v>
      </c>
      <c r="Q635" t="n">
        <v>0</v>
      </c>
      <c r="R635" t="n">
        <v>0</v>
      </c>
      <c r="S635" t="n">
        <v>0</v>
      </c>
      <c r="T635" t="n">
        <v>0</v>
      </c>
      <c r="U635" s="2" t="inlineStr"/>
    </row>
    <row r="636" ht="15" customHeight="1">
      <c r="A636" t="inlineStr">
        <is>
          <t>A 55920-2023</t>
        </is>
      </c>
      <c r="B636" t="inlineStr">
        <is>
          <t>avverkningsanmälan</t>
        </is>
      </c>
      <c r="C636" t="inlineStr">
        <is>
          <t>Avverkning för att bevara och utveckla /försöksver</t>
        </is>
      </c>
      <c r="D636" s="1" t="n">
        <v>45239</v>
      </c>
      <c r="E636" s="1" t="n">
        <v>46216</v>
      </c>
      <c r="F636" t="inlineStr">
        <is>
          <t>VÄSTERBOTTENS LÄN</t>
        </is>
      </c>
      <c r="G636" t="inlineStr">
        <is>
          <t>ÅSELE</t>
        </is>
      </c>
      <c r="H636" t="inlineStr">
        <is>
          <t>SCA</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22519-2026</t>
        </is>
      </c>
      <c r="B637" t="inlineStr">
        <is>
          <t>avverkningsanmälan</t>
        </is>
      </c>
      <c r="C637" t="inlineStr">
        <is>
          <t>Föryngringsavverkning</t>
        </is>
      </c>
      <c r="D637" s="1" t="n">
        <v>46155</v>
      </c>
      <c r="E637" s="1" t="n">
        <v>46216</v>
      </c>
      <c r="F637" t="inlineStr">
        <is>
          <t>VÄSTERBOTTENS LÄN</t>
        </is>
      </c>
      <c r="G637" t="inlineStr">
        <is>
          <t>ÅSELE</t>
        </is>
      </c>
      <c r="H637" t="inlineStr">
        <is>
          <t>Kommuner</t>
        </is>
      </c>
      <c r="I637" t="n">
        <v>4</v>
      </c>
      <c r="J637" t="n">
        <v>0</v>
      </c>
      <c r="K637" t="n">
        <v>0</v>
      </c>
      <c r="L637" t="n">
        <v>0</v>
      </c>
      <c r="M637" t="n">
        <v>0</v>
      </c>
      <c r="N637" t="n">
        <v>0</v>
      </c>
      <c r="O637" t="n">
        <v>0</v>
      </c>
      <c r="P637" t="n">
        <v>0</v>
      </c>
      <c r="Q637" t="n">
        <v>0</v>
      </c>
      <c r="R637" t="n">
        <v>0</v>
      </c>
      <c r="S637" t="n">
        <v>0</v>
      </c>
      <c r="T637" t="n">
        <v>0</v>
      </c>
      <c r="U637" s="2" t="inlineStr"/>
    </row>
    <row r="638" ht="15" customHeight="1">
      <c r="A638" t="inlineStr">
        <is>
          <t>A 28087-2023</t>
        </is>
      </c>
      <c r="B638" t="inlineStr">
        <is>
          <t>avverkningsanmälan</t>
        </is>
      </c>
      <c r="C638" t="inlineStr">
        <is>
          <t>Avverkning för annat ändamål</t>
        </is>
      </c>
      <c r="D638" s="1" t="n">
        <v>45099</v>
      </c>
      <c r="E638" s="1" t="n">
        <v>46216</v>
      </c>
      <c r="F638" t="inlineStr">
        <is>
          <t>VÄSTERBOTTENS LÄN</t>
        </is>
      </c>
      <c r="G638" t="inlineStr">
        <is>
          <t>ÅSELE</t>
        </is>
      </c>
      <c r="H638" t="inlineStr">
        <is>
          <t>Holmen skog AB</t>
        </is>
      </c>
      <c r="I638" t="n">
        <v>2.3</v>
      </c>
      <c r="J638" t="n">
        <v>0</v>
      </c>
      <c r="K638" t="n">
        <v>0</v>
      </c>
      <c r="L638" t="n">
        <v>0</v>
      </c>
      <c r="M638" t="n">
        <v>0</v>
      </c>
      <c r="N638" t="n">
        <v>0</v>
      </c>
      <c r="O638" t="n">
        <v>0</v>
      </c>
      <c r="P638" t="n">
        <v>0</v>
      </c>
      <c r="Q638" t="n">
        <v>0</v>
      </c>
      <c r="R638" t="n">
        <v>0</v>
      </c>
      <c r="S638" t="n">
        <v>0</v>
      </c>
      <c r="T638" t="n">
        <v>0</v>
      </c>
      <c r="U638" s="2" t="inlineStr"/>
    </row>
    <row r="639" ht="15" customHeight="1">
      <c r="A639" t="inlineStr">
        <is>
          <t>A 22250-2026</t>
        </is>
      </c>
      <c r="B639" t="inlineStr">
        <is>
          <t>avverkningsanmälan</t>
        </is>
      </c>
      <c r="C639" t="inlineStr">
        <is>
          <t>Föryngringsavverkning</t>
        </is>
      </c>
      <c r="D639" s="1" t="n">
        <v>46154</v>
      </c>
      <c r="E639" s="1" t="n">
        <v>46216</v>
      </c>
      <c r="F639" t="inlineStr">
        <is>
          <t>VÄSTERBOTTENS LÄN</t>
        </is>
      </c>
      <c r="G639" t="inlineStr">
        <is>
          <t>ÅSELE</t>
        </is>
      </c>
      <c r="H639" t="inlineStr">
        <is>
          <t>SCA</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28589-2026</t>
        </is>
      </c>
      <c r="B640" t="inlineStr">
        <is>
          <t>avverkningsanmälan</t>
        </is>
      </c>
      <c r="C640" t="inlineStr">
        <is>
          <t>Föryngringsavverkning</t>
        </is>
      </c>
      <c r="D640" s="1" t="n">
        <v>46197</v>
      </c>
      <c r="E640" s="1" t="n">
        <v>46216</v>
      </c>
      <c r="F640" t="inlineStr">
        <is>
          <t>VÄSTERBOTTENS LÄN</t>
        </is>
      </c>
      <c r="G640" t="inlineStr">
        <is>
          <t>ÅSELE</t>
        </is>
      </c>
      <c r="H640" t="inlineStr">
        <is>
          <t>Holmen skog AB</t>
        </is>
      </c>
      <c r="I640" t="n">
        <v>10.6</v>
      </c>
      <c r="J640" t="n">
        <v>0</v>
      </c>
      <c r="K640" t="n">
        <v>0</v>
      </c>
      <c r="L640" t="n">
        <v>0</v>
      </c>
      <c r="M640" t="n">
        <v>0</v>
      </c>
      <c r="N640" t="n">
        <v>0</v>
      </c>
      <c r="O640" t="n">
        <v>0</v>
      </c>
      <c r="P640" t="n">
        <v>0</v>
      </c>
      <c r="Q640" t="n">
        <v>0</v>
      </c>
      <c r="R640" t="n">
        <v>0</v>
      </c>
      <c r="S640" t="n">
        <v>0</v>
      </c>
      <c r="T640" t="n">
        <v>0</v>
      </c>
      <c r="U640" s="2" t="inlineStr"/>
    </row>
    <row r="641" ht="15" customHeight="1">
      <c r="A641" t="inlineStr">
        <is>
          <t>A 29054-2023</t>
        </is>
      </c>
      <c r="B641" t="inlineStr">
        <is>
          <t>avverkningsanmälan</t>
        </is>
      </c>
      <c r="C641" t="inlineStr">
        <is>
          <t>Föryngringsavverkning</t>
        </is>
      </c>
      <c r="D641" s="1" t="n">
        <v>45104</v>
      </c>
      <c r="E641" s="1" t="n">
        <v>46216</v>
      </c>
      <c r="F641" t="inlineStr">
        <is>
          <t>VÄSTERBOTTENS LÄN</t>
        </is>
      </c>
      <c r="G641" t="inlineStr">
        <is>
          <t>ÅSELE</t>
        </is>
      </c>
      <c r="I641" t="n">
        <v>1.9</v>
      </c>
      <c r="J641" t="n">
        <v>0</v>
      </c>
      <c r="K641" t="n">
        <v>0</v>
      </c>
      <c r="L641" t="n">
        <v>0</v>
      </c>
      <c r="M641" t="n">
        <v>0</v>
      </c>
      <c r="N641" t="n">
        <v>0</v>
      </c>
      <c r="O641" t="n">
        <v>0</v>
      </c>
      <c r="P641" t="n">
        <v>0</v>
      </c>
      <c r="Q641" t="n">
        <v>0</v>
      </c>
      <c r="R641" t="n">
        <v>0</v>
      </c>
      <c r="S641" t="n">
        <v>0</v>
      </c>
      <c r="T641" t="n">
        <v>0</v>
      </c>
      <c r="U641" s="2" t="inlineStr"/>
    </row>
    <row r="642" ht="15" customHeight="1">
      <c r="A642" t="inlineStr">
        <is>
          <t>A 29055-2023</t>
        </is>
      </c>
      <c r="B642" t="inlineStr">
        <is>
          <t>avverkningsanmälan</t>
        </is>
      </c>
      <c r="C642" t="inlineStr">
        <is>
          <t>Föryngringsavverkning</t>
        </is>
      </c>
      <c r="D642" s="1" t="n">
        <v>45104</v>
      </c>
      <c r="E642" s="1" t="n">
        <v>46216</v>
      </c>
      <c r="F642" t="inlineStr">
        <is>
          <t>VÄSTERBOTTENS LÄN</t>
        </is>
      </c>
      <c r="G642" t="inlineStr">
        <is>
          <t>ÅSELE</t>
        </is>
      </c>
      <c r="I642" t="n">
        <v>3.5</v>
      </c>
      <c r="J642" t="n">
        <v>0</v>
      </c>
      <c r="K642" t="n">
        <v>0</v>
      </c>
      <c r="L642" t="n">
        <v>0</v>
      </c>
      <c r="M642" t="n">
        <v>0</v>
      </c>
      <c r="N642" t="n">
        <v>0</v>
      </c>
      <c r="O642" t="n">
        <v>0</v>
      </c>
      <c r="P642" t="n">
        <v>0</v>
      </c>
      <c r="Q642" t="n">
        <v>0</v>
      </c>
      <c r="R642" t="n">
        <v>0</v>
      </c>
      <c r="S642" t="n">
        <v>0</v>
      </c>
      <c r="T642" t="n">
        <v>0</v>
      </c>
      <c r="U642" s="2" t="inlineStr"/>
    </row>
    <row r="643" ht="15" customHeight="1">
      <c r="A643" t="inlineStr">
        <is>
          <t>A 20276-2025</t>
        </is>
      </c>
      <c r="B643" t="inlineStr">
        <is>
          <t>avverkningsanmälan</t>
        </is>
      </c>
      <c r="C643" t="inlineStr">
        <is>
          <t>Föryngringsavverkning</t>
        </is>
      </c>
      <c r="D643" s="1" t="n">
        <v>45774</v>
      </c>
      <c r="E643" s="1" t="n">
        <v>46216</v>
      </c>
      <c r="F643" t="inlineStr">
        <is>
          <t>VÄSTERBOTTENS LÄN</t>
        </is>
      </c>
      <c r="G643" t="inlineStr">
        <is>
          <t>ÅSELE</t>
        </is>
      </c>
      <c r="I643" t="n">
        <v>16.3</v>
      </c>
      <c r="J643" t="n">
        <v>0</v>
      </c>
      <c r="K643" t="n">
        <v>0</v>
      </c>
      <c r="L643" t="n">
        <v>0</v>
      </c>
      <c r="M643" t="n">
        <v>0</v>
      </c>
      <c r="N643" t="n">
        <v>0</v>
      </c>
      <c r="O643" t="n">
        <v>0</v>
      </c>
      <c r="P643" t="n">
        <v>0</v>
      </c>
      <c r="Q643" t="n">
        <v>0</v>
      </c>
      <c r="R643" t="n">
        <v>0</v>
      </c>
      <c r="S643" t="n">
        <v>0</v>
      </c>
      <c r="T643" t="n">
        <v>0</v>
      </c>
      <c r="U643" s="2" t="inlineStr"/>
    </row>
    <row r="644" ht="15" customHeight="1">
      <c r="A644" t="inlineStr">
        <is>
          <t>A 32993-2023</t>
        </is>
      </c>
      <c r="B644" t="inlineStr">
        <is>
          <t>avverkningsanmälan</t>
        </is>
      </c>
      <c r="C644" t="inlineStr">
        <is>
          <t>Föryngringsavverkning</t>
        </is>
      </c>
      <c r="D644" s="1" t="n">
        <v>45113</v>
      </c>
      <c r="E644" s="1" t="n">
        <v>46216</v>
      </c>
      <c r="F644" t="inlineStr">
        <is>
          <t>VÄSTERBOTTENS LÄN</t>
        </is>
      </c>
      <c r="G644" t="inlineStr">
        <is>
          <t>ÅSELE</t>
        </is>
      </c>
      <c r="I644" t="n">
        <v>3.2</v>
      </c>
      <c r="J644" t="n">
        <v>0</v>
      </c>
      <c r="K644" t="n">
        <v>0</v>
      </c>
      <c r="L644" t="n">
        <v>0</v>
      </c>
      <c r="M644" t="n">
        <v>0</v>
      </c>
      <c r="N644" t="n">
        <v>0</v>
      </c>
      <c r="O644" t="n">
        <v>0</v>
      </c>
      <c r="P644" t="n">
        <v>0</v>
      </c>
      <c r="Q644" t="n">
        <v>0</v>
      </c>
      <c r="R644" t="n">
        <v>0</v>
      </c>
      <c r="S644" t="n">
        <v>0</v>
      </c>
      <c r="T644" t="n">
        <v>0</v>
      </c>
      <c r="U644" s="2" t="inlineStr"/>
    </row>
    <row r="645" ht="15" customHeight="1">
      <c r="A645" t="inlineStr">
        <is>
          <t>A 28991-2026</t>
        </is>
      </c>
      <c r="B645" t="inlineStr">
        <is>
          <t>avverkningsanmälan</t>
        </is>
      </c>
      <c r="C645" t="inlineStr">
        <is>
          <t>Föryngringsavverkning</t>
        </is>
      </c>
      <c r="D645" s="1" t="n">
        <v>46199</v>
      </c>
      <c r="E645" s="1" t="n">
        <v>46216</v>
      </c>
      <c r="F645" t="inlineStr">
        <is>
          <t>VÄSTERBOTTENS LÄN</t>
        </is>
      </c>
      <c r="G645" t="inlineStr">
        <is>
          <t>ÅSELE</t>
        </is>
      </c>
      <c r="I645" t="n">
        <v>3.7</v>
      </c>
      <c r="J645" t="n">
        <v>0</v>
      </c>
      <c r="K645" t="n">
        <v>0</v>
      </c>
      <c r="L645" t="n">
        <v>0</v>
      </c>
      <c r="M645" t="n">
        <v>0</v>
      </c>
      <c r="N645" t="n">
        <v>0</v>
      </c>
      <c r="O645" t="n">
        <v>0</v>
      </c>
      <c r="P645" t="n">
        <v>0</v>
      </c>
      <c r="Q645" t="n">
        <v>0</v>
      </c>
      <c r="R645" t="n">
        <v>0</v>
      </c>
      <c r="S645" t="n">
        <v>0</v>
      </c>
      <c r="T645" t="n">
        <v>0</v>
      </c>
      <c r="U645" s="2" t="inlineStr"/>
    </row>
    <row r="646" ht="15" customHeight="1">
      <c r="A646" t="inlineStr">
        <is>
          <t>A 4901-2024</t>
        </is>
      </c>
      <c r="B646" t="inlineStr">
        <is>
          <t>avverkningsanmälan</t>
        </is>
      </c>
      <c r="C646" t="inlineStr">
        <is>
          <t>Föryngringsavverkning</t>
        </is>
      </c>
      <c r="D646" s="1" t="n">
        <v>45329</v>
      </c>
      <c r="E646" s="1" t="n">
        <v>46216</v>
      </c>
      <c r="F646" t="inlineStr">
        <is>
          <t>VÄSTERBOTTENS LÄN</t>
        </is>
      </c>
      <c r="G646" t="inlineStr">
        <is>
          <t>ÅSELE</t>
        </is>
      </c>
      <c r="H646" t="inlineStr">
        <is>
          <t>Övriga Aktiebolag</t>
        </is>
      </c>
      <c r="I646" t="n">
        <v>3.9</v>
      </c>
      <c r="J646" t="n">
        <v>0</v>
      </c>
      <c r="K646" t="n">
        <v>0</v>
      </c>
      <c r="L646" t="n">
        <v>0</v>
      </c>
      <c r="M646" t="n">
        <v>0</v>
      </c>
      <c r="N646" t="n">
        <v>0</v>
      </c>
      <c r="O646" t="n">
        <v>0</v>
      </c>
      <c r="P646" t="n">
        <v>0</v>
      </c>
      <c r="Q646" t="n">
        <v>0</v>
      </c>
      <c r="R646" t="n">
        <v>0</v>
      </c>
      <c r="S646" t="n">
        <v>0</v>
      </c>
      <c r="T646" t="n">
        <v>0</v>
      </c>
      <c r="U646" s="2" t="inlineStr"/>
    </row>
    <row r="647" ht="15" customHeight="1">
      <c r="A647" t="inlineStr">
        <is>
          <t>A 41411-2023</t>
        </is>
      </c>
      <c r="B647" t="inlineStr">
        <is>
          <t>avverkningsanmälan</t>
        </is>
      </c>
      <c r="C647" t="inlineStr">
        <is>
          <t>Föryngringsavverkning</t>
        </is>
      </c>
      <c r="D647" s="1" t="n">
        <v>45174</v>
      </c>
      <c r="E647" s="1" t="n">
        <v>46216</v>
      </c>
      <c r="F647" t="inlineStr">
        <is>
          <t>VÄSTERBOTTENS LÄN</t>
        </is>
      </c>
      <c r="G647" t="inlineStr">
        <is>
          <t>ÅSELE</t>
        </is>
      </c>
      <c r="H647" t="inlineStr">
        <is>
          <t>SCA</t>
        </is>
      </c>
      <c r="I647" t="n">
        <v>12.7</v>
      </c>
      <c r="J647" t="n">
        <v>0</v>
      </c>
      <c r="K647" t="n">
        <v>0</v>
      </c>
      <c r="L647" t="n">
        <v>0</v>
      </c>
      <c r="M647" t="n">
        <v>0</v>
      </c>
      <c r="N647" t="n">
        <v>0</v>
      </c>
      <c r="O647" t="n">
        <v>0</v>
      </c>
      <c r="P647" t="n">
        <v>0</v>
      </c>
      <c r="Q647" t="n">
        <v>0</v>
      </c>
      <c r="R647" t="n">
        <v>0</v>
      </c>
      <c r="S647" t="n">
        <v>0</v>
      </c>
      <c r="T647" t="n">
        <v>0</v>
      </c>
      <c r="U647" s="2" t="inlineStr"/>
    </row>
    <row r="648" ht="15" customHeight="1">
      <c r="A648" t="inlineStr">
        <is>
          <t>A 26395-2023</t>
        </is>
      </c>
      <c r="B648" t="inlineStr">
        <is>
          <t>avverkningsanmälan</t>
        </is>
      </c>
      <c r="C648" t="inlineStr">
        <is>
          <t>Föryngringsavverkning</t>
        </is>
      </c>
      <c r="D648" s="1" t="n">
        <v>45092</v>
      </c>
      <c r="E648" s="1" t="n">
        <v>46216</v>
      </c>
      <c r="F648" t="inlineStr">
        <is>
          <t>VÄSTERBOTTENS LÄN</t>
        </is>
      </c>
      <c r="G648" t="inlineStr">
        <is>
          <t>ÅSELE</t>
        </is>
      </c>
      <c r="H648" t="inlineStr">
        <is>
          <t>Holmen skog AB</t>
        </is>
      </c>
      <c r="I648" t="n">
        <v>4.1</v>
      </c>
      <c r="J648" t="n">
        <v>0</v>
      </c>
      <c r="K648" t="n">
        <v>0</v>
      </c>
      <c r="L648" t="n">
        <v>0</v>
      </c>
      <c r="M648" t="n">
        <v>0</v>
      </c>
      <c r="N648" t="n">
        <v>0</v>
      </c>
      <c r="O648" t="n">
        <v>0</v>
      </c>
      <c r="P648" t="n">
        <v>0</v>
      </c>
      <c r="Q648" t="n">
        <v>0</v>
      </c>
      <c r="R648" t="n">
        <v>0</v>
      </c>
      <c r="S648" t="n">
        <v>0</v>
      </c>
      <c r="T648" t="n">
        <v>0</v>
      </c>
      <c r="U648" s="2" t="inlineStr"/>
    </row>
    <row r="649" ht="15" customHeight="1">
      <c r="A649" t="inlineStr">
        <is>
          <t>A 29049-2026</t>
        </is>
      </c>
      <c r="B649" t="inlineStr">
        <is>
          <t>avverkningsanmälan</t>
        </is>
      </c>
      <c r="C649" t="inlineStr">
        <is>
          <t>Föryngringsavverkning</t>
        </is>
      </c>
      <c r="D649" s="1" t="n">
        <v>46199</v>
      </c>
      <c r="E649" s="1" t="n">
        <v>46216</v>
      </c>
      <c r="F649" t="inlineStr">
        <is>
          <t>VÄSTERBOTTENS LÄN</t>
        </is>
      </c>
      <c r="G649" t="inlineStr">
        <is>
          <t>ÅSELE</t>
        </is>
      </c>
      <c r="I649" t="n">
        <v>10.1</v>
      </c>
      <c r="J649" t="n">
        <v>0</v>
      </c>
      <c r="K649" t="n">
        <v>0</v>
      </c>
      <c r="L649" t="n">
        <v>0</v>
      </c>
      <c r="M649" t="n">
        <v>0</v>
      </c>
      <c r="N649" t="n">
        <v>0</v>
      </c>
      <c r="O649" t="n">
        <v>0</v>
      </c>
      <c r="P649" t="n">
        <v>0</v>
      </c>
      <c r="Q649" t="n">
        <v>0</v>
      </c>
      <c r="R649" t="n">
        <v>0</v>
      </c>
      <c r="S649" t="n">
        <v>0</v>
      </c>
      <c r="T649" t="n">
        <v>0</v>
      </c>
      <c r="U649" s="2" t="inlineStr"/>
    </row>
    <row r="650" ht="15" customHeight="1">
      <c r="A650" t="inlineStr">
        <is>
          <t>A 28805-2026</t>
        </is>
      </c>
      <c r="B650" t="inlineStr">
        <is>
          <t>avverkningsanmälan</t>
        </is>
      </c>
      <c r="C650" t="inlineStr">
        <is>
          <t>Föryngringsavverkning</t>
        </is>
      </c>
      <c r="D650" s="1" t="n">
        <v>46198</v>
      </c>
      <c r="E650" s="1" t="n">
        <v>46216</v>
      </c>
      <c r="F650" t="inlineStr">
        <is>
          <t>VÄSTERBOTTENS LÄN</t>
        </is>
      </c>
      <c r="G650" t="inlineStr">
        <is>
          <t>ÅSELE</t>
        </is>
      </c>
      <c r="H650" t="inlineStr">
        <is>
          <t>Holmen skog AB</t>
        </is>
      </c>
      <c r="I650" t="n">
        <v>7.1</v>
      </c>
      <c r="J650" t="n">
        <v>0</v>
      </c>
      <c r="K650" t="n">
        <v>0</v>
      </c>
      <c r="L650" t="n">
        <v>0</v>
      </c>
      <c r="M650" t="n">
        <v>0</v>
      </c>
      <c r="N650" t="n">
        <v>0</v>
      </c>
      <c r="O650" t="n">
        <v>0</v>
      </c>
      <c r="P650" t="n">
        <v>0</v>
      </c>
      <c r="Q650" t="n">
        <v>0</v>
      </c>
      <c r="R650" t="n">
        <v>0</v>
      </c>
      <c r="S650" t="n">
        <v>0</v>
      </c>
      <c r="T650" t="n">
        <v>0</v>
      </c>
      <c r="U650" s="2" t="inlineStr"/>
    </row>
    <row r="651" ht="15" customHeight="1">
      <c r="A651" t="inlineStr">
        <is>
          <t>A 41427-2024</t>
        </is>
      </c>
      <c r="B651" t="inlineStr">
        <is>
          <t>avverkningsanmälan</t>
        </is>
      </c>
      <c r="C651" t="inlineStr">
        <is>
          <t>Föryngringsavverkning</t>
        </is>
      </c>
      <c r="D651" s="1" t="n">
        <v>45560</v>
      </c>
      <c r="E651" s="1" t="n">
        <v>46216</v>
      </c>
      <c r="F651" t="inlineStr">
        <is>
          <t>VÄSTERBOTTENS LÄN</t>
        </is>
      </c>
      <c r="G651" t="inlineStr">
        <is>
          <t>ÅSELE</t>
        </is>
      </c>
      <c r="H651" t="inlineStr">
        <is>
          <t>Sveaskog</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28939-2024</t>
        </is>
      </c>
      <c r="B652" t="inlineStr">
        <is>
          <t>avverkningsanmälan</t>
        </is>
      </c>
      <c r="C652" t="inlineStr">
        <is>
          <t>Föryngringsavverkning</t>
        </is>
      </c>
      <c r="D652" s="1" t="n">
        <v>45481</v>
      </c>
      <c r="E652" s="1" t="n">
        <v>46216</v>
      </c>
      <c r="F652" t="inlineStr">
        <is>
          <t>VÄSTERBOTTENS LÄN</t>
        </is>
      </c>
      <c r="G652" t="inlineStr">
        <is>
          <t>ÅSELE</t>
        </is>
      </c>
      <c r="H652" t="inlineStr">
        <is>
          <t>Sveaskog</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12405-2026</t>
        </is>
      </c>
      <c r="B653" t="inlineStr">
        <is>
          <t>avverkningsanmälan</t>
        </is>
      </c>
      <c r="C653" t="inlineStr">
        <is>
          <t>Föryngringsavverkning</t>
        </is>
      </c>
      <c r="D653" s="1" t="n">
        <v>46090</v>
      </c>
      <c r="E653" s="1" t="n">
        <v>46216</v>
      </c>
      <c r="F653" t="inlineStr">
        <is>
          <t>VÄSTERBOTTENS LÄN</t>
        </is>
      </c>
      <c r="G653" t="inlineStr">
        <is>
          <t>ÅSELE</t>
        </is>
      </c>
      <c r="I653" t="n">
        <v>7.3</v>
      </c>
      <c r="J653" t="n">
        <v>0</v>
      </c>
      <c r="K653" t="n">
        <v>0</v>
      </c>
      <c r="L653" t="n">
        <v>0</v>
      </c>
      <c r="M653" t="n">
        <v>0</v>
      </c>
      <c r="N653" t="n">
        <v>0</v>
      </c>
      <c r="O653" t="n">
        <v>0</v>
      </c>
      <c r="P653" t="n">
        <v>0</v>
      </c>
      <c r="Q653" t="n">
        <v>0</v>
      </c>
      <c r="R653" t="n">
        <v>0</v>
      </c>
      <c r="S653" t="n">
        <v>0</v>
      </c>
      <c r="T653" t="n">
        <v>0</v>
      </c>
      <c r="U653" s="2" t="inlineStr"/>
    </row>
    <row r="654" ht="15" customHeight="1">
      <c r="A654" t="inlineStr">
        <is>
          <t>A 58596-2024</t>
        </is>
      </c>
      <c r="B654" t="inlineStr">
        <is>
          <t>avverkningsanmälan</t>
        </is>
      </c>
      <c r="C654" t="inlineStr">
        <is>
          <t>Föryngringsavverkning</t>
        </is>
      </c>
      <c r="D654" s="1" t="n">
        <v>45635</v>
      </c>
      <c r="E654" s="1" t="n">
        <v>46216</v>
      </c>
      <c r="F654" t="inlineStr">
        <is>
          <t>VÄSTERBOTTENS LÄN</t>
        </is>
      </c>
      <c r="G654" t="inlineStr">
        <is>
          <t>ÅSELE</t>
        </is>
      </c>
      <c r="H654" t="inlineStr">
        <is>
          <t>SCA</t>
        </is>
      </c>
      <c r="I654" t="n">
        <v>3.3</v>
      </c>
      <c r="J654" t="n">
        <v>0</v>
      </c>
      <c r="K654" t="n">
        <v>0</v>
      </c>
      <c r="L654" t="n">
        <v>0</v>
      </c>
      <c r="M654" t="n">
        <v>0</v>
      </c>
      <c r="N654" t="n">
        <v>0</v>
      </c>
      <c r="O654" t="n">
        <v>0</v>
      </c>
      <c r="P654" t="n">
        <v>0</v>
      </c>
      <c r="Q654" t="n">
        <v>0</v>
      </c>
      <c r="R654" t="n">
        <v>0</v>
      </c>
      <c r="S654" t="n">
        <v>0</v>
      </c>
      <c r="T654" t="n">
        <v>0</v>
      </c>
      <c r="U654" s="2" t="inlineStr"/>
    </row>
    <row r="655" ht="15" customHeight="1">
      <c r="A655" t="inlineStr">
        <is>
          <t>A 22987-2026</t>
        </is>
      </c>
      <c r="B655" t="inlineStr">
        <is>
          <t>avverkningsanmälan</t>
        </is>
      </c>
      <c r="C655" t="inlineStr">
        <is>
          <t>Avverkning för annat ändamål</t>
        </is>
      </c>
      <c r="D655" s="1" t="n">
        <v>46160</v>
      </c>
      <c r="E655" s="1" t="n">
        <v>46216</v>
      </c>
      <c r="F655" t="inlineStr">
        <is>
          <t>VÄSTERBOTTENS LÄN</t>
        </is>
      </c>
      <c r="G655" t="inlineStr">
        <is>
          <t>ÅSELE</t>
        </is>
      </c>
      <c r="H655" t="inlineStr">
        <is>
          <t>SCA</t>
        </is>
      </c>
      <c r="I655" t="n">
        <v>4.6</v>
      </c>
      <c r="J655" t="n">
        <v>0</v>
      </c>
      <c r="K655" t="n">
        <v>0</v>
      </c>
      <c r="L655" t="n">
        <v>0</v>
      </c>
      <c r="M655" t="n">
        <v>0</v>
      </c>
      <c r="N655" t="n">
        <v>0</v>
      </c>
      <c r="O655" t="n">
        <v>0</v>
      </c>
      <c r="P655" t="n">
        <v>0</v>
      </c>
      <c r="Q655" t="n">
        <v>0</v>
      </c>
      <c r="R655" t="n">
        <v>0</v>
      </c>
      <c r="S655" t="n">
        <v>0</v>
      </c>
      <c r="T655" t="n">
        <v>0</v>
      </c>
      <c r="U655" s="2" t="inlineStr"/>
    </row>
    <row r="656" ht="15" customHeight="1">
      <c r="A656" t="inlineStr">
        <is>
          <t>A 29324-2026</t>
        </is>
      </c>
      <c r="B656" t="inlineStr">
        <is>
          <t>avverkningsanmälan</t>
        </is>
      </c>
      <c r="C656" t="inlineStr">
        <is>
          <t>Föryngringsavverkning</t>
        </is>
      </c>
      <c r="D656" s="1" t="n">
        <v>46202</v>
      </c>
      <c r="E656" s="1" t="n">
        <v>46216</v>
      </c>
      <c r="F656" t="inlineStr">
        <is>
          <t>VÄSTERBOTTENS LÄN</t>
        </is>
      </c>
      <c r="G656" t="inlineStr">
        <is>
          <t>ÅSELE</t>
        </is>
      </c>
      <c r="H656" t="inlineStr">
        <is>
          <t>Naturvårdsverket</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29107-2026</t>
        </is>
      </c>
      <c r="B657" t="inlineStr">
        <is>
          <t>avverkningsanmälan</t>
        </is>
      </c>
      <c r="C657" t="inlineStr">
        <is>
          <t>Föryngringsavverkning</t>
        </is>
      </c>
      <c r="D657" s="1" t="n">
        <v>46201</v>
      </c>
      <c r="E657" s="1" t="n">
        <v>46216</v>
      </c>
      <c r="F657" t="inlineStr">
        <is>
          <t>VÄSTERBOTTENS LÄN</t>
        </is>
      </c>
      <c r="G657" t="inlineStr">
        <is>
          <t>ÅSELE</t>
        </is>
      </c>
      <c r="H657" t="inlineStr">
        <is>
          <t>Holmen skog AB</t>
        </is>
      </c>
      <c r="I657" t="n">
        <v>3.3</v>
      </c>
      <c r="J657" t="n">
        <v>0</v>
      </c>
      <c r="K657" t="n">
        <v>0</v>
      </c>
      <c r="L657" t="n">
        <v>0</v>
      </c>
      <c r="M657" t="n">
        <v>0</v>
      </c>
      <c r="N657" t="n">
        <v>0</v>
      </c>
      <c r="O657" t="n">
        <v>0</v>
      </c>
      <c r="P657" t="n">
        <v>0</v>
      </c>
      <c r="Q657" t="n">
        <v>0</v>
      </c>
      <c r="R657" t="n">
        <v>0</v>
      </c>
      <c r="S657" t="n">
        <v>0</v>
      </c>
      <c r="T657" t="n">
        <v>0</v>
      </c>
      <c r="U657" s="2" t="inlineStr"/>
    </row>
    <row r="658" ht="15" customHeight="1">
      <c r="A658" t="inlineStr">
        <is>
          <t>A 29108-2026</t>
        </is>
      </c>
      <c r="B658" t="inlineStr">
        <is>
          <t>avverkningsanmälan</t>
        </is>
      </c>
      <c r="C658" t="inlineStr">
        <is>
          <t>Föryngringsavverkning</t>
        </is>
      </c>
      <c r="D658" s="1" t="n">
        <v>46201</v>
      </c>
      <c r="E658" s="1" t="n">
        <v>46216</v>
      </c>
      <c r="F658" t="inlineStr">
        <is>
          <t>VÄSTERBOTTENS LÄN</t>
        </is>
      </c>
      <c r="G658" t="inlineStr">
        <is>
          <t>ÅSELE</t>
        </is>
      </c>
      <c r="H658" t="inlineStr">
        <is>
          <t>Holmen skog AB</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29240-2026</t>
        </is>
      </c>
      <c r="B659" t="inlineStr">
        <is>
          <t>avverkningsanmälan</t>
        </is>
      </c>
      <c r="C659" t="inlineStr">
        <is>
          <t>Föryngringsavverkning</t>
        </is>
      </c>
      <c r="D659" s="1" t="n">
        <v>46202</v>
      </c>
      <c r="E659" s="1" t="n">
        <v>46216</v>
      </c>
      <c r="F659" t="inlineStr">
        <is>
          <t>VÄSTERBOTTENS LÄN</t>
        </is>
      </c>
      <c r="G659" t="inlineStr">
        <is>
          <t>ÅSELE</t>
        </is>
      </c>
      <c r="H659" t="inlineStr">
        <is>
          <t>Holmen skog AB</t>
        </is>
      </c>
      <c r="I659" t="n">
        <v>8</v>
      </c>
      <c r="J659" t="n">
        <v>0</v>
      </c>
      <c r="K659" t="n">
        <v>0</v>
      </c>
      <c r="L659" t="n">
        <v>0</v>
      </c>
      <c r="M659" t="n">
        <v>0</v>
      </c>
      <c r="N659" t="n">
        <v>0</v>
      </c>
      <c r="O659" t="n">
        <v>0</v>
      </c>
      <c r="P659" t="n">
        <v>0</v>
      </c>
      <c r="Q659" t="n">
        <v>0</v>
      </c>
      <c r="R659" t="n">
        <v>0</v>
      </c>
      <c r="S659" t="n">
        <v>0</v>
      </c>
      <c r="T659" t="n">
        <v>0</v>
      </c>
      <c r="U659" s="2" t="inlineStr"/>
    </row>
    <row r="660" ht="15" customHeight="1">
      <c r="A660" t="inlineStr">
        <is>
          <t>A 29196-2026</t>
        </is>
      </c>
      <c r="B660" t="inlineStr">
        <is>
          <t>avverkningsanmälan</t>
        </is>
      </c>
      <c r="C660" t="inlineStr">
        <is>
          <t>Föryngringsavverkning</t>
        </is>
      </c>
      <c r="D660" s="1" t="n">
        <v>46202</v>
      </c>
      <c r="E660" s="1" t="n">
        <v>46216</v>
      </c>
      <c r="F660" t="inlineStr">
        <is>
          <t>VÄSTERBOTTENS LÄN</t>
        </is>
      </c>
      <c r="G660" t="inlineStr">
        <is>
          <t>ÅSELE</t>
        </is>
      </c>
      <c r="H660" t="inlineStr">
        <is>
          <t>Sveaskog</t>
        </is>
      </c>
      <c r="I660" t="n">
        <v>8.6</v>
      </c>
      <c r="J660" t="n">
        <v>0</v>
      </c>
      <c r="K660" t="n">
        <v>0</v>
      </c>
      <c r="L660" t="n">
        <v>0</v>
      </c>
      <c r="M660" t="n">
        <v>0</v>
      </c>
      <c r="N660" t="n">
        <v>0</v>
      </c>
      <c r="O660" t="n">
        <v>0</v>
      </c>
      <c r="P660" t="n">
        <v>0</v>
      </c>
      <c r="Q660" t="n">
        <v>0</v>
      </c>
      <c r="R660" t="n">
        <v>0</v>
      </c>
      <c r="S660" t="n">
        <v>0</v>
      </c>
      <c r="T660" t="n">
        <v>0</v>
      </c>
      <c r="U660" s="2" t="inlineStr"/>
    </row>
    <row r="661" ht="15" customHeight="1">
      <c r="A661" t="inlineStr">
        <is>
          <t>A 1407-2023</t>
        </is>
      </c>
      <c r="B661" t="inlineStr">
        <is>
          <t>avverkningsanmälan</t>
        </is>
      </c>
      <c r="C661" t="inlineStr">
        <is>
          <t>Föryngringsavverkning</t>
        </is>
      </c>
      <c r="D661" s="1" t="n">
        <v>44936</v>
      </c>
      <c r="E661" s="1" t="n">
        <v>46216</v>
      </c>
      <c r="F661" t="inlineStr">
        <is>
          <t>VÄSTERBOTTENS LÄN</t>
        </is>
      </c>
      <c r="G661" t="inlineStr">
        <is>
          <t>ÅSELE</t>
        </is>
      </c>
      <c r="I661" t="n">
        <v>11.5</v>
      </c>
      <c r="J661" t="n">
        <v>0</v>
      </c>
      <c r="K661" t="n">
        <v>0</v>
      </c>
      <c r="L661" t="n">
        <v>0</v>
      </c>
      <c r="M661" t="n">
        <v>0</v>
      </c>
      <c r="N661" t="n">
        <v>0</v>
      </c>
      <c r="O661" t="n">
        <v>0</v>
      </c>
      <c r="P661" t="n">
        <v>0</v>
      </c>
      <c r="Q661" t="n">
        <v>0</v>
      </c>
      <c r="R661" t="n">
        <v>0</v>
      </c>
      <c r="S661" t="n">
        <v>0</v>
      </c>
      <c r="T661" t="n">
        <v>0</v>
      </c>
      <c r="U661" s="2" t="inlineStr"/>
    </row>
    <row r="662" ht="15" customHeight="1">
      <c r="A662" t="inlineStr">
        <is>
          <t>A 56646-2022</t>
        </is>
      </c>
      <c r="B662" t="inlineStr">
        <is>
          <t>avverkningsanmälan</t>
        </is>
      </c>
      <c r="C662" t="inlineStr">
        <is>
          <t>Föryngringsavverkning</t>
        </is>
      </c>
      <c r="D662" s="1" t="n">
        <v>44888</v>
      </c>
      <c r="E662" s="1" t="n">
        <v>46216</v>
      </c>
      <c r="F662" t="inlineStr">
        <is>
          <t>VÄSTERBOTTENS LÄN</t>
        </is>
      </c>
      <c r="G662" t="inlineStr">
        <is>
          <t>ÅSELE</t>
        </is>
      </c>
      <c r="I662" t="n">
        <v>5.1</v>
      </c>
      <c r="J662" t="n">
        <v>0</v>
      </c>
      <c r="K662" t="n">
        <v>0</v>
      </c>
      <c r="L662" t="n">
        <v>0</v>
      </c>
      <c r="M662" t="n">
        <v>0</v>
      </c>
      <c r="N662" t="n">
        <v>0</v>
      </c>
      <c r="O662" t="n">
        <v>0</v>
      </c>
      <c r="P662" t="n">
        <v>0</v>
      </c>
      <c r="Q662" t="n">
        <v>0</v>
      </c>
      <c r="R662" t="n">
        <v>0</v>
      </c>
      <c r="S662" t="n">
        <v>0</v>
      </c>
      <c r="T662" t="n">
        <v>0</v>
      </c>
      <c r="U662" s="2" t="inlineStr"/>
    </row>
    <row r="663" ht="15" customHeight="1">
      <c r="A663" t="inlineStr">
        <is>
          <t>A 31118-2024</t>
        </is>
      </c>
      <c r="B663" t="inlineStr">
        <is>
          <t>avverkningsanmälan</t>
        </is>
      </c>
      <c r="C663" t="inlineStr">
        <is>
          <t>Föryngringsavverkning</t>
        </is>
      </c>
      <c r="D663" s="1" t="n">
        <v>45502</v>
      </c>
      <c r="E663" s="1" t="n">
        <v>46216</v>
      </c>
      <c r="F663" t="inlineStr">
        <is>
          <t>VÄSTERBOTTENS LÄN</t>
        </is>
      </c>
      <c r="G663" t="inlineStr">
        <is>
          <t>ÅSELE</t>
        </is>
      </c>
      <c r="H663" t="inlineStr">
        <is>
          <t>Holmen skog AB</t>
        </is>
      </c>
      <c r="I663" t="n">
        <v>1.6</v>
      </c>
      <c r="J663" t="n">
        <v>0</v>
      </c>
      <c r="K663" t="n">
        <v>0</v>
      </c>
      <c r="L663" t="n">
        <v>0</v>
      </c>
      <c r="M663" t="n">
        <v>0</v>
      </c>
      <c r="N663" t="n">
        <v>0</v>
      </c>
      <c r="O663" t="n">
        <v>0</v>
      </c>
      <c r="P663" t="n">
        <v>0</v>
      </c>
      <c r="Q663" t="n">
        <v>0</v>
      </c>
      <c r="R663" t="n">
        <v>0</v>
      </c>
      <c r="S663" t="n">
        <v>0</v>
      </c>
      <c r="T663" t="n">
        <v>0</v>
      </c>
      <c r="U663" s="2" t="inlineStr"/>
    </row>
    <row r="664" ht="15" customHeight="1">
      <c r="A664" t="inlineStr">
        <is>
          <t>A 14925-2023</t>
        </is>
      </c>
      <c r="B664" t="inlineStr">
        <is>
          <t>avverkningsanmälan</t>
        </is>
      </c>
      <c r="C664" t="inlineStr">
        <is>
          <t>Föryngringsavverkning</t>
        </is>
      </c>
      <c r="D664" s="1" t="n">
        <v>45014</v>
      </c>
      <c r="E664" s="1" t="n">
        <v>46216</v>
      </c>
      <c r="F664" t="inlineStr">
        <is>
          <t>VÄSTERBOTTENS LÄN</t>
        </is>
      </c>
      <c r="G664" t="inlineStr">
        <is>
          <t>ÅSELE</t>
        </is>
      </c>
      <c r="I664" t="n">
        <v>9.4</v>
      </c>
      <c r="J664" t="n">
        <v>0</v>
      </c>
      <c r="K664" t="n">
        <v>0</v>
      </c>
      <c r="L664" t="n">
        <v>0</v>
      </c>
      <c r="M664" t="n">
        <v>0</v>
      </c>
      <c r="N664" t="n">
        <v>0</v>
      </c>
      <c r="O664" t="n">
        <v>0</v>
      </c>
      <c r="P664" t="n">
        <v>0</v>
      </c>
      <c r="Q664" t="n">
        <v>0</v>
      </c>
      <c r="R664" t="n">
        <v>0</v>
      </c>
      <c r="S664" t="n">
        <v>0</v>
      </c>
      <c r="T664" t="n">
        <v>0</v>
      </c>
      <c r="U664" s="2" t="inlineStr"/>
    </row>
    <row r="665" ht="15" customHeight="1">
      <c r="A665" t="inlineStr">
        <is>
          <t>A 61330-2024</t>
        </is>
      </c>
      <c r="B665" t="inlineStr">
        <is>
          <t>avverkningsanmälan</t>
        </is>
      </c>
      <c r="C665" t="inlineStr">
        <is>
          <t>Föryngringsavverkning</t>
        </is>
      </c>
      <c r="D665" s="1" t="n">
        <v>45645</v>
      </c>
      <c r="E665" s="1" t="n">
        <v>46216</v>
      </c>
      <c r="F665" t="inlineStr">
        <is>
          <t>VÄSTERBOTTENS LÄN</t>
        </is>
      </c>
      <c r="G665" t="inlineStr">
        <is>
          <t>ÅSELE</t>
        </is>
      </c>
      <c r="H665" t="inlineStr">
        <is>
          <t>Sveaskog</t>
        </is>
      </c>
      <c r="I665" t="n">
        <v>8.6</v>
      </c>
      <c r="J665" t="n">
        <v>0</v>
      </c>
      <c r="K665" t="n">
        <v>0</v>
      </c>
      <c r="L665" t="n">
        <v>0</v>
      </c>
      <c r="M665" t="n">
        <v>0</v>
      </c>
      <c r="N665" t="n">
        <v>0</v>
      </c>
      <c r="O665" t="n">
        <v>0</v>
      </c>
      <c r="P665" t="n">
        <v>0</v>
      </c>
      <c r="Q665" t="n">
        <v>0</v>
      </c>
      <c r="R665" t="n">
        <v>0</v>
      </c>
      <c r="S665" t="n">
        <v>0</v>
      </c>
      <c r="T665" t="n">
        <v>0</v>
      </c>
      <c r="U665" s="2" t="inlineStr"/>
    </row>
    <row r="666" ht="15" customHeight="1">
      <c r="A666" t="inlineStr">
        <is>
          <t>A 70186-2021</t>
        </is>
      </c>
      <c r="B666" t="inlineStr">
        <is>
          <t>avverkningsanmälan</t>
        </is>
      </c>
      <c r="C666" t="inlineStr">
        <is>
          <t>Föryngringsavverkning</t>
        </is>
      </c>
      <c r="D666" s="1" t="n">
        <v>44533</v>
      </c>
      <c r="E666" s="1" t="n">
        <v>46216</v>
      </c>
      <c r="F666" t="inlineStr">
        <is>
          <t>VÄSTERBOTTENS LÄN</t>
        </is>
      </c>
      <c r="G666" t="inlineStr">
        <is>
          <t>ÅSELE</t>
        </is>
      </c>
      <c r="H666" t="inlineStr">
        <is>
          <t>SCA</t>
        </is>
      </c>
      <c r="I666" t="n">
        <v>6.4</v>
      </c>
      <c r="J666" t="n">
        <v>0</v>
      </c>
      <c r="K666" t="n">
        <v>0</v>
      </c>
      <c r="L666" t="n">
        <v>0</v>
      </c>
      <c r="M666" t="n">
        <v>0</v>
      </c>
      <c r="N666" t="n">
        <v>0</v>
      </c>
      <c r="O666" t="n">
        <v>0</v>
      </c>
      <c r="P666" t="n">
        <v>0</v>
      </c>
      <c r="Q666" t="n">
        <v>0</v>
      </c>
      <c r="R666" t="n">
        <v>0</v>
      </c>
      <c r="S666" t="n">
        <v>0</v>
      </c>
      <c r="T666" t="n">
        <v>0</v>
      </c>
      <c r="U666" s="2" t="inlineStr"/>
    </row>
    <row r="667" ht="15" customHeight="1">
      <c r="A667" t="inlineStr">
        <is>
          <t>A 48299-2024</t>
        </is>
      </c>
      <c r="B667" t="inlineStr">
        <is>
          <t>avverkningsanmälan</t>
        </is>
      </c>
      <c r="C667" t="inlineStr">
        <is>
          <t>Föryngringsavverkning</t>
        </is>
      </c>
      <c r="D667" s="1" t="n">
        <v>45590</v>
      </c>
      <c r="E667" s="1" t="n">
        <v>46216</v>
      </c>
      <c r="F667" t="inlineStr">
        <is>
          <t>VÄSTERBOTTENS LÄN</t>
        </is>
      </c>
      <c r="G667" t="inlineStr">
        <is>
          <t>ÅSELE</t>
        </is>
      </c>
      <c r="I667" t="n">
        <v>0.9</v>
      </c>
      <c r="J667" t="n">
        <v>0</v>
      </c>
      <c r="K667" t="n">
        <v>0</v>
      </c>
      <c r="L667" t="n">
        <v>0</v>
      </c>
      <c r="M667" t="n">
        <v>0</v>
      </c>
      <c r="N667" t="n">
        <v>0</v>
      </c>
      <c r="O667" t="n">
        <v>0</v>
      </c>
      <c r="P667" t="n">
        <v>0</v>
      </c>
      <c r="Q667" t="n">
        <v>0</v>
      </c>
      <c r="R667" t="n">
        <v>0</v>
      </c>
      <c r="S667" t="n">
        <v>0</v>
      </c>
      <c r="T667" t="n">
        <v>0</v>
      </c>
      <c r="U667" s="2" t="inlineStr"/>
    </row>
    <row r="668" ht="15" customHeight="1">
      <c r="A668" t="inlineStr">
        <is>
          <t>A 29190-2026</t>
        </is>
      </c>
      <c r="B668" t="inlineStr">
        <is>
          <t>avverkningsanmälan</t>
        </is>
      </c>
      <c r="C668" t="inlineStr">
        <is>
          <t>Föryngringsavverkning</t>
        </is>
      </c>
      <c r="D668" s="1" t="n">
        <v>46202</v>
      </c>
      <c r="E668" s="1" t="n">
        <v>46216</v>
      </c>
      <c r="F668" t="inlineStr">
        <is>
          <t>VÄSTERBOTTENS LÄN</t>
        </is>
      </c>
      <c r="G668" t="inlineStr">
        <is>
          <t>ÅSELE</t>
        </is>
      </c>
      <c r="H668" t="inlineStr">
        <is>
          <t>Sveaskog</t>
        </is>
      </c>
      <c r="I668" t="n">
        <v>10.6</v>
      </c>
      <c r="J668" t="n">
        <v>0</v>
      </c>
      <c r="K668" t="n">
        <v>0</v>
      </c>
      <c r="L668" t="n">
        <v>0</v>
      </c>
      <c r="M668" t="n">
        <v>0</v>
      </c>
      <c r="N668" t="n">
        <v>0</v>
      </c>
      <c r="O668" t="n">
        <v>0</v>
      </c>
      <c r="P668" t="n">
        <v>0</v>
      </c>
      <c r="Q668" t="n">
        <v>0</v>
      </c>
      <c r="R668" t="n">
        <v>0</v>
      </c>
      <c r="S668" t="n">
        <v>0</v>
      </c>
      <c r="T668" t="n">
        <v>0</v>
      </c>
      <c r="U668" s="2" t="inlineStr"/>
    </row>
    <row r="669" ht="15" customHeight="1">
      <c r="A669" t="inlineStr">
        <is>
          <t>A 40028-2025</t>
        </is>
      </c>
      <c r="B669" t="inlineStr">
        <is>
          <t>avverkningsanmälan</t>
        </is>
      </c>
      <c r="C669" t="inlineStr">
        <is>
          <t>Föryngringsavverkning</t>
        </is>
      </c>
      <c r="D669" s="1" t="n">
        <v>45894</v>
      </c>
      <c r="E669" s="1" t="n">
        <v>46216</v>
      </c>
      <c r="F669" t="inlineStr">
        <is>
          <t>VÄSTERBOTTENS LÄN</t>
        </is>
      </c>
      <c r="G669" t="inlineStr">
        <is>
          <t>ÅSELE</t>
        </is>
      </c>
      <c r="I669" t="n">
        <v>5.3</v>
      </c>
      <c r="J669" t="n">
        <v>0</v>
      </c>
      <c r="K669" t="n">
        <v>0</v>
      </c>
      <c r="L669" t="n">
        <v>0</v>
      </c>
      <c r="M669" t="n">
        <v>0</v>
      </c>
      <c r="N669" t="n">
        <v>0</v>
      </c>
      <c r="O669" t="n">
        <v>0</v>
      </c>
      <c r="P669" t="n">
        <v>0</v>
      </c>
      <c r="Q669" t="n">
        <v>0</v>
      </c>
      <c r="R669" t="n">
        <v>0</v>
      </c>
      <c r="S669" t="n">
        <v>0</v>
      </c>
      <c r="T669" t="n">
        <v>0</v>
      </c>
      <c r="U669" s="2" t="inlineStr"/>
    </row>
    <row r="670" ht="15" customHeight="1">
      <c r="A670" t="inlineStr">
        <is>
          <t>A 62748-2022</t>
        </is>
      </c>
      <c r="B670" t="inlineStr">
        <is>
          <t>avverkningsanmälan</t>
        </is>
      </c>
      <c r="C670" t="inlineStr">
        <is>
          <t>Föryngringsavverkning</t>
        </is>
      </c>
      <c r="D670" s="1" t="n">
        <v>44925</v>
      </c>
      <c r="E670" s="1" t="n">
        <v>46216</v>
      </c>
      <c r="F670" t="inlineStr">
        <is>
          <t>VÄSTERBOTTENS LÄN</t>
        </is>
      </c>
      <c r="G670" t="inlineStr">
        <is>
          <t>ÅSELE</t>
        </is>
      </c>
      <c r="H670" t="inlineStr">
        <is>
          <t>SCA</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29235-2026</t>
        </is>
      </c>
      <c r="B671" t="inlineStr">
        <is>
          <t>avverkningsanmälan</t>
        </is>
      </c>
      <c r="C671" t="inlineStr">
        <is>
          <t>Föryngringsavverkning</t>
        </is>
      </c>
      <c r="D671" s="1" t="n">
        <v>46202</v>
      </c>
      <c r="E671" s="1" t="n">
        <v>46216</v>
      </c>
      <c r="F671" t="inlineStr">
        <is>
          <t>VÄSTERBOTTENS LÄN</t>
        </is>
      </c>
      <c r="G671" t="inlineStr">
        <is>
          <t>ÅSELE</t>
        </is>
      </c>
      <c r="H671" t="inlineStr">
        <is>
          <t>Sveaskog</t>
        </is>
      </c>
      <c r="I671" t="n">
        <v>7.3</v>
      </c>
      <c r="J671" t="n">
        <v>0</v>
      </c>
      <c r="K671" t="n">
        <v>0</v>
      </c>
      <c r="L671" t="n">
        <v>0</v>
      </c>
      <c r="M671" t="n">
        <v>0</v>
      </c>
      <c r="N671" t="n">
        <v>0</v>
      </c>
      <c r="O671" t="n">
        <v>0</v>
      </c>
      <c r="P671" t="n">
        <v>0</v>
      </c>
      <c r="Q671" t="n">
        <v>0</v>
      </c>
      <c r="R671" t="n">
        <v>0</v>
      </c>
      <c r="S671" t="n">
        <v>0</v>
      </c>
      <c r="T671" t="n">
        <v>0</v>
      </c>
      <c r="U671" s="2" t="inlineStr"/>
    </row>
    <row r="672" ht="15" customHeight="1">
      <c r="A672" t="inlineStr">
        <is>
          <t>A 1640-2025</t>
        </is>
      </c>
      <c r="B672" t="inlineStr">
        <is>
          <t>avverkningsanmälan</t>
        </is>
      </c>
      <c r="C672" t="inlineStr">
        <is>
          <t>Föryngringsavverkning</t>
        </is>
      </c>
      <c r="D672" s="1" t="n">
        <v>45670</v>
      </c>
      <c r="E672" s="1" t="n">
        <v>46216</v>
      </c>
      <c r="F672" t="inlineStr">
        <is>
          <t>VÄSTERBOTTENS LÄN</t>
        </is>
      </c>
      <c r="G672" t="inlineStr">
        <is>
          <t>ÅSELE</t>
        </is>
      </c>
      <c r="I672" t="n">
        <v>2.9</v>
      </c>
      <c r="J672" t="n">
        <v>0</v>
      </c>
      <c r="K672" t="n">
        <v>0</v>
      </c>
      <c r="L672" t="n">
        <v>0</v>
      </c>
      <c r="M672" t="n">
        <v>0</v>
      </c>
      <c r="N672" t="n">
        <v>0</v>
      </c>
      <c r="O672" t="n">
        <v>0</v>
      </c>
      <c r="P672" t="n">
        <v>0</v>
      </c>
      <c r="Q672" t="n">
        <v>0</v>
      </c>
      <c r="R672" t="n">
        <v>0</v>
      </c>
      <c r="S672" t="n">
        <v>0</v>
      </c>
      <c r="T672" t="n">
        <v>0</v>
      </c>
      <c r="U672" s="2" t="inlineStr"/>
    </row>
    <row r="673" ht="15" customHeight="1">
      <c r="A673" t="inlineStr">
        <is>
          <t>A 36450-2021</t>
        </is>
      </c>
      <c r="B673" t="inlineStr">
        <is>
          <t>avverkningsanmälan</t>
        </is>
      </c>
      <c r="C673" t="inlineStr">
        <is>
          <t>Föryngringsavverkning</t>
        </is>
      </c>
      <c r="D673" s="1" t="n">
        <v>44390</v>
      </c>
      <c r="E673" s="1" t="n">
        <v>46216</v>
      </c>
      <c r="F673" t="inlineStr">
        <is>
          <t>VÄSTERBOTTENS LÄN</t>
        </is>
      </c>
      <c r="G673" t="inlineStr">
        <is>
          <t>ÅSELE</t>
        </is>
      </c>
      <c r="H673" t="inlineStr">
        <is>
          <t>SCA</t>
        </is>
      </c>
      <c r="I673" t="n">
        <v>3.5</v>
      </c>
      <c r="J673" t="n">
        <v>0</v>
      </c>
      <c r="K673" t="n">
        <v>0</v>
      </c>
      <c r="L673" t="n">
        <v>0</v>
      </c>
      <c r="M673" t="n">
        <v>0</v>
      </c>
      <c r="N673" t="n">
        <v>0</v>
      </c>
      <c r="O673" t="n">
        <v>0</v>
      </c>
      <c r="P673" t="n">
        <v>0</v>
      </c>
      <c r="Q673" t="n">
        <v>0</v>
      </c>
      <c r="R673" t="n">
        <v>0</v>
      </c>
      <c r="S673" t="n">
        <v>0</v>
      </c>
      <c r="T673" t="n">
        <v>0</v>
      </c>
      <c r="U673" s="2" t="inlineStr"/>
    </row>
    <row r="674" ht="15" customHeight="1">
      <c r="A674" t="inlineStr">
        <is>
          <t>A 22834-2026</t>
        </is>
      </c>
      <c r="B674" t="inlineStr">
        <is>
          <t>avverkningsanmälan</t>
        </is>
      </c>
      <c r="C674" t="inlineStr">
        <is>
          <t>Föryngringsavverkning</t>
        </is>
      </c>
      <c r="D674" s="1" t="n">
        <v>46160</v>
      </c>
      <c r="E674" s="1" t="n">
        <v>46216</v>
      </c>
      <c r="F674" t="inlineStr">
        <is>
          <t>VÄSTERBOTTENS LÄN</t>
        </is>
      </c>
      <c r="G674" t="inlineStr">
        <is>
          <t>ÅSELE</t>
        </is>
      </c>
      <c r="H674" t="inlineStr">
        <is>
          <t>Holmen skog AB</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44677-2023</t>
        </is>
      </c>
      <c r="B675" t="inlineStr">
        <is>
          <t>avverkningsanmälan</t>
        </is>
      </c>
      <c r="C675" t="inlineStr">
        <is>
          <t>Föryngringsavverkning</t>
        </is>
      </c>
      <c r="D675" s="1" t="n">
        <v>45189</v>
      </c>
      <c r="E675" s="1" t="n">
        <v>46216</v>
      </c>
      <c r="F675" t="inlineStr">
        <is>
          <t>VÄSTERBOTTENS LÄN</t>
        </is>
      </c>
      <c r="G675" t="inlineStr">
        <is>
          <t>ÅSELE</t>
        </is>
      </c>
      <c r="I675" t="n">
        <v>7.9</v>
      </c>
      <c r="J675" t="n">
        <v>0</v>
      </c>
      <c r="K675" t="n">
        <v>0</v>
      </c>
      <c r="L675" t="n">
        <v>0</v>
      </c>
      <c r="M675" t="n">
        <v>0</v>
      </c>
      <c r="N675" t="n">
        <v>0</v>
      </c>
      <c r="O675" t="n">
        <v>0</v>
      </c>
      <c r="P675" t="n">
        <v>0</v>
      </c>
      <c r="Q675" t="n">
        <v>0</v>
      </c>
      <c r="R675" t="n">
        <v>0</v>
      </c>
      <c r="S675" t="n">
        <v>0</v>
      </c>
      <c r="T675" t="n">
        <v>0</v>
      </c>
      <c r="U675" s="2" t="inlineStr"/>
    </row>
    <row r="676" ht="15" customHeight="1">
      <c r="A676" t="inlineStr">
        <is>
          <t>A 29291-2026</t>
        </is>
      </c>
      <c r="B676" t="inlineStr">
        <is>
          <t>avverkningsanmälan</t>
        </is>
      </c>
      <c r="C676" t="inlineStr">
        <is>
          <t>Föryngringsavverkning</t>
        </is>
      </c>
      <c r="D676" s="1" t="n">
        <v>46202</v>
      </c>
      <c r="E676" s="1" t="n">
        <v>46216</v>
      </c>
      <c r="F676" t="inlineStr">
        <is>
          <t>VÄSTERBOTTENS LÄN</t>
        </is>
      </c>
      <c r="G676" t="inlineStr">
        <is>
          <t>ÅSELE</t>
        </is>
      </c>
      <c r="H676" t="inlineStr">
        <is>
          <t>Holmen skog AB</t>
        </is>
      </c>
      <c r="I676" t="n">
        <v>10.4</v>
      </c>
      <c r="J676" t="n">
        <v>0</v>
      </c>
      <c r="K676" t="n">
        <v>0</v>
      </c>
      <c r="L676" t="n">
        <v>0</v>
      </c>
      <c r="M676" t="n">
        <v>0</v>
      </c>
      <c r="N676" t="n">
        <v>0</v>
      </c>
      <c r="O676" t="n">
        <v>0</v>
      </c>
      <c r="P676" t="n">
        <v>0</v>
      </c>
      <c r="Q676" t="n">
        <v>0</v>
      </c>
      <c r="R676" t="n">
        <v>0</v>
      </c>
      <c r="S676" t="n">
        <v>0</v>
      </c>
      <c r="T676" t="n">
        <v>0</v>
      </c>
      <c r="U676" s="2" t="inlineStr"/>
    </row>
    <row r="677" ht="15" customHeight="1">
      <c r="A677" t="inlineStr">
        <is>
          <t>A 64949-2023</t>
        </is>
      </c>
      <c r="B677" t="inlineStr">
        <is>
          <t>avverkningsanmälan</t>
        </is>
      </c>
      <c r="C677" t="inlineStr">
        <is>
          <t>Avverkning för att bevara och utveckla /försöksver</t>
        </is>
      </c>
      <c r="D677" s="1" t="n">
        <v>45282</v>
      </c>
      <c r="E677" s="1" t="n">
        <v>46216</v>
      </c>
      <c r="F677" t="inlineStr">
        <is>
          <t>VÄSTERBOTTENS LÄN</t>
        </is>
      </c>
      <c r="G677" t="inlineStr">
        <is>
          <t>ÅSELE</t>
        </is>
      </c>
      <c r="H677" t="inlineStr">
        <is>
          <t>SCA</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29181-2026</t>
        </is>
      </c>
      <c r="B678" t="inlineStr">
        <is>
          <t>avverkningsanmälan</t>
        </is>
      </c>
      <c r="C678" t="inlineStr">
        <is>
          <t>Föryngringsavverkning</t>
        </is>
      </c>
      <c r="D678" s="1" t="n">
        <v>46202</v>
      </c>
      <c r="E678" s="1" t="n">
        <v>46216</v>
      </c>
      <c r="F678" t="inlineStr">
        <is>
          <t>VÄSTERBOTTENS LÄN</t>
        </is>
      </c>
      <c r="G678" t="inlineStr">
        <is>
          <t>ÅSELE</t>
        </is>
      </c>
      <c r="H678" t="inlineStr">
        <is>
          <t>Holmen skog AB</t>
        </is>
      </c>
      <c r="I678" t="n">
        <v>11.3</v>
      </c>
      <c r="J678" t="n">
        <v>0</v>
      </c>
      <c r="K678" t="n">
        <v>0</v>
      </c>
      <c r="L678" t="n">
        <v>0</v>
      </c>
      <c r="M678" t="n">
        <v>0</v>
      </c>
      <c r="N678" t="n">
        <v>0</v>
      </c>
      <c r="O678" t="n">
        <v>0</v>
      </c>
      <c r="P678" t="n">
        <v>0</v>
      </c>
      <c r="Q678" t="n">
        <v>0</v>
      </c>
      <c r="R678" t="n">
        <v>0</v>
      </c>
      <c r="S678" t="n">
        <v>0</v>
      </c>
      <c r="T678" t="n">
        <v>0</v>
      </c>
      <c r="U678" s="2" t="inlineStr"/>
    </row>
    <row r="679" ht="15" customHeight="1">
      <c r="A679" t="inlineStr">
        <is>
          <t>A 29186-2026</t>
        </is>
      </c>
      <c r="B679" t="inlineStr">
        <is>
          <t>avverkningsanmälan</t>
        </is>
      </c>
      <c r="C679" t="inlineStr">
        <is>
          <t>Föryngringsavverkning</t>
        </is>
      </c>
      <c r="D679" s="1" t="n">
        <v>46202</v>
      </c>
      <c r="E679" s="1" t="n">
        <v>46216</v>
      </c>
      <c r="F679" t="inlineStr">
        <is>
          <t>VÄSTERBOTTENS LÄN</t>
        </is>
      </c>
      <c r="G679" t="inlineStr">
        <is>
          <t>ÅSELE</t>
        </is>
      </c>
      <c r="H679" t="inlineStr">
        <is>
          <t>Sveaskog</t>
        </is>
      </c>
      <c r="I679" t="n">
        <v>1.4</v>
      </c>
      <c r="J679" t="n">
        <v>0</v>
      </c>
      <c r="K679" t="n">
        <v>0</v>
      </c>
      <c r="L679" t="n">
        <v>0</v>
      </c>
      <c r="M679" t="n">
        <v>0</v>
      </c>
      <c r="N679" t="n">
        <v>0</v>
      </c>
      <c r="O679" t="n">
        <v>0</v>
      </c>
      <c r="P679" t="n">
        <v>0</v>
      </c>
      <c r="Q679" t="n">
        <v>0</v>
      </c>
      <c r="R679" t="n">
        <v>0</v>
      </c>
      <c r="S679" t="n">
        <v>0</v>
      </c>
      <c r="T679" t="n">
        <v>0</v>
      </c>
      <c r="U679" s="2" t="inlineStr"/>
    </row>
    <row r="680" ht="15" customHeight="1">
      <c r="A680" t="inlineStr">
        <is>
          <t>A 22951-2026</t>
        </is>
      </c>
      <c r="B680" t="inlineStr">
        <is>
          <t>avverkningsanmälan</t>
        </is>
      </c>
      <c r="C680" t="inlineStr">
        <is>
          <t>Föryngringsavverkning</t>
        </is>
      </c>
      <c r="D680" s="1" t="n">
        <v>46160</v>
      </c>
      <c r="E680" s="1" t="n">
        <v>46216</v>
      </c>
      <c r="F680" t="inlineStr">
        <is>
          <t>VÄSTERBOTTENS LÄN</t>
        </is>
      </c>
      <c r="G680" t="inlineStr">
        <is>
          <t>ÅSELE</t>
        </is>
      </c>
      <c r="H680" t="inlineStr">
        <is>
          <t>Holmen skog AB</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A 4342-2023</t>
        </is>
      </c>
      <c r="B681" t="inlineStr">
        <is>
          <t>avverkningsanmälan</t>
        </is>
      </c>
      <c r="C681" t="inlineStr">
        <is>
          <t>Föryngringsavverkning</t>
        </is>
      </c>
      <c r="D681" s="1" t="n">
        <v>44953</v>
      </c>
      <c r="E681" s="1" t="n">
        <v>46216</v>
      </c>
      <c r="F681" t="inlineStr">
        <is>
          <t>VÄSTERBOTTENS LÄN</t>
        </is>
      </c>
      <c r="G681" t="inlineStr">
        <is>
          <t>ÅSELE</t>
        </is>
      </c>
      <c r="H681" t="inlineStr">
        <is>
          <t>SCA</t>
        </is>
      </c>
      <c r="I681" t="n">
        <v>2.2</v>
      </c>
      <c r="J681" t="n">
        <v>0</v>
      </c>
      <c r="K681" t="n">
        <v>0</v>
      </c>
      <c r="L681" t="n">
        <v>0</v>
      </c>
      <c r="M681" t="n">
        <v>0</v>
      </c>
      <c r="N681" t="n">
        <v>0</v>
      </c>
      <c r="O681" t="n">
        <v>0</v>
      </c>
      <c r="P681" t="n">
        <v>0</v>
      </c>
      <c r="Q681" t="n">
        <v>0</v>
      </c>
      <c r="R681" t="n">
        <v>0</v>
      </c>
      <c r="S681" t="n">
        <v>0</v>
      </c>
      <c r="T681" t="n">
        <v>0</v>
      </c>
      <c r="U681" s="2" t="inlineStr"/>
    </row>
    <row r="682" ht="15" customHeight="1">
      <c r="A682" t="inlineStr">
        <is>
          <t>A 29117-2026</t>
        </is>
      </c>
      <c r="B682" t="inlineStr">
        <is>
          <t>avverkningsanmälan</t>
        </is>
      </c>
      <c r="C682" t="inlineStr">
        <is>
          <t>Föryngringsavverkning</t>
        </is>
      </c>
      <c r="D682" s="1" t="n">
        <v>46201</v>
      </c>
      <c r="E682" s="1" t="n">
        <v>46216</v>
      </c>
      <c r="F682" t="inlineStr">
        <is>
          <t>VÄSTERBOTTENS LÄN</t>
        </is>
      </c>
      <c r="G682" t="inlineStr">
        <is>
          <t>ÅSELE</t>
        </is>
      </c>
      <c r="H682" t="inlineStr">
        <is>
          <t>Holmen skog AB</t>
        </is>
      </c>
      <c r="I682" t="n">
        <v>19.1</v>
      </c>
      <c r="J682" t="n">
        <v>0</v>
      </c>
      <c r="K682" t="n">
        <v>0</v>
      </c>
      <c r="L682" t="n">
        <v>0</v>
      </c>
      <c r="M682" t="n">
        <v>0</v>
      </c>
      <c r="N682" t="n">
        <v>0</v>
      </c>
      <c r="O682" t="n">
        <v>0</v>
      </c>
      <c r="P682" t="n">
        <v>0</v>
      </c>
      <c r="Q682" t="n">
        <v>0</v>
      </c>
      <c r="R682" t="n">
        <v>0</v>
      </c>
      <c r="S682" t="n">
        <v>0</v>
      </c>
      <c r="T682" t="n">
        <v>0</v>
      </c>
      <c r="U682" s="2" t="inlineStr"/>
    </row>
    <row r="683" ht="15" customHeight="1">
      <c r="A683" t="inlineStr">
        <is>
          <t>A 18301-2025</t>
        </is>
      </c>
      <c r="B683" t="inlineStr">
        <is>
          <t>avverkningsanmälan</t>
        </is>
      </c>
      <c r="C683" t="inlineStr">
        <is>
          <t>Föryngringsavverkning</t>
        </is>
      </c>
      <c r="D683" s="1" t="n">
        <v>45762</v>
      </c>
      <c r="E683" s="1" t="n">
        <v>46216</v>
      </c>
      <c r="F683" t="inlineStr">
        <is>
          <t>VÄSTERBOTTENS LÄN</t>
        </is>
      </c>
      <c r="G683" t="inlineStr">
        <is>
          <t>ÅSELE</t>
        </is>
      </c>
      <c r="I683" t="n">
        <v>7.1</v>
      </c>
      <c r="J683" t="n">
        <v>0</v>
      </c>
      <c r="K683" t="n">
        <v>0</v>
      </c>
      <c r="L683" t="n">
        <v>0</v>
      </c>
      <c r="M683" t="n">
        <v>0</v>
      </c>
      <c r="N683" t="n">
        <v>0</v>
      </c>
      <c r="O683" t="n">
        <v>0</v>
      </c>
      <c r="P683" t="n">
        <v>0</v>
      </c>
      <c r="Q683" t="n">
        <v>0</v>
      </c>
      <c r="R683" t="n">
        <v>0</v>
      </c>
      <c r="S683" t="n">
        <v>0</v>
      </c>
      <c r="T683" t="n">
        <v>0</v>
      </c>
      <c r="U683" s="2" t="inlineStr"/>
    </row>
    <row r="684" ht="15" customHeight="1">
      <c r="A684" t="inlineStr">
        <is>
          <t>A 60868-2022</t>
        </is>
      </c>
      <c r="B684" t="inlineStr">
        <is>
          <t>avverkningsanmälan</t>
        </is>
      </c>
      <c r="C684" t="inlineStr">
        <is>
          <t>Föryngringsavverkning</t>
        </is>
      </c>
      <c r="D684" s="1" t="n">
        <v>44908</v>
      </c>
      <c r="E684" s="1" t="n">
        <v>46216</v>
      </c>
      <c r="F684" t="inlineStr">
        <is>
          <t>VÄSTERBOTTENS LÄN</t>
        </is>
      </c>
      <c r="G684" t="inlineStr">
        <is>
          <t>ÅSELE</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29586-2026</t>
        </is>
      </c>
      <c r="B685" t="inlineStr">
        <is>
          <t>avverkningsanmälan</t>
        </is>
      </c>
      <c r="C685" t="inlineStr">
        <is>
          <t>Föryngringsavverkning</t>
        </is>
      </c>
      <c r="D685" s="1" t="n">
        <v>46204</v>
      </c>
      <c r="E685" s="1" t="n">
        <v>46216</v>
      </c>
      <c r="F685" t="inlineStr">
        <is>
          <t>VÄSTERBOTTENS LÄN</t>
        </is>
      </c>
      <c r="G685" t="inlineStr">
        <is>
          <t>ÅSELE</t>
        </is>
      </c>
      <c r="H685" t="inlineStr">
        <is>
          <t>Sveaskog</t>
        </is>
      </c>
      <c r="I685" t="n">
        <v>9</v>
      </c>
      <c r="J685" t="n">
        <v>0</v>
      </c>
      <c r="K685" t="n">
        <v>0</v>
      </c>
      <c r="L685" t="n">
        <v>0</v>
      </c>
      <c r="M685" t="n">
        <v>0</v>
      </c>
      <c r="N685" t="n">
        <v>0</v>
      </c>
      <c r="O685" t="n">
        <v>0</v>
      </c>
      <c r="P685" t="n">
        <v>0</v>
      </c>
      <c r="Q685" t="n">
        <v>0</v>
      </c>
      <c r="R685" t="n">
        <v>0</v>
      </c>
      <c r="S685" t="n">
        <v>0</v>
      </c>
      <c r="T685" t="n">
        <v>0</v>
      </c>
      <c r="U685" s="2" t="inlineStr"/>
    </row>
    <row r="686" ht="15" customHeight="1">
      <c r="A686" t="inlineStr">
        <is>
          <t>A 29589-2026</t>
        </is>
      </c>
      <c r="B686" t="inlineStr">
        <is>
          <t>avverkningsanmälan</t>
        </is>
      </c>
      <c r="C686" t="inlineStr">
        <is>
          <t>Föryngringsavverkning</t>
        </is>
      </c>
      <c r="D686" s="1" t="n">
        <v>46204</v>
      </c>
      <c r="E686" s="1" t="n">
        <v>46216</v>
      </c>
      <c r="F686" t="inlineStr">
        <is>
          <t>VÄSTERBOTTENS LÄN</t>
        </is>
      </c>
      <c r="G686" t="inlineStr">
        <is>
          <t>ÅSELE</t>
        </is>
      </c>
      <c r="H686" t="inlineStr">
        <is>
          <t>Sveaskog</t>
        </is>
      </c>
      <c r="I686" t="n">
        <v>15.3</v>
      </c>
      <c r="J686" t="n">
        <v>0</v>
      </c>
      <c r="K686" t="n">
        <v>0</v>
      </c>
      <c r="L686" t="n">
        <v>0</v>
      </c>
      <c r="M686" t="n">
        <v>0</v>
      </c>
      <c r="N686" t="n">
        <v>0</v>
      </c>
      <c r="O686" t="n">
        <v>0</v>
      </c>
      <c r="P686" t="n">
        <v>0</v>
      </c>
      <c r="Q686" t="n">
        <v>0</v>
      </c>
      <c r="R686" t="n">
        <v>0</v>
      </c>
      <c r="S686" t="n">
        <v>0</v>
      </c>
      <c r="T686" t="n">
        <v>0</v>
      </c>
      <c r="U686" s="2" t="inlineStr"/>
    </row>
    <row r="687" ht="15" customHeight="1">
      <c r="A687" t="inlineStr">
        <is>
          <t>A 29595-2026</t>
        </is>
      </c>
      <c r="B687" t="inlineStr">
        <is>
          <t>avverkningsanmälan</t>
        </is>
      </c>
      <c r="C687" t="inlineStr">
        <is>
          <t>Föryngringsavverkning</t>
        </is>
      </c>
      <c r="D687" s="1" t="n">
        <v>46204</v>
      </c>
      <c r="E687" s="1" t="n">
        <v>46216</v>
      </c>
      <c r="F687" t="inlineStr">
        <is>
          <t>VÄSTERBOTTENS LÄN</t>
        </is>
      </c>
      <c r="G687" t="inlineStr">
        <is>
          <t>ÅSELE</t>
        </is>
      </c>
      <c r="H687" t="inlineStr">
        <is>
          <t>Sveaskog</t>
        </is>
      </c>
      <c r="I687" t="n">
        <v>6.2</v>
      </c>
      <c r="J687" t="n">
        <v>0</v>
      </c>
      <c r="K687" t="n">
        <v>0</v>
      </c>
      <c r="L687" t="n">
        <v>0</v>
      </c>
      <c r="M687" t="n">
        <v>0</v>
      </c>
      <c r="N687" t="n">
        <v>0</v>
      </c>
      <c r="O687" t="n">
        <v>0</v>
      </c>
      <c r="P687" t="n">
        <v>0</v>
      </c>
      <c r="Q687" t="n">
        <v>0</v>
      </c>
      <c r="R687" t="n">
        <v>0</v>
      </c>
      <c r="S687" t="n">
        <v>0</v>
      </c>
      <c r="T687" t="n">
        <v>0</v>
      </c>
      <c r="U687" s="2" t="inlineStr"/>
    </row>
    <row r="688" ht="15" customHeight="1">
      <c r="A688" t="inlineStr">
        <is>
          <t>A 25379-2026</t>
        </is>
      </c>
      <c r="B688" t="inlineStr">
        <is>
          <t>avverkningsanmälan</t>
        </is>
      </c>
      <c r="C688" t="inlineStr">
        <is>
          <t>Föryngringsavverkning</t>
        </is>
      </c>
      <c r="D688" s="1" t="n">
        <v>46174</v>
      </c>
      <c r="E688" s="1" t="n">
        <v>46216</v>
      </c>
      <c r="F688" t="inlineStr">
        <is>
          <t>VÄSTERBOTTENS LÄN</t>
        </is>
      </c>
      <c r="G688" t="inlineStr">
        <is>
          <t>ÅSELE</t>
        </is>
      </c>
      <c r="I688" t="n">
        <v>8.800000000000001</v>
      </c>
      <c r="J688" t="n">
        <v>0</v>
      </c>
      <c r="K688" t="n">
        <v>0</v>
      </c>
      <c r="L688" t="n">
        <v>0</v>
      </c>
      <c r="M688" t="n">
        <v>0</v>
      </c>
      <c r="N688" t="n">
        <v>0</v>
      </c>
      <c r="O688" t="n">
        <v>0</v>
      </c>
      <c r="P688" t="n">
        <v>0</v>
      </c>
      <c r="Q688" t="n">
        <v>0</v>
      </c>
      <c r="R688" t="n">
        <v>0</v>
      </c>
      <c r="S688" t="n">
        <v>0</v>
      </c>
      <c r="T688" t="n">
        <v>0</v>
      </c>
      <c r="U688" s="2" t="inlineStr"/>
    </row>
    <row r="689" ht="15" customHeight="1">
      <c r="A689" t="inlineStr">
        <is>
          <t>A 29979-2026</t>
        </is>
      </c>
      <c r="B689" t="inlineStr">
        <is>
          <t>avverkningsanmälan</t>
        </is>
      </c>
      <c r="C689" t="inlineStr">
        <is>
          <t>Föryngringsavverkning</t>
        </is>
      </c>
      <c r="D689" s="1" t="n">
        <v>46205</v>
      </c>
      <c r="E689" s="1" t="n">
        <v>46216</v>
      </c>
      <c r="F689" t="inlineStr">
        <is>
          <t>VÄSTERBOTTENS LÄN</t>
        </is>
      </c>
      <c r="G689" t="inlineStr">
        <is>
          <t>ÅSELE</t>
        </is>
      </c>
      <c r="H689" t="inlineStr">
        <is>
          <t>SCA</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18034-2025</t>
        </is>
      </c>
      <c r="B690" t="inlineStr">
        <is>
          <t>avverkningsanmälan</t>
        </is>
      </c>
      <c r="C690" t="inlineStr">
        <is>
          <t>Föryngringsavverkning</t>
        </is>
      </c>
      <c r="D690" s="1" t="n">
        <v>45761</v>
      </c>
      <c r="E690" s="1" t="n">
        <v>46216</v>
      </c>
      <c r="F690" t="inlineStr">
        <is>
          <t>VÄSTERBOTTENS LÄN</t>
        </is>
      </c>
      <c r="G690" t="inlineStr">
        <is>
          <t>ÅSELE</t>
        </is>
      </c>
      <c r="I690" t="n">
        <v>6.7</v>
      </c>
      <c r="J690" t="n">
        <v>0</v>
      </c>
      <c r="K690" t="n">
        <v>0</v>
      </c>
      <c r="L690" t="n">
        <v>0</v>
      </c>
      <c r="M690" t="n">
        <v>0</v>
      </c>
      <c r="N690" t="n">
        <v>0</v>
      </c>
      <c r="O690" t="n">
        <v>0</v>
      </c>
      <c r="P690" t="n">
        <v>0</v>
      </c>
      <c r="Q690" t="n">
        <v>0</v>
      </c>
      <c r="R690" t="n">
        <v>0</v>
      </c>
      <c r="S690" t="n">
        <v>0</v>
      </c>
      <c r="T690" t="n">
        <v>0</v>
      </c>
      <c r="U690" s="2" t="inlineStr"/>
    </row>
    <row r="691" ht="15" customHeight="1">
      <c r="A691" t="inlineStr">
        <is>
          <t>A 43768-2023</t>
        </is>
      </c>
      <c r="B691" t="inlineStr">
        <is>
          <t>avverkningsanmälan</t>
        </is>
      </c>
      <c r="C691" t="inlineStr">
        <is>
          <t>Föryngringsavverkning</t>
        </is>
      </c>
      <c r="D691" s="1" t="n">
        <v>45187</v>
      </c>
      <c r="E691" s="1" t="n">
        <v>46216</v>
      </c>
      <c r="F691" t="inlineStr">
        <is>
          <t>VÄSTERBOTTENS LÄN</t>
        </is>
      </c>
      <c r="G691" t="inlineStr">
        <is>
          <t>ÅSELE</t>
        </is>
      </c>
      <c r="I691" t="n">
        <v>1.7</v>
      </c>
      <c r="J691" t="n">
        <v>0</v>
      </c>
      <c r="K691" t="n">
        <v>0</v>
      </c>
      <c r="L691" t="n">
        <v>0</v>
      </c>
      <c r="M691" t="n">
        <v>0</v>
      </c>
      <c r="N691" t="n">
        <v>0</v>
      </c>
      <c r="O691" t="n">
        <v>0</v>
      </c>
      <c r="P691" t="n">
        <v>0</v>
      </c>
      <c r="Q691" t="n">
        <v>0</v>
      </c>
      <c r="R691" t="n">
        <v>0</v>
      </c>
      <c r="S691" t="n">
        <v>0</v>
      </c>
      <c r="T691" t="n">
        <v>0</v>
      </c>
      <c r="U691" s="2" t="inlineStr"/>
    </row>
    <row r="692" ht="15" customHeight="1">
      <c r="A692" t="inlineStr">
        <is>
          <t>A 28954-2024</t>
        </is>
      </c>
      <c r="B692" t="inlineStr">
        <is>
          <t>avverkningsanmälan</t>
        </is>
      </c>
      <c r="C692" t="inlineStr">
        <is>
          <t>Avverkning för att bevara och utveckla /försöksver</t>
        </is>
      </c>
      <c r="D692" s="1" t="n">
        <v>45481</v>
      </c>
      <c r="E692" s="1" t="n">
        <v>46216</v>
      </c>
      <c r="F692" t="inlineStr">
        <is>
          <t>VÄSTERBOTTENS LÄN</t>
        </is>
      </c>
      <c r="G692" t="inlineStr">
        <is>
          <t>ÅSELE</t>
        </is>
      </c>
      <c r="H692" t="inlineStr">
        <is>
          <t>Sveaskog</t>
        </is>
      </c>
      <c r="I692" t="n">
        <v>7.1</v>
      </c>
      <c r="J692" t="n">
        <v>0</v>
      </c>
      <c r="K692" t="n">
        <v>0</v>
      </c>
      <c r="L692" t="n">
        <v>0</v>
      </c>
      <c r="M692" t="n">
        <v>0</v>
      </c>
      <c r="N692" t="n">
        <v>0</v>
      </c>
      <c r="O692" t="n">
        <v>0</v>
      </c>
      <c r="P692" t="n">
        <v>0</v>
      </c>
      <c r="Q692" t="n">
        <v>0</v>
      </c>
      <c r="R692" t="n">
        <v>0</v>
      </c>
      <c r="S692" t="n">
        <v>0</v>
      </c>
      <c r="T692" t="n">
        <v>0</v>
      </c>
      <c r="U692" s="2" t="inlineStr"/>
    </row>
    <row r="693" ht="15" customHeight="1">
      <c r="A693" t="inlineStr">
        <is>
          <t>A 31474-2024</t>
        </is>
      </c>
      <c r="B693" t="inlineStr">
        <is>
          <t>avverkningsanmälan</t>
        </is>
      </c>
      <c r="C693" t="inlineStr">
        <is>
          <t>Avverkning för att bevara och utveckla /försöksver</t>
        </is>
      </c>
      <c r="D693" s="1" t="n">
        <v>45505</v>
      </c>
      <c r="E693" s="1" t="n">
        <v>46216</v>
      </c>
      <c r="F693" t="inlineStr">
        <is>
          <t>VÄSTERBOTTENS LÄN</t>
        </is>
      </c>
      <c r="G693" t="inlineStr">
        <is>
          <t>ÅSELE</t>
        </is>
      </c>
      <c r="H693" t="inlineStr">
        <is>
          <t>SCA</t>
        </is>
      </c>
      <c r="I693" t="n">
        <v>6.3</v>
      </c>
      <c r="J693" t="n">
        <v>0</v>
      </c>
      <c r="K693" t="n">
        <v>0</v>
      </c>
      <c r="L693" t="n">
        <v>0</v>
      </c>
      <c r="M693" t="n">
        <v>0</v>
      </c>
      <c r="N693" t="n">
        <v>0</v>
      </c>
      <c r="O693" t="n">
        <v>0</v>
      </c>
      <c r="P693" t="n">
        <v>0</v>
      </c>
      <c r="Q693" t="n">
        <v>0</v>
      </c>
      <c r="R693" t="n">
        <v>0</v>
      </c>
      <c r="S693" t="n">
        <v>0</v>
      </c>
      <c r="T693" t="n">
        <v>0</v>
      </c>
      <c r="U693" s="2" t="inlineStr"/>
    </row>
    <row r="694" ht="15" customHeight="1">
      <c r="A694" t="inlineStr">
        <is>
          <t>A 31348-2023</t>
        </is>
      </c>
      <c r="B694" t="inlineStr">
        <is>
          <t>avverkningsanmälan</t>
        </is>
      </c>
      <c r="C694" t="inlineStr">
        <is>
          <t>Föryngringsavverkning</t>
        </is>
      </c>
      <c r="D694" s="1" t="n">
        <v>45114</v>
      </c>
      <c r="E694" s="1" t="n">
        <v>46216</v>
      </c>
      <c r="F694" t="inlineStr">
        <is>
          <t>VÄSTERBOTTENS LÄN</t>
        </is>
      </c>
      <c r="G694" t="inlineStr">
        <is>
          <t>ÅSELE</t>
        </is>
      </c>
      <c r="H694" t="inlineStr">
        <is>
          <t>Holmen skog AB</t>
        </is>
      </c>
      <c r="I694" t="n">
        <v>5.8</v>
      </c>
      <c r="J694" t="n">
        <v>0</v>
      </c>
      <c r="K694" t="n">
        <v>0</v>
      </c>
      <c r="L694" t="n">
        <v>0</v>
      </c>
      <c r="M694" t="n">
        <v>0</v>
      </c>
      <c r="N694" t="n">
        <v>0</v>
      </c>
      <c r="O694" t="n">
        <v>0</v>
      </c>
      <c r="P694" t="n">
        <v>0</v>
      </c>
      <c r="Q694" t="n">
        <v>0</v>
      </c>
      <c r="R694" t="n">
        <v>0</v>
      </c>
      <c r="S694" t="n">
        <v>0</v>
      </c>
      <c r="T694" t="n">
        <v>0</v>
      </c>
      <c r="U694" s="2" t="inlineStr"/>
    </row>
    <row r="695" ht="15" customHeight="1">
      <c r="A695" t="inlineStr">
        <is>
          <t>A 27868-2023</t>
        </is>
      </c>
      <c r="B695" t="inlineStr">
        <is>
          <t>avverkningsanmälan</t>
        </is>
      </c>
      <c r="C695" t="inlineStr">
        <is>
          <t>Föryngringsavverkning</t>
        </is>
      </c>
      <c r="D695" s="1" t="n">
        <v>45098</v>
      </c>
      <c r="E695" s="1" t="n">
        <v>46216</v>
      </c>
      <c r="F695" t="inlineStr">
        <is>
          <t>VÄSTERBOTTENS LÄN</t>
        </is>
      </c>
      <c r="G695" t="inlineStr">
        <is>
          <t>ÅSELE</t>
        </is>
      </c>
      <c r="H695" t="inlineStr">
        <is>
          <t>Sveaskog</t>
        </is>
      </c>
      <c r="I695" t="n">
        <v>2.3</v>
      </c>
      <c r="J695" t="n">
        <v>0</v>
      </c>
      <c r="K695" t="n">
        <v>0</v>
      </c>
      <c r="L695" t="n">
        <v>0</v>
      </c>
      <c r="M695" t="n">
        <v>0</v>
      </c>
      <c r="N695" t="n">
        <v>0</v>
      </c>
      <c r="O695" t="n">
        <v>0</v>
      </c>
      <c r="P695" t="n">
        <v>0</v>
      </c>
      <c r="Q695" t="n">
        <v>0</v>
      </c>
      <c r="R695" t="n">
        <v>0</v>
      </c>
      <c r="S695" t="n">
        <v>0</v>
      </c>
      <c r="T695" t="n">
        <v>0</v>
      </c>
      <c r="U695" s="2" t="inlineStr"/>
    </row>
    <row r="696" ht="15" customHeight="1">
      <c r="A696" t="inlineStr">
        <is>
          <t>A 29983-2026</t>
        </is>
      </c>
      <c r="B696" t="inlineStr">
        <is>
          <t>avverkningsanmälan</t>
        </is>
      </c>
      <c r="C696" t="inlineStr">
        <is>
          <t>Föryngringsavverkning</t>
        </is>
      </c>
      <c r="D696" s="1" t="n">
        <v>46205</v>
      </c>
      <c r="E696" s="1" t="n">
        <v>46216</v>
      </c>
      <c r="F696" t="inlineStr">
        <is>
          <t>VÄSTERBOTTENS LÄN</t>
        </is>
      </c>
      <c r="G696" t="inlineStr">
        <is>
          <t>ÅSELE</t>
        </is>
      </c>
      <c r="H696" t="inlineStr">
        <is>
          <t>SCA</t>
        </is>
      </c>
      <c r="I696" t="n">
        <v>5.6</v>
      </c>
      <c r="J696" t="n">
        <v>0</v>
      </c>
      <c r="K696" t="n">
        <v>0</v>
      </c>
      <c r="L696" t="n">
        <v>0</v>
      </c>
      <c r="M696" t="n">
        <v>0</v>
      </c>
      <c r="N696" t="n">
        <v>0</v>
      </c>
      <c r="O696" t="n">
        <v>0</v>
      </c>
      <c r="P696" t="n">
        <v>0</v>
      </c>
      <c r="Q696" t="n">
        <v>0</v>
      </c>
      <c r="R696" t="n">
        <v>0</v>
      </c>
      <c r="S696" t="n">
        <v>0</v>
      </c>
      <c r="T696" t="n">
        <v>0</v>
      </c>
      <c r="U696" s="2" t="inlineStr"/>
    </row>
    <row r="697" ht="15" customHeight="1">
      <c r="A697" t="inlineStr">
        <is>
          <t>A 51544-2024</t>
        </is>
      </c>
      <c r="B697" t="inlineStr">
        <is>
          <t>avverkningsanmälan</t>
        </is>
      </c>
      <c r="C697" t="inlineStr">
        <is>
          <t>Föryngringsavverkning</t>
        </is>
      </c>
      <c r="D697" s="1" t="n">
        <v>45604</v>
      </c>
      <c r="E697" s="1" t="n">
        <v>46216</v>
      </c>
      <c r="F697" t="inlineStr">
        <is>
          <t>VÄSTERBOTTENS LÄN</t>
        </is>
      </c>
      <c r="G697" t="inlineStr">
        <is>
          <t>ÅSELE</t>
        </is>
      </c>
      <c r="H697" t="inlineStr">
        <is>
          <t>SCA</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29993-2026</t>
        </is>
      </c>
      <c r="B698" t="inlineStr">
        <is>
          <t>avverkningsanmälan</t>
        </is>
      </c>
      <c r="C698" t="inlineStr">
        <is>
          <t>Föryngringsavverkning</t>
        </is>
      </c>
      <c r="D698" s="1" t="n">
        <v>46205</v>
      </c>
      <c r="E698" s="1" t="n">
        <v>46216</v>
      </c>
      <c r="F698" t="inlineStr">
        <is>
          <t>VÄSTERBOTTENS LÄN</t>
        </is>
      </c>
      <c r="G698" t="inlineStr">
        <is>
          <t>ÅSELE</t>
        </is>
      </c>
      <c r="H698" t="inlineStr">
        <is>
          <t>SCA</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23323-2026</t>
        </is>
      </c>
      <c r="B699" t="inlineStr">
        <is>
          <t>avverkningsanmälan</t>
        </is>
      </c>
      <c r="C699" t="inlineStr">
        <is>
          <t>Föryngringsavverkning</t>
        </is>
      </c>
      <c r="D699" s="1" t="n">
        <v>46162</v>
      </c>
      <c r="E699" s="1" t="n">
        <v>46216</v>
      </c>
      <c r="F699" t="inlineStr">
        <is>
          <t>VÄSTERBOTTENS LÄN</t>
        </is>
      </c>
      <c r="G699" t="inlineStr">
        <is>
          <t>ÅSELE</t>
        </is>
      </c>
      <c r="H699" t="inlineStr">
        <is>
          <t>SCA</t>
        </is>
      </c>
      <c r="I699" t="n">
        <v>3</v>
      </c>
      <c r="J699" t="n">
        <v>0</v>
      </c>
      <c r="K699" t="n">
        <v>0</v>
      </c>
      <c r="L699" t="n">
        <v>0</v>
      </c>
      <c r="M699" t="n">
        <v>0</v>
      </c>
      <c r="N699" t="n">
        <v>0</v>
      </c>
      <c r="O699" t="n">
        <v>0</v>
      </c>
      <c r="P699" t="n">
        <v>0</v>
      </c>
      <c r="Q699" t="n">
        <v>0</v>
      </c>
      <c r="R699" t="n">
        <v>0</v>
      </c>
      <c r="S699" t="n">
        <v>0</v>
      </c>
      <c r="T699" t="n">
        <v>0</v>
      </c>
      <c r="U699" s="2" t="inlineStr"/>
    </row>
    <row r="700" ht="15" customHeight="1">
      <c r="A700" t="inlineStr">
        <is>
          <t>A 29569-2026</t>
        </is>
      </c>
      <c r="B700" t="inlineStr">
        <is>
          <t>avverkningsanmälan</t>
        </is>
      </c>
      <c r="C700" t="inlineStr">
        <is>
          <t>Föryngringsavverkning</t>
        </is>
      </c>
      <c r="D700" s="1" t="n">
        <v>46204</v>
      </c>
      <c r="E700" s="1" t="n">
        <v>46216</v>
      </c>
      <c r="F700" t="inlineStr">
        <is>
          <t>VÄSTERBOTTENS LÄN</t>
        </is>
      </c>
      <c r="G700" t="inlineStr">
        <is>
          <t>ÅSELE</t>
        </is>
      </c>
      <c r="H700" t="inlineStr">
        <is>
          <t>Sveaskog</t>
        </is>
      </c>
      <c r="I700" t="n">
        <v>9.300000000000001</v>
      </c>
      <c r="J700" t="n">
        <v>0</v>
      </c>
      <c r="K700" t="n">
        <v>0</v>
      </c>
      <c r="L700" t="n">
        <v>0</v>
      </c>
      <c r="M700" t="n">
        <v>0</v>
      </c>
      <c r="N700" t="n">
        <v>0</v>
      </c>
      <c r="O700" t="n">
        <v>0</v>
      </c>
      <c r="P700" t="n">
        <v>0</v>
      </c>
      <c r="Q700" t="n">
        <v>0</v>
      </c>
      <c r="R700" t="n">
        <v>0</v>
      </c>
      <c r="S700" t="n">
        <v>0</v>
      </c>
      <c r="T700" t="n">
        <v>0</v>
      </c>
      <c r="U700" s="2" t="inlineStr"/>
    </row>
    <row r="701" ht="15" customHeight="1">
      <c r="A701" t="inlineStr">
        <is>
          <t>A 29588-2026</t>
        </is>
      </c>
      <c r="B701" t="inlineStr">
        <is>
          <t>avverkningsanmälan</t>
        </is>
      </c>
      <c r="C701" t="inlineStr">
        <is>
          <t>Föryngringsavverkning</t>
        </is>
      </c>
      <c r="D701" s="1" t="n">
        <v>46204</v>
      </c>
      <c r="E701" s="1" t="n">
        <v>46216</v>
      </c>
      <c r="F701" t="inlineStr">
        <is>
          <t>VÄSTERBOTTENS LÄN</t>
        </is>
      </c>
      <c r="G701" t="inlineStr">
        <is>
          <t>ÅSELE</t>
        </is>
      </c>
      <c r="H701" t="inlineStr">
        <is>
          <t>Sveaskog</t>
        </is>
      </c>
      <c r="I701" t="n">
        <v>30</v>
      </c>
      <c r="J701" t="n">
        <v>0</v>
      </c>
      <c r="K701" t="n">
        <v>0</v>
      </c>
      <c r="L701" t="n">
        <v>0</v>
      </c>
      <c r="M701" t="n">
        <v>0</v>
      </c>
      <c r="N701" t="n">
        <v>0</v>
      </c>
      <c r="O701" t="n">
        <v>0</v>
      </c>
      <c r="P701" t="n">
        <v>0</v>
      </c>
      <c r="Q701" t="n">
        <v>0</v>
      </c>
      <c r="R701" t="n">
        <v>0</v>
      </c>
      <c r="S701" t="n">
        <v>0</v>
      </c>
      <c r="T701" t="n">
        <v>0</v>
      </c>
      <c r="U701" s="2" t="inlineStr"/>
    </row>
    <row r="702" ht="15" customHeight="1">
      <c r="A702" t="inlineStr">
        <is>
          <t>A 29602-2026</t>
        </is>
      </c>
      <c r="B702" t="inlineStr">
        <is>
          <t>avverkningsanmälan</t>
        </is>
      </c>
      <c r="C702" t="inlineStr">
        <is>
          <t>Föryngringsavverkning</t>
        </is>
      </c>
      <c r="D702" s="1" t="n">
        <v>46204</v>
      </c>
      <c r="E702" s="1" t="n">
        <v>46216</v>
      </c>
      <c r="F702" t="inlineStr">
        <is>
          <t>VÄSTERBOTTENS LÄN</t>
        </is>
      </c>
      <c r="G702" t="inlineStr">
        <is>
          <t>ÅSELE</t>
        </is>
      </c>
      <c r="H702" t="inlineStr">
        <is>
          <t>Sveaskog</t>
        </is>
      </c>
      <c r="I702" t="n">
        <v>28.1</v>
      </c>
      <c r="J702" t="n">
        <v>0</v>
      </c>
      <c r="K702" t="n">
        <v>0</v>
      </c>
      <c r="L702" t="n">
        <v>0</v>
      </c>
      <c r="M702" t="n">
        <v>0</v>
      </c>
      <c r="N702" t="n">
        <v>0</v>
      </c>
      <c r="O702" t="n">
        <v>0</v>
      </c>
      <c r="P702" t="n">
        <v>0</v>
      </c>
      <c r="Q702" t="n">
        <v>0</v>
      </c>
      <c r="R702" t="n">
        <v>0</v>
      </c>
      <c r="S702" t="n">
        <v>0</v>
      </c>
      <c r="T702" t="n">
        <v>0</v>
      </c>
      <c r="U702" s="2" t="inlineStr"/>
    </row>
    <row r="703" ht="15" customHeight="1">
      <c r="A703" t="inlineStr">
        <is>
          <t>A 23623-2026</t>
        </is>
      </c>
      <c r="B703" t="inlineStr">
        <is>
          <t>avverkningsanmälan</t>
        </is>
      </c>
      <c r="C703" t="inlineStr">
        <is>
          <t>Föryngringsavverkning</t>
        </is>
      </c>
      <c r="D703" s="1" t="n">
        <v>46162</v>
      </c>
      <c r="E703" s="1" t="n">
        <v>46216</v>
      </c>
      <c r="F703" t="inlineStr">
        <is>
          <t>VÄSTERBOTTENS LÄN</t>
        </is>
      </c>
      <c r="G703" t="inlineStr">
        <is>
          <t>ÅSELE</t>
        </is>
      </c>
      <c r="I703" t="n">
        <v>3.2</v>
      </c>
      <c r="J703" t="n">
        <v>0</v>
      </c>
      <c r="K703" t="n">
        <v>0</v>
      </c>
      <c r="L703" t="n">
        <v>0</v>
      </c>
      <c r="M703" t="n">
        <v>0</v>
      </c>
      <c r="N703" t="n">
        <v>0</v>
      </c>
      <c r="O703" t="n">
        <v>0</v>
      </c>
      <c r="P703" t="n">
        <v>0</v>
      </c>
      <c r="Q703" t="n">
        <v>0</v>
      </c>
      <c r="R703" t="n">
        <v>0</v>
      </c>
      <c r="S703" t="n">
        <v>0</v>
      </c>
      <c r="T703" t="n">
        <v>0</v>
      </c>
      <c r="U703" s="2" t="inlineStr"/>
    </row>
    <row r="704" ht="15" customHeight="1">
      <c r="A704" t="inlineStr">
        <is>
          <t>A 8724-2025</t>
        </is>
      </c>
      <c r="B704" t="inlineStr">
        <is>
          <t>avverkningsanmälan</t>
        </is>
      </c>
      <c r="C704" t="inlineStr">
        <is>
          <t>Föryngringsavverkning</t>
        </is>
      </c>
      <c r="D704" s="1" t="n">
        <v>45712</v>
      </c>
      <c r="E704" s="1" t="n">
        <v>46216</v>
      </c>
      <c r="F704" t="inlineStr">
        <is>
          <t>VÄSTERBOTTENS LÄN</t>
        </is>
      </c>
      <c r="G704" t="inlineStr">
        <is>
          <t>ÅSELE</t>
        </is>
      </c>
      <c r="H704" t="inlineStr">
        <is>
          <t>SCA</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39989-2023</t>
        </is>
      </c>
      <c r="B705" t="inlineStr">
        <is>
          <t>avverkningsanmälan</t>
        </is>
      </c>
      <c r="C705" t="inlineStr">
        <is>
          <t>Föryngringsavverkning</t>
        </is>
      </c>
      <c r="D705" s="1" t="n">
        <v>45167</v>
      </c>
      <c r="E705" s="1" t="n">
        <v>46216</v>
      </c>
      <c r="F705" t="inlineStr">
        <is>
          <t>VÄSTERBOTTENS LÄN</t>
        </is>
      </c>
      <c r="G705" t="inlineStr">
        <is>
          <t>ÅSELE</t>
        </is>
      </c>
      <c r="I705" t="n">
        <v>5.2</v>
      </c>
      <c r="J705" t="n">
        <v>0</v>
      </c>
      <c r="K705" t="n">
        <v>0</v>
      </c>
      <c r="L705" t="n">
        <v>0</v>
      </c>
      <c r="M705" t="n">
        <v>0</v>
      </c>
      <c r="N705" t="n">
        <v>0</v>
      </c>
      <c r="O705" t="n">
        <v>0</v>
      </c>
      <c r="P705" t="n">
        <v>0</v>
      </c>
      <c r="Q705" t="n">
        <v>0</v>
      </c>
      <c r="R705" t="n">
        <v>0</v>
      </c>
      <c r="S705" t="n">
        <v>0</v>
      </c>
      <c r="T705" t="n">
        <v>0</v>
      </c>
      <c r="U705" s="2" t="inlineStr"/>
    </row>
    <row r="706" ht="15" customHeight="1">
      <c r="A706" t="inlineStr">
        <is>
          <t>A 45297-2024</t>
        </is>
      </c>
      <c r="B706" t="inlineStr">
        <is>
          <t>avverkningsanmälan</t>
        </is>
      </c>
      <c r="C706" t="inlineStr">
        <is>
          <t>Föryngringsavverkning</t>
        </is>
      </c>
      <c r="D706" s="1" t="n">
        <v>45576</v>
      </c>
      <c r="E706" s="1" t="n">
        <v>46216</v>
      </c>
      <c r="F706" t="inlineStr">
        <is>
          <t>VÄSTERBOTTENS LÄN</t>
        </is>
      </c>
      <c r="G706" t="inlineStr">
        <is>
          <t>ÅSELE</t>
        </is>
      </c>
      <c r="H706" t="inlineStr">
        <is>
          <t>Sveaskog</t>
        </is>
      </c>
      <c r="I706" t="n">
        <v>2.8</v>
      </c>
      <c r="J706" t="n">
        <v>0</v>
      </c>
      <c r="K706" t="n">
        <v>0</v>
      </c>
      <c r="L706" t="n">
        <v>0</v>
      </c>
      <c r="M706" t="n">
        <v>0</v>
      </c>
      <c r="N706" t="n">
        <v>0</v>
      </c>
      <c r="O706" t="n">
        <v>0</v>
      </c>
      <c r="P706" t="n">
        <v>0</v>
      </c>
      <c r="Q706" t="n">
        <v>0</v>
      </c>
      <c r="R706" t="n">
        <v>0</v>
      </c>
      <c r="S706" t="n">
        <v>0</v>
      </c>
      <c r="T706" t="n">
        <v>0</v>
      </c>
      <c r="U706" s="2" t="inlineStr"/>
    </row>
    <row r="707" ht="15" customHeight="1">
      <c r="A707" t="inlineStr">
        <is>
          <t>A 30365-2026</t>
        </is>
      </c>
      <c r="B707" t="inlineStr">
        <is>
          <t>avverkningsanmälan</t>
        </is>
      </c>
      <c r="C707" t="inlineStr">
        <is>
          <t>Föryngringsavverkning</t>
        </is>
      </c>
      <c r="D707" s="1" t="n">
        <v>46209</v>
      </c>
      <c r="E707" s="1" t="n">
        <v>46216</v>
      </c>
      <c r="F707" t="inlineStr">
        <is>
          <t>VÄSTERBOTTENS LÄN</t>
        </is>
      </c>
      <c r="G707" t="inlineStr">
        <is>
          <t>ÅSELE</t>
        </is>
      </c>
      <c r="I707" t="n">
        <v>6.3</v>
      </c>
      <c r="J707" t="n">
        <v>0</v>
      </c>
      <c r="K707" t="n">
        <v>0</v>
      </c>
      <c r="L707" t="n">
        <v>0</v>
      </c>
      <c r="M707" t="n">
        <v>0</v>
      </c>
      <c r="N707" t="n">
        <v>0</v>
      </c>
      <c r="O707" t="n">
        <v>0</v>
      </c>
      <c r="P707" t="n">
        <v>0</v>
      </c>
      <c r="Q707" t="n">
        <v>0</v>
      </c>
      <c r="R707" t="n">
        <v>0</v>
      </c>
      <c r="S707" t="n">
        <v>0</v>
      </c>
      <c r="T707" t="n">
        <v>0</v>
      </c>
      <c r="U707" s="2" t="inlineStr"/>
    </row>
    <row r="708" ht="15" customHeight="1">
      <c r="A708" t="inlineStr">
        <is>
          <t>A 13273-2026</t>
        </is>
      </c>
      <c r="B708" t="inlineStr">
        <is>
          <t>avverkningsanmälan</t>
        </is>
      </c>
      <c r="C708" t="inlineStr">
        <is>
          <t>Avverkning för annat ändamål</t>
        </is>
      </c>
      <c r="D708" s="1" t="n">
        <v>46093</v>
      </c>
      <c r="E708" s="1" t="n">
        <v>46216</v>
      </c>
      <c r="F708" t="inlineStr">
        <is>
          <t>VÄSTERBOTTENS LÄN</t>
        </is>
      </c>
      <c r="G708" t="inlineStr">
        <is>
          <t>ÅSELE</t>
        </is>
      </c>
      <c r="I708" t="n">
        <v>3.8</v>
      </c>
      <c r="J708" t="n">
        <v>0</v>
      </c>
      <c r="K708" t="n">
        <v>0</v>
      </c>
      <c r="L708" t="n">
        <v>0</v>
      </c>
      <c r="M708" t="n">
        <v>0</v>
      </c>
      <c r="N708" t="n">
        <v>0</v>
      </c>
      <c r="O708" t="n">
        <v>0</v>
      </c>
      <c r="P708" t="n">
        <v>0</v>
      </c>
      <c r="Q708" t="n">
        <v>0</v>
      </c>
      <c r="R708" t="n">
        <v>0</v>
      </c>
      <c r="S708" t="n">
        <v>0</v>
      </c>
      <c r="T708" t="n">
        <v>0</v>
      </c>
      <c r="U708" s="2" t="inlineStr"/>
    </row>
    <row r="709" ht="15" customHeight="1">
      <c r="A709" t="inlineStr">
        <is>
          <t>A 30334-2026</t>
        </is>
      </c>
      <c r="B709" t="inlineStr">
        <is>
          <t>avverkningsanmälan</t>
        </is>
      </c>
      <c r="C709" t="inlineStr">
        <is>
          <t>Avverkning för annat ändamål</t>
        </is>
      </c>
      <c r="D709" s="1" t="n">
        <v>46208</v>
      </c>
      <c r="E709" s="1" t="n">
        <v>46216</v>
      </c>
      <c r="F709" t="inlineStr">
        <is>
          <t>VÄSTERBOTTENS LÄN</t>
        </is>
      </c>
      <c r="G709" t="inlineStr">
        <is>
          <t>ÅSELE</t>
        </is>
      </c>
      <c r="H709" t="inlineStr">
        <is>
          <t>Sveaskog</t>
        </is>
      </c>
      <c r="I709" t="n">
        <v>3.1</v>
      </c>
      <c r="J709" t="n">
        <v>0</v>
      </c>
      <c r="K709" t="n">
        <v>0</v>
      </c>
      <c r="L709" t="n">
        <v>0</v>
      </c>
      <c r="M709" t="n">
        <v>0</v>
      </c>
      <c r="N709" t="n">
        <v>0</v>
      </c>
      <c r="O709" t="n">
        <v>0</v>
      </c>
      <c r="P709" t="n">
        <v>0</v>
      </c>
      <c r="Q709" t="n">
        <v>0</v>
      </c>
      <c r="R709" t="n">
        <v>0</v>
      </c>
      <c r="S709" t="n">
        <v>0</v>
      </c>
      <c r="T709" t="n">
        <v>0</v>
      </c>
      <c r="U709" s="2" t="inlineStr"/>
    </row>
    <row r="710" ht="15" customHeight="1">
      <c r="A710" t="inlineStr">
        <is>
          <t>A 30260-2026</t>
        </is>
      </c>
      <c r="B710" t="inlineStr">
        <is>
          <t>avverkningsanmälan</t>
        </is>
      </c>
      <c r="C710" t="inlineStr">
        <is>
          <t>Föryngringsavverkning</t>
        </is>
      </c>
      <c r="D710" s="1" t="n">
        <v>46206</v>
      </c>
      <c r="E710" s="1" t="n">
        <v>46216</v>
      </c>
      <c r="F710" t="inlineStr">
        <is>
          <t>VÄSTERBOTTENS LÄN</t>
        </is>
      </c>
      <c r="G710" t="inlineStr">
        <is>
          <t>ÅSELE</t>
        </is>
      </c>
      <c r="H710" t="inlineStr">
        <is>
          <t>Sveaskog</t>
        </is>
      </c>
      <c r="I710" t="n">
        <v>6</v>
      </c>
      <c r="J710" t="n">
        <v>0</v>
      </c>
      <c r="K710" t="n">
        <v>0</v>
      </c>
      <c r="L710" t="n">
        <v>0</v>
      </c>
      <c r="M710" t="n">
        <v>0</v>
      </c>
      <c r="N710" t="n">
        <v>0</v>
      </c>
      <c r="O710" t="n">
        <v>0</v>
      </c>
      <c r="P710" t="n">
        <v>0</v>
      </c>
      <c r="Q710" t="n">
        <v>0</v>
      </c>
      <c r="R710" t="n">
        <v>0</v>
      </c>
      <c r="S710" t="n">
        <v>0</v>
      </c>
      <c r="T710" t="n">
        <v>0</v>
      </c>
      <c r="U710" s="2" t="inlineStr"/>
    </row>
    <row r="711" ht="15" customHeight="1">
      <c r="A711" t="inlineStr">
        <is>
          <t>A 30256-2026</t>
        </is>
      </c>
      <c r="B711" t="inlineStr">
        <is>
          <t>avverkningsanmälan</t>
        </is>
      </c>
      <c r="C711" t="inlineStr">
        <is>
          <t>Föryngringsavverkning</t>
        </is>
      </c>
      <c r="D711" s="1" t="n">
        <v>46206</v>
      </c>
      <c r="E711" s="1" t="n">
        <v>46216</v>
      </c>
      <c r="F711" t="inlineStr">
        <is>
          <t>VÄSTERBOTTENS LÄN</t>
        </is>
      </c>
      <c r="G711" t="inlineStr">
        <is>
          <t>ÅSELE</t>
        </is>
      </c>
      <c r="H711" t="inlineStr">
        <is>
          <t>Sveaskog</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36115-2024</t>
        </is>
      </c>
      <c r="B712" t="inlineStr">
        <is>
          <t>avverkningsanmälan</t>
        </is>
      </c>
      <c r="C712" t="inlineStr">
        <is>
          <t>Föryngringsavverkning</t>
        </is>
      </c>
      <c r="D712" s="1" t="n">
        <v>45534</v>
      </c>
      <c r="E712" s="1" t="n">
        <v>46216</v>
      </c>
      <c r="F712" t="inlineStr">
        <is>
          <t>VÄSTERBOTTENS LÄN</t>
        </is>
      </c>
      <c r="G712" t="inlineStr">
        <is>
          <t>ÅSELE</t>
        </is>
      </c>
      <c r="H712" t="inlineStr">
        <is>
          <t>Sveaskog</t>
        </is>
      </c>
      <c r="I712" t="n">
        <v>6.4</v>
      </c>
      <c r="J712" t="n">
        <v>0</v>
      </c>
      <c r="K712" t="n">
        <v>0</v>
      </c>
      <c r="L712" t="n">
        <v>0</v>
      </c>
      <c r="M712" t="n">
        <v>0</v>
      </c>
      <c r="N712" t="n">
        <v>0</v>
      </c>
      <c r="O712" t="n">
        <v>0</v>
      </c>
      <c r="P712" t="n">
        <v>0</v>
      </c>
      <c r="Q712" t="n">
        <v>0</v>
      </c>
      <c r="R712" t="n">
        <v>0</v>
      </c>
      <c r="S712" t="n">
        <v>0</v>
      </c>
      <c r="T712" t="n">
        <v>0</v>
      </c>
      <c r="U712" s="2" t="inlineStr"/>
    </row>
    <row r="713" ht="15" customHeight="1">
      <c r="A713" t="inlineStr">
        <is>
          <t>A 30252-2026</t>
        </is>
      </c>
      <c r="B713" t="inlineStr">
        <is>
          <t>avverkningsanmälan</t>
        </is>
      </c>
      <c r="C713" t="inlineStr">
        <is>
          <t>Föryngringsavverkning</t>
        </is>
      </c>
      <c r="D713" s="1" t="n">
        <v>46206</v>
      </c>
      <c r="E713" s="1" t="n">
        <v>46216</v>
      </c>
      <c r="F713" t="inlineStr">
        <is>
          <t>VÄSTERBOTTENS LÄN</t>
        </is>
      </c>
      <c r="G713" t="inlineStr">
        <is>
          <t>ÅSELE</t>
        </is>
      </c>
      <c r="H713" t="inlineStr">
        <is>
          <t>Sveaskog</t>
        </is>
      </c>
      <c r="I713" t="n">
        <v>10.7</v>
      </c>
      <c r="J713" t="n">
        <v>0</v>
      </c>
      <c r="K713" t="n">
        <v>0</v>
      </c>
      <c r="L713" t="n">
        <v>0</v>
      </c>
      <c r="M713" t="n">
        <v>0</v>
      </c>
      <c r="N713" t="n">
        <v>0</v>
      </c>
      <c r="O713" t="n">
        <v>0</v>
      </c>
      <c r="P713" t="n">
        <v>0</v>
      </c>
      <c r="Q713" t="n">
        <v>0</v>
      </c>
      <c r="R713" t="n">
        <v>0</v>
      </c>
      <c r="S713" t="n">
        <v>0</v>
      </c>
      <c r="T713" t="n">
        <v>0</v>
      </c>
      <c r="U713" s="2" t="inlineStr"/>
    </row>
    <row r="714" ht="15" customHeight="1">
      <c r="A714" t="inlineStr">
        <is>
          <t>A 29531-2025</t>
        </is>
      </c>
      <c r="B714" t="inlineStr">
        <is>
          <t>avverkningsanmälan</t>
        </is>
      </c>
      <c r="C714" t="inlineStr">
        <is>
          <t>Föryngringsavverkning</t>
        </is>
      </c>
      <c r="D714" s="1" t="n">
        <v>45825</v>
      </c>
      <c r="E714" s="1" t="n">
        <v>46216</v>
      </c>
      <c r="F714" t="inlineStr">
        <is>
          <t>VÄSTERBOTTENS LÄN</t>
        </is>
      </c>
      <c r="G714" t="inlineStr">
        <is>
          <t>ÅSELE</t>
        </is>
      </c>
      <c r="H714" t="inlineStr">
        <is>
          <t>SCA</t>
        </is>
      </c>
      <c r="I714" t="n">
        <v>2.2</v>
      </c>
      <c r="J714" t="n">
        <v>0</v>
      </c>
      <c r="K714" t="n">
        <v>0</v>
      </c>
      <c r="L714" t="n">
        <v>0</v>
      </c>
      <c r="M714" t="n">
        <v>0</v>
      </c>
      <c r="N714" t="n">
        <v>0</v>
      </c>
      <c r="O714" t="n">
        <v>0</v>
      </c>
      <c r="P714" t="n">
        <v>0</v>
      </c>
      <c r="Q714" t="n">
        <v>0</v>
      </c>
      <c r="R714" t="n">
        <v>0</v>
      </c>
      <c r="S714" t="n">
        <v>0</v>
      </c>
      <c r="T714" t="n">
        <v>0</v>
      </c>
      <c r="U714" s="2" t="inlineStr"/>
    </row>
    <row r="715" ht="15" customHeight="1">
      <c r="A715" t="inlineStr">
        <is>
          <t>A 30411-2026</t>
        </is>
      </c>
      <c r="B715" t="inlineStr">
        <is>
          <t>avverkningsanmälan</t>
        </is>
      </c>
      <c r="C715" t="inlineStr">
        <is>
          <t>Föryngringsavverkning</t>
        </is>
      </c>
      <c r="D715" s="1" t="n">
        <v>46209</v>
      </c>
      <c r="E715" s="1" t="n">
        <v>46216</v>
      </c>
      <c r="F715" t="inlineStr">
        <is>
          <t>VÄSTERBOTTENS LÄN</t>
        </is>
      </c>
      <c r="G715" t="inlineStr">
        <is>
          <t>ÅSELE</t>
        </is>
      </c>
      <c r="I715" t="n">
        <v>4.5</v>
      </c>
      <c r="J715" t="n">
        <v>0</v>
      </c>
      <c r="K715" t="n">
        <v>0</v>
      </c>
      <c r="L715" t="n">
        <v>0</v>
      </c>
      <c r="M715" t="n">
        <v>0</v>
      </c>
      <c r="N715" t="n">
        <v>0</v>
      </c>
      <c r="O715" t="n">
        <v>0</v>
      </c>
      <c r="P715" t="n">
        <v>0</v>
      </c>
      <c r="Q715" t="n">
        <v>0</v>
      </c>
      <c r="R715" t="n">
        <v>0</v>
      </c>
      <c r="S715" t="n">
        <v>0</v>
      </c>
      <c r="T715" t="n">
        <v>0</v>
      </c>
      <c r="U715" s="2" t="inlineStr"/>
    </row>
    <row r="716" ht="15" customHeight="1">
      <c r="A716" t="inlineStr">
        <is>
          <t>A 29599-2024</t>
        </is>
      </c>
      <c r="B716" t="inlineStr">
        <is>
          <t>avverkningsanmälan</t>
        </is>
      </c>
      <c r="C716" t="inlineStr">
        <is>
          <t>Föryngringsavverkning</t>
        </is>
      </c>
      <c r="D716" s="1" t="n">
        <v>45484</v>
      </c>
      <c r="E716" s="1" t="n">
        <v>46216</v>
      </c>
      <c r="F716" t="inlineStr">
        <is>
          <t>VÄSTERBOTTENS LÄN</t>
        </is>
      </c>
      <c r="G716" t="inlineStr">
        <is>
          <t>ÅSELE</t>
        </is>
      </c>
      <c r="H716" t="inlineStr">
        <is>
          <t>Sveaskog</t>
        </is>
      </c>
      <c r="I716" t="n">
        <v>5.7</v>
      </c>
      <c r="J716" t="n">
        <v>0</v>
      </c>
      <c r="K716" t="n">
        <v>0</v>
      </c>
      <c r="L716" t="n">
        <v>0</v>
      </c>
      <c r="M716" t="n">
        <v>0</v>
      </c>
      <c r="N716" t="n">
        <v>0</v>
      </c>
      <c r="O716" t="n">
        <v>0</v>
      </c>
      <c r="P716" t="n">
        <v>0</v>
      </c>
      <c r="Q716" t="n">
        <v>0</v>
      </c>
      <c r="R716" t="n">
        <v>0</v>
      </c>
      <c r="S716" t="n">
        <v>0</v>
      </c>
      <c r="T716" t="n">
        <v>0</v>
      </c>
      <c r="U716" s="2" t="inlineStr"/>
    </row>
    <row r="717" ht="15" customHeight="1">
      <c r="A717" t="inlineStr">
        <is>
          <t>A 30001-2026</t>
        </is>
      </c>
      <c r="B717" t="inlineStr">
        <is>
          <t>avverkningsanmälan</t>
        </is>
      </c>
      <c r="C717" t="inlineStr">
        <is>
          <t>Föryngringsavverkning</t>
        </is>
      </c>
      <c r="D717" s="1" t="n">
        <v>46202</v>
      </c>
      <c r="E717" s="1" t="n">
        <v>46216</v>
      </c>
      <c r="F717" t="inlineStr">
        <is>
          <t>VÄSTERBOTTENS LÄN</t>
        </is>
      </c>
      <c r="G717" t="inlineStr">
        <is>
          <t>ÅSELE</t>
        </is>
      </c>
      <c r="I717" t="n">
        <v>2.5</v>
      </c>
      <c r="J717" t="n">
        <v>0</v>
      </c>
      <c r="K717" t="n">
        <v>0</v>
      </c>
      <c r="L717" t="n">
        <v>0</v>
      </c>
      <c r="M717" t="n">
        <v>0</v>
      </c>
      <c r="N717" t="n">
        <v>0</v>
      </c>
      <c r="O717" t="n">
        <v>0</v>
      </c>
      <c r="P717" t="n">
        <v>0</v>
      </c>
      <c r="Q717" t="n">
        <v>0</v>
      </c>
      <c r="R717" t="n">
        <v>0</v>
      </c>
      <c r="S717" t="n">
        <v>0</v>
      </c>
      <c r="T717" t="n">
        <v>0</v>
      </c>
      <c r="U717" s="2" t="inlineStr"/>
    </row>
    <row r="718" ht="15" customHeight="1">
      <c r="A718" t="inlineStr">
        <is>
          <t>A 30022-2026</t>
        </is>
      </c>
      <c r="B718" t="inlineStr">
        <is>
          <t>avverkningsanmälan</t>
        </is>
      </c>
      <c r="C718" t="inlineStr">
        <is>
          <t>Föryngringsavverkning</t>
        </is>
      </c>
      <c r="D718" s="1" t="n">
        <v>46206</v>
      </c>
      <c r="E718" s="1" t="n">
        <v>46216</v>
      </c>
      <c r="F718" t="inlineStr">
        <is>
          <t>VÄSTERBOTTENS LÄN</t>
        </is>
      </c>
      <c r="G718" t="inlineStr">
        <is>
          <t>ÅSELE</t>
        </is>
      </c>
      <c r="H718" t="inlineStr">
        <is>
          <t>SCA</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23742-2026</t>
        </is>
      </c>
      <c r="B719" t="inlineStr">
        <is>
          <t>avverkningsanmälan</t>
        </is>
      </c>
      <c r="C719" t="inlineStr">
        <is>
          <t>Föryngringsavverkning</t>
        </is>
      </c>
      <c r="D719" s="1" t="n">
        <v>46164</v>
      </c>
      <c r="E719" s="1" t="n">
        <v>46216</v>
      </c>
      <c r="F719" t="inlineStr">
        <is>
          <t>VÄSTERBOTTENS LÄN</t>
        </is>
      </c>
      <c r="G719" t="inlineStr">
        <is>
          <t>ÅSELE</t>
        </is>
      </c>
      <c r="I719" t="n">
        <v>9</v>
      </c>
      <c r="J719" t="n">
        <v>0</v>
      </c>
      <c r="K719" t="n">
        <v>0</v>
      </c>
      <c r="L719" t="n">
        <v>0</v>
      </c>
      <c r="M719" t="n">
        <v>0</v>
      </c>
      <c r="N719" t="n">
        <v>0</v>
      </c>
      <c r="O719" t="n">
        <v>0</v>
      </c>
      <c r="P719" t="n">
        <v>0</v>
      </c>
      <c r="Q719" t="n">
        <v>0</v>
      </c>
      <c r="R719" t="n">
        <v>0</v>
      </c>
      <c r="S719" t="n">
        <v>0</v>
      </c>
      <c r="T719" t="n">
        <v>0</v>
      </c>
      <c r="U719" s="2" t="inlineStr"/>
    </row>
    <row r="720" ht="15" customHeight="1">
      <c r="A720" t="inlineStr">
        <is>
          <t>A 29575-2026</t>
        </is>
      </c>
      <c r="B720" t="inlineStr">
        <is>
          <t>avverkningsanmälan</t>
        </is>
      </c>
      <c r="C720" t="inlineStr">
        <is>
          <t>Föryngringsavverkning</t>
        </is>
      </c>
      <c r="D720" s="1" t="n">
        <v>46204</v>
      </c>
      <c r="E720" s="1" t="n">
        <v>46216</v>
      </c>
      <c r="F720" t="inlineStr">
        <is>
          <t>VÄSTERBOTTENS LÄN</t>
        </is>
      </c>
      <c r="G720" t="inlineStr">
        <is>
          <t>ÅSELE</t>
        </is>
      </c>
      <c r="H720" t="inlineStr">
        <is>
          <t>SCA</t>
        </is>
      </c>
      <c r="I720" t="n">
        <v>56.1</v>
      </c>
      <c r="J720" t="n">
        <v>0</v>
      </c>
      <c r="K720" t="n">
        <v>0</v>
      </c>
      <c r="L720" t="n">
        <v>0</v>
      </c>
      <c r="M720" t="n">
        <v>0</v>
      </c>
      <c r="N720" t="n">
        <v>0</v>
      </c>
      <c r="O720" t="n">
        <v>0</v>
      </c>
      <c r="P720" t="n">
        <v>0</v>
      </c>
      <c r="Q720" t="n">
        <v>0</v>
      </c>
      <c r="R720" t="n">
        <v>0</v>
      </c>
      <c r="S720" t="n">
        <v>0</v>
      </c>
      <c r="T720" t="n">
        <v>0</v>
      </c>
      <c r="U720" s="2" t="inlineStr"/>
    </row>
    <row r="721" ht="15" customHeight="1">
      <c r="A721" t="inlineStr">
        <is>
          <t>A 30397-2026</t>
        </is>
      </c>
      <c r="B721" t="inlineStr">
        <is>
          <t>avverkningsanmälan</t>
        </is>
      </c>
      <c r="C721" t="inlineStr">
        <is>
          <t>Föryngringsavverkning</t>
        </is>
      </c>
      <c r="D721" s="1" t="n">
        <v>46209</v>
      </c>
      <c r="E721" s="1" t="n">
        <v>46216</v>
      </c>
      <c r="F721" t="inlineStr">
        <is>
          <t>VÄSTERBOTTENS LÄN</t>
        </is>
      </c>
      <c r="G721" t="inlineStr">
        <is>
          <t>ÅSELE</t>
        </is>
      </c>
      <c r="I721" t="n">
        <v>0.9</v>
      </c>
      <c r="J721" t="n">
        <v>0</v>
      </c>
      <c r="K721" t="n">
        <v>0</v>
      </c>
      <c r="L721" t="n">
        <v>0</v>
      </c>
      <c r="M721" t="n">
        <v>0</v>
      </c>
      <c r="N721" t="n">
        <v>0</v>
      </c>
      <c r="O721" t="n">
        <v>0</v>
      </c>
      <c r="P721" t="n">
        <v>0</v>
      </c>
      <c r="Q721" t="n">
        <v>0</v>
      </c>
      <c r="R721" t="n">
        <v>0</v>
      </c>
      <c r="S721" t="n">
        <v>0</v>
      </c>
      <c r="T721" t="n">
        <v>0</v>
      </c>
      <c r="U721" s="2" t="inlineStr"/>
    </row>
    <row r="722" ht="15" customHeight="1">
      <c r="A722" t="inlineStr">
        <is>
          <t>A 4084-2023</t>
        </is>
      </c>
      <c r="B722" t="inlineStr">
        <is>
          <t>avverkningsanmälan</t>
        </is>
      </c>
      <c r="C722" t="inlineStr">
        <is>
          <t>Föryngringsavverkning</t>
        </is>
      </c>
      <c r="D722" s="1" t="n">
        <v>44952</v>
      </c>
      <c r="E722" s="1" t="n">
        <v>46216</v>
      </c>
      <c r="F722" t="inlineStr">
        <is>
          <t>VÄSTERBOTTENS LÄN</t>
        </is>
      </c>
      <c r="G722" t="inlineStr">
        <is>
          <t>ÅSELE</t>
        </is>
      </c>
      <c r="I722" t="n">
        <v>4.5</v>
      </c>
      <c r="J722" t="n">
        <v>0</v>
      </c>
      <c r="K722" t="n">
        <v>0</v>
      </c>
      <c r="L722" t="n">
        <v>0</v>
      </c>
      <c r="M722" t="n">
        <v>0</v>
      </c>
      <c r="N722" t="n">
        <v>0</v>
      </c>
      <c r="O722" t="n">
        <v>0</v>
      </c>
      <c r="P722" t="n">
        <v>0</v>
      </c>
      <c r="Q722" t="n">
        <v>0</v>
      </c>
      <c r="R722" t="n">
        <v>0</v>
      </c>
      <c r="S722" t="n">
        <v>0</v>
      </c>
      <c r="T722" t="n">
        <v>0</v>
      </c>
      <c r="U722" s="2" t="inlineStr"/>
    </row>
    <row r="723" ht="15" customHeight="1">
      <c r="A723" t="inlineStr">
        <is>
          <t>A 30333-2026</t>
        </is>
      </c>
      <c r="B723" t="inlineStr">
        <is>
          <t>avverkningsanmälan</t>
        </is>
      </c>
      <c r="C723" t="inlineStr">
        <is>
          <t>Föryngringsavverkning</t>
        </is>
      </c>
      <c r="D723" s="1" t="n">
        <v>46208</v>
      </c>
      <c r="E723" s="1" t="n">
        <v>46216</v>
      </c>
      <c r="F723" t="inlineStr">
        <is>
          <t>VÄSTERBOTTENS LÄN</t>
        </is>
      </c>
      <c r="G723" t="inlineStr">
        <is>
          <t>ÅSELE</t>
        </is>
      </c>
      <c r="I723" t="n">
        <v>13.9</v>
      </c>
      <c r="J723" t="n">
        <v>0</v>
      </c>
      <c r="K723" t="n">
        <v>0</v>
      </c>
      <c r="L723" t="n">
        <v>0</v>
      </c>
      <c r="M723" t="n">
        <v>0</v>
      </c>
      <c r="N723" t="n">
        <v>0</v>
      </c>
      <c r="O723" t="n">
        <v>0</v>
      </c>
      <c r="P723" t="n">
        <v>0</v>
      </c>
      <c r="Q723" t="n">
        <v>0</v>
      </c>
      <c r="R723" t="n">
        <v>0</v>
      </c>
      <c r="S723" t="n">
        <v>0</v>
      </c>
      <c r="T723" t="n">
        <v>0</v>
      </c>
      <c r="U723" s="2" t="inlineStr"/>
    </row>
    <row r="724" ht="15" customHeight="1">
      <c r="A724" t="inlineStr">
        <is>
          <t>A 30412-2026</t>
        </is>
      </c>
      <c r="B724" t="inlineStr">
        <is>
          <t>avverkningsanmälan</t>
        </is>
      </c>
      <c r="C724" t="inlineStr">
        <is>
          <t>Avverkning för annat ändamål</t>
        </is>
      </c>
      <c r="D724" s="1" t="n">
        <v>46209</v>
      </c>
      <c r="E724" s="1" t="n">
        <v>46216</v>
      </c>
      <c r="F724" t="inlineStr">
        <is>
          <t>VÄSTERBOTTENS LÄN</t>
        </is>
      </c>
      <c r="G724" t="inlineStr">
        <is>
          <t>ÅSELE</t>
        </is>
      </c>
      <c r="I724" t="n">
        <v>0.3</v>
      </c>
      <c r="J724" t="n">
        <v>0</v>
      </c>
      <c r="K724" t="n">
        <v>0</v>
      </c>
      <c r="L724" t="n">
        <v>0</v>
      </c>
      <c r="M724" t="n">
        <v>0</v>
      </c>
      <c r="N724" t="n">
        <v>0</v>
      </c>
      <c r="O724" t="n">
        <v>0</v>
      </c>
      <c r="P724" t="n">
        <v>0</v>
      </c>
      <c r="Q724" t="n">
        <v>0</v>
      </c>
      <c r="R724" t="n">
        <v>0</v>
      </c>
      <c r="S724" t="n">
        <v>0</v>
      </c>
      <c r="T724" t="n">
        <v>0</v>
      </c>
      <c r="U724" s="2" t="inlineStr"/>
    </row>
    <row r="725" ht="15" customHeight="1">
      <c r="A725" t="inlineStr">
        <is>
          <t>A 30641-2026</t>
        </is>
      </c>
      <c r="B725" t="inlineStr">
        <is>
          <t>avverkningsanmälan</t>
        </is>
      </c>
      <c r="C725" t="inlineStr">
        <is>
          <t>Föryngringsavverkning</t>
        </is>
      </c>
      <c r="D725" s="1" t="n">
        <v>46211</v>
      </c>
      <c r="E725" s="1" t="n">
        <v>46216</v>
      </c>
      <c r="F725" t="inlineStr">
        <is>
          <t>VÄSTERBOTTENS LÄN</t>
        </is>
      </c>
      <c r="G725" t="inlineStr">
        <is>
          <t>ÅSELE</t>
        </is>
      </c>
      <c r="H725" t="inlineStr">
        <is>
          <t>Naturvårdsverket</t>
        </is>
      </c>
      <c r="I725" t="n">
        <v>3.2</v>
      </c>
      <c r="J725" t="n">
        <v>0</v>
      </c>
      <c r="K725" t="n">
        <v>0</v>
      </c>
      <c r="L725" t="n">
        <v>0</v>
      </c>
      <c r="M725" t="n">
        <v>0</v>
      </c>
      <c r="N725" t="n">
        <v>0</v>
      </c>
      <c r="O725" t="n">
        <v>0</v>
      </c>
      <c r="P725" t="n">
        <v>0</v>
      </c>
      <c r="Q725" t="n">
        <v>0</v>
      </c>
      <c r="R725" t="n">
        <v>0</v>
      </c>
      <c r="S725" t="n">
        <v>0</v>
      </c>
      <c r="T725" t="n">
        <v>0</v>
      </c>
      <c r="U725" s="2" t="inlineStr"/>
    </row>
    <row r="726" ht="15" customHeight="1">
      <c r="A726" t="inlineStr">
        <is>
          <t>A 24413-2026</t>
        </is>
      </c>
      <c r="B726" t="inlineStr">
        <is>
          <t>avverkningsanmälan</t>
        </is>
      </c>
      <c r="C726" t="inlineStr">
        <is>
          <t>Föryngringsavverkning</t>
        </is>
      </c>
      <c r="D726" s="1" t="n">
        <v>46169</v>
      </c>
      <c r="E726" s="1" t="n">
        <v>46216</v>
      </c>
      <c r="F726" t="inlineStr">
        <is>
          <t>VÄSTERBOTTENS LÄN</t>
        </is>
      </c>
      <c r="G726" t="inlineStr">
        <is>
          <t>ÅSELE</t>
        </is>
      </c>
      <c r="H726" t="inlineStr">
        <is>
          <t>SCA</t>
        </is>
      </c>
      <c r="I726" t="n">
        <v>5.9</v>
      </c>
      <c r="J726" t="n">
        <v>0</v>
      </c>
      <c r="K726" t="n">
        <v>0</v>
      </c>
      <c r="L726" t="n">
        <v>0</v>
      </c>
      <c r="M726" t="n">
        <v>0</v>
      </c>
      <c r="N726" t="n">
        <v>0</v>
      </c>
      <c r="O726" t="n">
        <v>0</v>
      </c>
      <c r="P726" t="n">
        <v>0</v>
      </c>
      <c r="Q726" t="n">
        <v>0</v>
      </c>
      <c r="R726" t="n">
        <v>0</v>
      </c>
      <c r="S726" t="n">
        <v>0</v>
      </c>
      <c r="T726" t="n">
        <v>0</v>
      </c>
      <c r="U726" s="2" t="inlineStr"/>
    </row>
    <row r="727" ht="15" customHeight="1">
      <c r="A727" t="inlineStr">
        <is>
          <t>A 30643-2026</t>
        </is>
      </c>
      <c r="B727" t="inlineStr">
        <is>
          <t>avverkningsanmälan</t>
        </is>
      </c>
      <c r="C727" t="inlineStr">
        <is>
          <t>Föryngringsavverkning</t>
        </is>
      </c>
      <c r="D727" s="1" t="n">
        <v>46211</v>
      </c>
      <c r="E727" s="1" t="n">
        <v>46216</v>
      </c>
      <c r="F727" t="inlineStr">
        <is>
          <t>VÄSTERBOTTENS LÄN</t>
        </is>
      </c>
      <c r="G727" t="inlineStr">
        <is>
          <t>ÅSELE</t>
        </is>
      </c>
      <c r="I727" t="n">
        <v>5.7</v>
      </c>
      <c r="J727" t="n">
        <v>0</v>
      </c>
      <c r="K727" t="n">
        <v>0</v>
      </c>
      <c r="L727" t="n">
        <v>0</v>
      </c>
      <c r="M727" t="n">
        <v>0</v>
      </c>
      <c r="N727" t="n">
        <v>0</v>
      </c>
      <c r="O727" t="n">
        <v>0</v>
      </c>
      <c r="P727" t="n">
        <v>0</v>
      </c>
      <c r="Q727" t="n">
        <v>0</v>
      </c>
      <c r="R727" t="n">
        <v>0</v>
      </c>
      <c r="S727" t="n">
        <v>0</v>
      </c>
      <c r="T727" t="n">
        <v>0</v>
      </c>
      <c r="U727" s="2" t="inlineStr"/>
    </row>
    <row r="728" ht="15" customHeight="1">
      <c r="A728" t="inlineStr">
        <is>
          <t>A 30679-2026</t>
        </is>
      </c>
      <c r="B728" t="inlineStr">
        <is>
          <t>avverkningsanmälan</t>
        </is>
      </c>
      <c r="C728" t="inlineStr">
        <is>
          <t>Föryngringsavverkning</t>
        </is>
      </c>
      <c r="D728" s="1" t="n">
        <v>46211</v>
      </c>
      <c r="E728" s="1" t="n">
        <v>46216</v>
      </c>
      <c r="F728" t="inlineStr">
        <is>
          <t>VÄSTERBOTTENS LÄN</t>
        </is>
      </c>
      <c r="G728" t="inlineStr">
        <is>
          <t>ÅSELE</t>
        </is>
      </c>
      <c r="H728" t="inlineStr">
        <is>
          <t>SCA</t>
        </is>
      </c>
      <c r="I728" t="n">
        <v>9.699999999999999</v>
      </c>
      <c r="J728" t="n">
        <v>0</v>
      </c>
      <c r="K728" t="n">
        <v>0</v>
      </c>
      <c r="L728" t="n">
        <v>0</v>
      </c>
      <c r="M728" t="n">
        <v>0</v>
      </c>
      <c r="N728" t="n">
        <v>0</v>
      </c>
      <c r="O728" t="n">
        <v>0</v>
      </c>
      <c r="P728" t="n">
        <v>0</v>
      </c>
      <c r="Q728" t="n">
        <v>0</v>
      </c>
      <c r="R728" t="n">
        <v>0</v>
      </c>
      <c r="S728" t="n">
        <v>0</v>
      </c>
      <c r="T728" t="n">
        <v>0</v>
      </c>
      <c r="U728" s="2" t="inlineStr"/>
    </row>
    <row r="729" ht="15" customHeight="1">
      <c r="A729" t="inlineStr">
        <is>
          <t>A 24213-2026</t>
        </is>
      </c>
      <c r="B729" t="inlineStr">
        <is>
          <t>avverkningsanmälan</t>
        </is>
      </c>
      <c r="C729" t="inlineStr">
        <is>
          <t>Föryngringsavverkning</t>
        </is>
      </c>
      <c r="D729" s="1" t="n">
        <v>46168</v>
      </c>
      <c r="E729" s="1" t="n">
        <v>46216</v>
      </c>
      <c r="F729" t="inlineStr">
        <is>
          <t>VÄSTERBOTTENS LÄN</t>
        </is>
      </c>
      <c r="G729" t="inlineStr">
        <is>
          <t>ÅSELE</t>
        </is>
      </c>
      <c r="H729" t="inlineStr">
        <is>
          <t>Sveaskog</t>
        </is>
      </c>
      <c r="I729" t="n">
        <v>5.9</v>
      </c>
      <c r="J729" t="n">
        <v>0</v>
      </c>
      <c r="K729" t="n">
        <v>0</v>
      </c>
      <c r="L729" t="n">
        <v>0</v>
      </c>
      <c r="M729" t="n">
        <v>0</v>
      </c>
      <c r="N729" t="n">
        <v>0</v>
      </c>
      <c r="O729" t="n">
        <v>0</v>
      </c>
      <c r="P729" t="n">
        <v>0</v>
      </c>
      <c r="Q729" t="n">
        <v>0</v>
      </c>
      <c r="R729" t="n">
        <v>0</v>
      </c>
      <c r="S729" t="n">
        <v>0</v>
      </c>
      <c r="T729" t="n">
        <v>0</v>
      </c>
      <c r="U729" s="2" t="inlineStr"/>
    </row>
    <row r="730" ht="15" customHeight="1">
      <c r="A730" t="inlineStr">
        <is>
          <t>A 2608-2024</t>
        </is>
      </c>
      <c r="B730" t="inlineStr">
        <is>
          <t>avverkningsanmälan</t>
        </is>
      </c>
      <c r="C730" t="inlineStr">
        <is>
          <t>Föryngringsavverkning</t>
        </is>
      </c>
      <c r="D730" s="1" t="n">
        <v>45313</v>
      </c>
      <c r="E730" s="1" t="n">
        <v>46216</v>
      </c>
      <c r="F730" t="inlineStr">
        <is>
          <t>VÄSTERBOTTENS LÄN</t>
        </is>
      </c>
      <c r="G730" t="inlineStr">
        <is>
          <t>ÅSELE</t>
        </is>
      </c>
      <c r="H730" t="inlineStr">
        <is>
          <t>Övriga Aktiebolag</t>
        </is>
      </c>
      <c r="I730" t="n">
        <v>20.6</v>
      </c>
      <c r="J730" t="n">
        <v>0</v>
      </c>
      <c r="K730" t="n">
        <v>0</v>
      </c>
      <c r="L730" t="n">
        <v>0</v>
      </c>
      <c r="M730" t="n">
        <v>0</v>
      </c>
      <c r="N730" t="n">
        <v>0</v>
      </c>
      <c r="O730" t="n">
        <v>0</v>
      </c>
      <c r="P730" t="n">
        <v>0</v>
      </c>
      <c r="Q730" t="n">
        <v>0</v>
      </c>
      <c r="R730" t="n">
        <v>0</v>
      </c>
      <c r="S730" t="n">
        <v>0</v>
      </c>
      <c r="T730" t="n">
        <v>0</v>
      </c>
      <c r="U730" s="2" t="inlineStr"/>
    </row>
    <row r="731" ht="15" customHeight="1">
      <c r="A731" t="inlineStr">
        <is>
          <t>A 6682-2024</t>
        </is>
      </c>
      <c r="B731" t="inlineStr">
        <is>
          <t>avverkningsanmälan</t>
        </is>
      </c>
      <c r="C731" t="inlineStr">
        <is>
          <t>Föryngringsavverkning</t>
        </is>
      </c>
      <c r="D731" s="1" t="n">
        <v>45341</v>
      </c>
      <c r="E731" s="1" t="n">
        <v>46216</v>
      </c>
      <c r="F731" t="inlineStr">
        <is>
          <t>VÄSTERBOTTENS LÄN</t>
        </is>
      </c>
      <c r="G731" t="inlineStr">
        <is>
          <t>ÅSELE</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55615-2024</t>
        </is>
      </c>
      <c r="B732" t="inlineStr">
        <is>
          <t>avverkningsanmälan</t>
        </is>
      </c>
      <c r="C732" t="inlineStr">
        <is>
          <t>Föryngringsavverkning</t>
        </is>
      </c>
      <c r="D732" s="1" t="n">
        <v>45622</v>
      </c>
      <c r="E732" s="1" t="n">
        <v>46216</v>
      </c>
      <c r="F732" t="inlineStr">
        <is>
          <t>VÄSTERBOTTENS LÄN</t>
        </is>
      </c>
      <c r="G732" t="inlineStr">
        <is>
          <t>ÅSELE</t>
        </is>
      </c>
      <c r="I732" t="n">
        <v>1.2</v>
      </c>
      <c r="J732" t="n">
        <v>0</v>
      </c>
      <c r="K732" t="n">
        <v>0</v>
      </c>
      <c r="L732" t="n">
        <v>0</v>
      </c>
      <c r="M732" t="n">
        <v>0</v>
      </c>
      <c r="N732" t="n">
        <v>0</v>
      </c>
      <c r="O732" t="n">
        <v>0</v>
      </c>
      <c r="P732" t="n">
        <v>0</v>
      </c>
      <c r="Q732" t="n">
        <v>0</v>
      </c>
      <c r="R732" t="n">
        <v>0</v>
      </c>
      <c r="S732" t="n">
        <v>0</v>
      </c>
      <c r="T732" t="n">
        <v>0</v>
      </c>
      <c r="U732" s="2" t="inlineStr"/>
    </row>
    <row r="733" ht="15" customHeight="1">
      <c r="A733" t="inlineStr">
        <is>
          <t>A 30674-2026</t>
        </is>
      </c>
      <c r="B733" t="inlineStr">
        <is>
          <t>avverkningsanmälan</t>
        </is>
      </c>
      <c r="C733" t="inlineStr">
        <is>
          <t>Föryngringsavverkning</t>
        </is>
      </c>
      <c r="D733" s="1" t="n">
        <v>46205</v>
      </c>
      <c r="E733" s="1" t="n">
        <v>46216</v>
      </c>
      <c r="F733" t="inlineStr">
        <is>
          <t>VÄSTERBOTTENS LÄN</t>
        </is>
      </c>
      <c r="G733" t="inlineStr">
        <is>
          <t>ÅSELE</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30665-2026</t>
        </is>
      </c>
      <c r="B734" t="inlineStr">
        <is>
          <t>avverkningsanmälan</t>
        </is>
      </c>
      <c r="C734" t="inlineStr">
        <is>
          <t>Föryngringsavverkning</t>
        </is>
      </c>
      <c r="D734" s="1" t="n">
        <v>46211</v>
      </c>
      <c r="E734" s="1" t="n">
        <v>46216</v>
      </c>
      <c r="F734" t="inlineStr">
        <is>
          <t>VÄSTERBOTTENS LÄN</t>
        </is>
      </c>
      <c r="G734" t="inlineStr">
        <is>
          <t>ÅSELE</t>
        </is>
      </c>
      <c r="H734" t="inlineStr">
        <is>
          <t>Holmen skog AB</t>
        </is>
      </c>
      <c r="I734" t="n">
        <v>3.7</v>
      </c>
      <c r="J734" t="n">
        <v>0</v>
      </c>
      <c r="K734" t="n">
        <v>0</v>
      </c>
      <c r="L734" t="n">
        <v>0</v>
      </c>
      <c r="M734" t="n">
        <v>0</v>
      </c>
      <c r="N734" t="n">
        <v>0</v>
      </c>
      <c r="O734" t="n">
        <v>0</v>
      </c>
      <c r="P734" t="n">
        <v>0</v>
      </c>
      <c r="Q734" t="n">
        <v>0</v>
      </c>
      <c r="R734" t="n">
        <v>0</v>
      </c>
      <c r="S734" t="n">
        <v>0</v>
      </c>
      <c r="T734" t="n">
        <v>0</v>
      </c>
      <c r="U734" s="2" t="inlineStr"/>
    </row>
    <row r="735" ht="15" customHeight="1">
      <c r="A735" t="inlineStr">
        <is>
          <t>A 30650-2026</t>
        </is>
      </c>
      <c r="B735" t="inlineStr">
        <is>
          <t>avverkningsanmälan</t>
        </is>
      </c>
      <c r="C735" t="inlineStr">
        <is>
          <t>Föryngringsavverkning</t>
        </is>
      </c>
      <c r="D735" s="1" t="n">
        <v>46205</v>
      </c>
      <c r="E735" s="1" t="n">
        <v>46216</v>
      </c>
      <c r="F735" t="inlineStr">
        <is>
          <t>VÄSTERBOTTENS LÄN</t>
        </is>
      </c>
      <c r="G735" t="inlineStr">
        <is>
          <t>ÅSELE</t>
        </is>
      </c>
      <c r="I735" t="n">
        <v>6.3</v>
      </c>
      <c r="J735" t="n">
        <v>0</v>
      </c>
      <c r="K735" t="n">
        <v>0</v>
      </c>
      <c r="L735" t="n">
        <v>0</v>
      </c>
      <c r="M735" t="n">
        <v>0</v>
      </c>
      <c r="N735" t="n">
        <v>0</v>
      </c>
      <c r="O735" t="n">
        <v>0</v>
      </c>
      <c r="P735" t="n">
        <v>0</v>
      </c>
      <c r="Q735" t="n">
        <v>0</v>
      </c>
      <c r="R735" t="n">
        <v>0</v>
      </c>
      <c r="S735" t="n">
        <v>0</v>
      </c>
      <c r="T735" t="n">
        <v>0</v>
      </c>
      <c r="U735" s="2" t="inlineStr"/>
    </row>
    <row r="736" ht="15" customHeight="1">
      <c r="A736" t="inlineStr">
        <is>
          <t>A 3111-2024</t>
        </is>
      </c>
      <c r="B736" t="inlineStr">
        <is>
          <t>avverkningsanmälan</t>
        </is>
      </c>
      <c r="C736" t="inlineStr">
        <is>
          <t>Föryngringsavverkning</t>
        </is>
      </c>
      <c r="D736" s="1" t="n">
        <v>45316</v>
      </c>
      <c r="E736" s="1" t="n">
        <v>46216</v>
      </c>
      <c r="F736" t="inlineStr">
        <is>
          <t>VÄSTERBOTTENS LÄN</t>
        </is>
      </c>
      <c r="G736" t="inlineStr">
        <is>
          <t>ÅSELE</t>
        </is>
      </c>
      <c r="I736" t="n">
        <v>1.6</v>
      </c>
      <c r="J736" t="n">
        <v>0</v>
      </c>
      <c r="K736" t="n">
        <v>0</v>
      </c>
      <c r="L736" t="n">
        <v>0</v>
      </c>
      <c r="M736" t="n">
        <v>0</v>
      </c>
      <c r="N736" t="n">
        <v>0</v>
      </c>
      <c r="O736" t="n">
        <v>0</v>
      </c>
      <c r="P736" t="n">
        <v>0</v>
      </c>
      <c r="Q736" t="n">
        <v>0</v>
      </c>
      <c r="R736" t="n">
        <v>0</v>
      </c>
      <c r="S736" t="n">
        <v>0</v>
      </c>
      <c r="T736" t="n">
        <v>0</v>
      </c>
      <c r="U736" s="2" t="inlineStr"/>
    </row>
    <row r="737" ht="15" customHeight="1">
      <c r="A737" t="inlineStr">
        <is>
          <t>A 30652-2026</t>
        </is>
      </c>
      <c r="B737" t="inlineStr">
        <is>
          <t>avverkningsanmälan</t>
        </is>
      </c>
      <c r="C737" t="inlineStr">
        <is>
          <t>Föryngringsavverkning</t>
        </is>
      </c>
      <c r="D737" s="1" t="n">
        <v>46205</v>
      </c>
      <c r="E737" s="1" t="n">
        <v>46216</v>
      </c>
      <c r="F737" t="inlineStr">
        <is>
          <t>VÄSTERBOTTENS LÄN</t>
        </is>
      </c>
      <c r="G737" t="inlineStr">
        <is>
          <t>ÅSELE</t>
        </is>
      </c>
      <c r="I737" t="n">
        <v>1.3</v>
      </c>
      <c r="J737" t="n">
        <v>0</v>
      </c>
      <c r="K737" t="n">
        <v>0</v>
      </c>
      <c r="L737" t="n">
        <v>0</v>
      </c>
      <c r="M737" t="n">
        <v>0</v>
      </c>
      <c r="N737" t="n">
        <v>0</v>
      </c>
      <c r="O737" t="n">
        <v>0</v>
      </c>
      <c r="P737" t="n">
        <v>0</v>
      </c>
      <c r="Q737" t="n">
        <v>0</v>
      </c>
      <c r="R737" t="n">
        <v>0</v>
      </c>
      <c r="S737" t="n">
        <v>0</v>
      </c>
      <c r="T737" t="n">
        <v>0</v>
      </c>
      <c r="U737" s="2" t="inlineStr"/>
    </row>
    <row r="738" ht="15" customHeight="1">
      <c r="A738" t="inlineStr">
        <is>
          <t>A 24119-2026</t>
        </is>
      </c>
      <c r="B738" t="inlineStr">
        <is>
          <t>avverkningsanmälan</t>
        </is>
      </c>
      <c r="C738" t="inlineStr">
        <is>
          <t>Föryngringsavverkning</t>
        </is>
      </c>
      <c r="D738" s="1" t="n">
        <v>46168</v>
      </c>
      <c r="E738" s="1" t="n">
        <v>46216</v>
      </c>
      <c r="F738" t="inlineStr">
        <is>
          <t>VÄSTERBOTTENS LÄN</t>
        </is>
      </c>
      <c r="G738" t="inlineStr">
        <is>
          <t>ÅSELE</t>
        </is>
      </c>
      <c r="H738" t="inlineStr">
        <is>
          <t>Holmen skog AB</t>
        </is>
      </c>
      <c r="I738" t="n">
        <v>6.9</v>
      </c>
      <c r="J738" t="n">
        <v>0</v>
      </c>
      <c r="K738" t="n">
        <v>0</v>
      </c>
      <c r="L738" t="n">
        <v>0</v>
      </c>
      <c r="M738" t="n">
        <v>0</v>
      </c>
      <c r="N738" t="n">
        <v>0</v>
      </c>
      <c r="O738" t="n">
        <v>0</v>
      </c>
      <c r="P738" t="n">
        <v>0</v>
      </c>
      <c r="Q738" t="n">
        <v>0</v>
      </c>
      <c r="R738" t="n">
        <v>0</v>
      </c>
      <c r="S738" t="n">
        <v>0</v>
      </c>
      <c r="T738" t="n">
        <v>0</v>
      </c>
      <c r="U738" s="2" t="inlineStr"/>
    </row>
    <row r="739" ht="15" customHeight="1">
      <c r="A739" t="inlineStr">
        <is>
          <t>A 52772-2024</t>
        </is>
      </c>
      <c r="B739" t="inlineStr">
        <is>
          <t>avverkningsanmälan</t>
        </is>
      </c>
      <c r="C739" t="inlineStr">
        <is>
          <t>Föryngringsavverkning</t>
        </is>
      </c>
      <c r="D739" s="1" t="n">
        <v>45610</v>
      </c>
      <c r="E739" s="1" t="n">
        <v>46216</v>
      </c>
      <c r="F739" t="inlineStr">
        <is>
          <t>VÄSTERBOTTENS LÄN</t>
        </is>
      </c>
      <c r="G739" t="inlineStr">
        <is>
          <t>ÅSELE</t>
        </is>
      </c>
      <c r="H739" t="inlineStr">
        <is>
          <t>SCA</t>
        </is>
      </c>
      <c r="I739" t="n">
        <v>3.1</v>
      </c>
      <c r="J739" t="n">
        <v>0</v>
      </c>
      <c r="K739" t="n">
        <v>0</v>
      </c>
      <c r="L739" t="n">
        <v>0</v>
      </c>
      <c r="M739" t="n">
        <v>0</v>
      </c>
      <c r="N739" t="n">
        <v>0</v>
      </c>
      <c r="O739" t="n">
        <v>0</v>
      </c>
      <c r="P739" t="n">
        <v>0</v>
      </c>
      <c r="Q739" t="n">
        <v>0</v>
      </c>
      <c r="R739" t="n">
        <v>0</v>
      </c>
      <c r="S739" t="n">
        <v>0</v>
      </c>
      <c r="T739" t="n">
        <v>0</v>
      </c>
      <c r="U739" s="2" t="inlineStr"/>
    </row>
    <row r="740" ht="15" customHeight="1">
      <c r="A740" t="inlineStr">
        <is>
          <t>A 24793-2026</t>
        </is>
      </c>
      <c r="B740" t="inlineStr">
        <is>
          <t>avverkningsanmälan</t>
        </is>
      </c>
      <c r="C740" t="inlineStr">
        <is>
          <t>Föryngringsavverkning</t>
        </is>
      </c>
      <c r="D740" s="1" t="n">
        <v>46171</v>
      </c>
      <c r="E740" s="1" t="n">
        <v>46216</v>
      </c>
      <c r="F740" t="inlineStr">
        <is>
          <t>VÄSTERBOTTENS LÄN</t>
        </is>
      </c>
      <c r="G740" t="inlineStr">
        <is>
          <t>ÅSELE</t>
        </is>
      </c>
      <c r="H740" t="inlineStr">
        <is>
          <t>SCA</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24508-2026</t>
        </is>
      </c>
      <c r="B741" t="inlineStr">
        <is>
          <t>avverkningsanmälan</t>
        </is>
      </c>
      <c r="C741" t="inlineStr">
        <is>
          <t>Föryngringsavverkning</t>
        </is>
      </c>
      <c r="D741" s="1" t="n">
        <v>46170</v>
      </c>
      <c r="E741" s="1" t="n">
        <v>46216</v>
      </c>
      <c r="F741" t="inlineStr">
        <is>
          <t>VÄSTERBOTTENS LÄN</t>
        </is>
      </c>
      <c r="G741" t="inlineStr">
        <is>
          <t>ÅSELE</t>
        </is>
      </c>
      <c r="H741" t="inlineStr">
        <is>
          <t>SCA</t>
        </is>
      </c>
      <c r="I741" t="n">
        <v>8.199999999999999</v>
      </c>
      <c r="J741" t="n">
        <v>0</v>
      </c>
      <c r="K741" t="n">
        <v>0</v>
      </c>
      <c r="L741" t="n">
        <v>0</v>
      </c>
      <c r="M741" t="n">
        <v>0</v>
      </c>
      <c r="N741" t="n">
        <v>0</v>
      </c>
      <c r="O741" t="n">
        <v>0</v>
      </c>
      <c r="P741" t="n">
        <v>0</v>
      </c>
      <c r="Q741" t="n">
        <v>0</v>
      </c>
      <c r="R741" t="n">
        <v>0</v>
      </c>
      <c r="S741" t="n">
        <v>0</v>
      </c>
      <c r="T741" t="n">
        <v>0</v>
      </c>
      <c r="U741" s="2" t="inlineStr"/>
    </row>
    <row r="742" ht="15" customHeight="1">
      <c r="A742" t="inlineStr">
        <is>
          <t>A 30765-2026</t>
        </is>
      </c>
      <c r="B742" t="inlineStr">
        <is>
          <t>avverkningsanmälan</t>
        </is>
      </c>
      <c r="C742" t="inlineStr">
        <is>
          <t>Föryngringsavverkning</t>
        </is>
      </c>
      <c r="D742" s="1" t="n">
        <v>46205</v>
      </c>
      <c r="E742" s="1" t="n">
        <v>46216</v>
      </c>
      <c r="F742" t="inlineStr">
        <is>
          <t>VÄSTERBOTTENS LÄN</t>
        </is>
      </c>
      <c r="G742" t="inlineStr">
        <is>
          <t>ÅSELE</t>
        </is>
      </c>
      <c r="I742" t="n">
        <v>30.9</v>
      </c>
      <c r="J742" t="n">
        <v>0</v>
      </c>
      <c r="K742" t="n">
        <v>0</v>
      </c>
      <c r="L742" t="n">
        <v>0</v>
      </c>
      <c r="M742" t="n">
        <v>0</v>
      </c>
      <c r="N742" t="n">
        <v>0</v>
      </c>
      <c r="O742" t="n">
        <v>0</v>
      </c>
      <c r="P742" t="n">
        <v>0</v>
      </c>
      <c r="Q742" t="n">
        <v>0</v>
      </c>
      <c r="R742" t="n">
        <v>0</v>
      </c>
      <c r="S742" t="n">
        <v>0</v>
      </c>
      <c r="T742" t="n">
        <v>0</v>
      </c>
      <c r="U742" s="2" t="inlineStr"/>
    </row>
    <row r="743" ht="15" customHeight="1">
      <c r="A743" t="inlineStr">
        <is>
          <t>A 30866-2026</t>
        </is>
      </c>
      <c r="B743" t="inlineStr">
        <is>
          <t>avverkningsanmälan</t>
        </is>
      </c>
      <c r="C743" t="inlineStr">
        <is>
          <t>Föryngringsavverkning</t>
        </is>
      </c>
      <c r="D743" s="1" t="n">
        <v>46212</v>
      </c>
      <c r="E743" s="1" t="n">
        <v>46216</v>
      </c>
      <c r="F743" t="inlineStr">
        <is>
          <t>VÄSTERBOTTENS LÄN</t>
        </is>
      </c>
      <c r="G743" t="inlineStr">
        <is>
          <t>ÅSELE</t>
        </is>
      </c>
      <c r="H743" t="inlineStr">
        <is>
          <t>SCA</t>
        </is>
      </c>
      <c r="I743" t="n">
        <v>13.2</v>
      </c>
      <c r="J743" t="n">
        <v>0</v>
      </c>
      <c r="K743" t="n">
        <v>0</v>
      </c>
      <c r="L743" t="n">
        <v>0</v>
      </c>
      <c r="M743" t="n">
        <v>0</v>
      </c>
      <c r="N743" t="n">
        <v>0</v>
      </c>
      <c r="O743" t="n">
        <v>0</v>
      </c>
      <c r="P743" t="n">
        <v>0</v>
      </c>
      <c r="Q743" t="n">
        <v>0</v>
      </c>
      <c r="R743" t="n">
        <v>0</v>
      </c>
      <c r="S743" t="n">
        <v>0</v>
      </c>
      <c r="T743" t="n">
        <v>0</v>
      </c>
      <c r="U743" s="2" t="inlineStr"/>
    </row>
    <row r="744" ht="15" customHeight="1">
      <c r="A744" t="inlineStr">
        <is>
          <t>A 24794-2026</t>
        </is>
      </c>
      <c r="B744" t="inlineStr">
        <is>
          <t>avverkningsanmälan</t>
        </is>
      </c>
      <c r="C744" t="inlineStr">
        <is>
          <t>Föryngringsavverkning</t>
        </is>
      </c>
      <c r="D744" s="1" t="n">
        <v>46171</v>
      </c>
      <c r="E744" s="1" t="n">
        <v>46216</v>
      </c>
      <c r="F744" t="inlineStr">
        <is>
          <t>VÄSTERBOTTENS LÄN</t>
        </is>
      </c>
      <c r="G744" t="inlineStr">
        <is>
          <t>ÅSELE</t>
        </is>
      </c>
      <c r="H744" t="inlineStr">
        <is>
          <t>SCA</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24795-2026</t>
        </is>
      </c>
      <c r="B745" t="inlineStr">
        <is>
          <t>avverkningsanmälan</t>
        </is>
      </c>
      <c r="C745" t="inlineStr">
        <is>
          <t>Föryngringsavverkning</t>
        </is>
      </c>
      <c r="D745" s="1" t="n">
        <v>46171</v>
      </c>
      <c r="E745" s="1" t="n">
        <v>46216</v>
      </c>
      <c r="F745" t="inlineStr">
        <is>
          <t>VÄSTERBOTTENS LÄN</t>
        </is>
      </c>
      <c r="G745" t="inlineStr">
        <is>
          <t>ÅSELE</t>
        </is>
      </c>
      <c r="H745" t="inlineStr">
        <is>
          <t>SCA</t>
        </is>
      </c>
      <c r="I745" t="n">
        <v>2.4</v>
      </c>
      <c r="J745" t="n">
        <v>0</v>
      </c>
      <c r="K745" t="n">
        <v>0</v>
      </c>
      <c r="L745" t="n">
        <v>0</v>
      </c>
      <c r="M745" t="n">
        <v>0</v>
      </c>
      <c r="N745" t="n">
        <v>0</v>
      </c>
      <c r="O745" t="n">
        <v>0</v>
      </c>
      <c r="P745" t="n">
        <v>0</v>
      </c>
      <c r="Q745" t="n">
        <v>0</v>
      </c>
      <c r="R745" t="n">
        <v>0</v>
      </c>
      <c r="S745" t="n">
        <v>0</v>
      </c>
      <c r="T745" t="n">
        <v>0</v>
      </c>
      <c r="U745" s="2" t="inlineStr"/>
    </row>
    <row r="746" ht="15" customHeight="1">
      <c r="A746" t="inlineStr">
        <is>
          <t>A 56572-2022</t>
        </is>
      </c>
      <c r="B746" t="inlineStr">
        <is>
          <t>avverkningsanmälan</t>
        </is>
      </c>
      <c r="C746" t="inlineStr">
        <is>
          <t>Föryngringsavverkning</t>
        </is>
      </c>
      <c r="D746" s="1" t="n">
        <v>44888</v>
      </c>
      <c r="E746" s="1" t="n">
        <v>46216</v>
      </c>
      <c r="F746" t="inlineStr">
        <is>
          <t>VÄSTERBOTTENS LÄN</t>
        </is>
      </c>
      <c r="G746" t="inlineStr">
        <is>
          <t>ÅSELE</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41408-2024</t>
        </is>
      </c>
      <c r="B747" t="inlineStr">
        <is>
          <t>avverkningsanmälan</t>
        </is>
      </c>
      <c r="C747" t="inlineStr">
        <is>
          <t>Föryngringsavverkning</t>
        </is>
      </c>
      <c r="D747" s="1" t="n">
        <v>45560</v>
      </c>
      <c r="E747" s="1" t="n">
        <v>46216</v>
      </c>
      <c r="F747" t="inlineStr">
        <is>
          <t>VÄSTERBOTTENS LÄN</t>
        </is>
      </c>
      <c r="G747" t="inlineStr">
        <is>
          <t>ÅSELE</t>
        </is>
      </c>
      <c r="H747" t="inlineStr">
        <is>
          <t>Sveaskog</t>
        </is>
      </c>
      <c r="I747" t="n">
        <v>2.1</v>
      </c>
      <c r="J747" t="n">
        <v>0</v>
      </c>
      <c r="K747" t="n">
        <v>0</v>
      </c>
      <c r="L747" t="n">
        <v>0</v>
      </c>
      <c r="M747" t="n">
        <v>0</v>
      </c>
      <c r="N747" t="n">
        <v>0</v>
      </c>
      <c r="O747" t="n">
        <v>0</v>
      </c>
      <c r="P747" t="n">
        <v>0</v>
      </c>
      <c r="Q747" t="n">
        <v>0</v>
      </c>
      <c r="R747" t="n">
        <v>0</v>
      </c>
      <c r="S747" t="n">
        <v>0</v>
      </c>
      <c r="T747" t="n">
        <v>0</v>
      </c>
      <c r="U747" s="2" t="inlineStr"/>
    </row>
    <row r="748" ht="15" customHeight="1">
      <c r="A748" t="inlineStr">
        <is>
          <t>A 2609-2024</t>
        </is>
      </c>
      <c r="B748" t="inlineStr">
        <is>
          <t>avverkningsanmälan</t>
        </is>
      </c>
      <c r="C748" t="inlineStr">
        <is>
          <t>Föryngringsavverkning</t>
        </is>
      </c>
      <c r="D748" s="1" t="n">
        <v>45313</v>
      </c>
      <c r="E748" s="1" t="n">
        <v>46216</v>
      </c>
      <c r="F748" t="inlineStr">
        <is>
          <t>VÄSTERBOTTENS LÄN</t>
        </is>
      </c>
      <c r="G748" t="inlineStr">
        <is>
          <t>ÅSELE</t>
        </is>
      </c>
      <c r="H748" t="inlineStr">
        <is>
          <t>Övriga Aktiebolag</t>
        </is>
      </c>
      <c r="I748" t="n">
        <v>5.5</v>
      </c>
      <c r="J748" t="n">
        <v>0</v>
      </c>
      <c r="K748" t="n">
        <v>0</v>
      </c>
      <c r="L748" t="n">
        <v>0</v>
      </c>
      <c r="M748" t="n">
        <v>0</v>
      </c>
      <c r="N748" t="n">
        <v>0</v>
      </c>
      <c r="O748" t="n">
        <v>0</v>
      </c>
      <c r="P748" t="n">
        <v>0</v>
      </c>
      <c r="Q748" t="n">
        <v>0</v>
      </c>
      <c r="R748" t="n">
        <v>0</v>
      </c>
      <c r="S748" t="n">
        <v>0</v>
      </c>
      <c r="T748" t="n">
        <v>0</v>
      </c>
      <c r="U748" s="2" t="inlineStr"/>
    </row>
    <row r="749" ht="15" customHeight="1">
      <c r="A749" t="inlineStr">
        <is>
          <t>A 20302-2025</t>
        </is>
      </c>
      <c r="B749" t="inlineStr">
        <is>
          <t>avverkningsanmälan</t>
        </is>
      </c>
      <c r="C749" t="inlineStr">
        <is>
          <t>Föryngringsavverkning</t>
        </is>
      </c>
      <c r="D749" s="1" t="n">
        <v>45774</v>
      </c>
      <c r="E749" s="1" t="n">
        <v>46216</v>
      </c>
      <c r="F749" t="inlineStr">
        <is>
          <t>VÄSTERBOTTENS LÄN</t>
        </is>
      </c>
      <c r="G749" t="inlineStr">
        <is>
          <t>ÅSELE</t>
        </is>
      </c>
      <c r="I749" t="n">
        <v>12.7</v>
      </c>
      <c r="J749" t="n">
        <v>0</v>
      </c>
      <c r="K749" t="n">
        <v>0</v>
      </c>
      <c r="L749" t="n">
        <v>0</v>
      </c>
      <c r="M749" t="n">
        <v>0</v>
      </c>
      <c r="N749" t="n">
        <v>0</v>
      </c>
      <c r="O749" t="n">
        <v>0</v>
      </c>
      <c r="P749" t="n">
        <v>0</v>
      </c>
      <c r="Q749" t="n">
        <v>0</v>
      </c>
      <c r="R749" t="n">
        <v>0</v>
      </c>
      <c r="S749" t="n">
        <v>0</v>
      </c>
      <c r="T749" t="n">
        <v>0</v>
      </c>
      <c r="U749" s="2" t="inlineStr"/>
    </row>
    <row r="750" ht="15" customHeight="1">
      <c r="A750" t="inlineStr">
        <is>
          <t>A 20303-2025</t>
        </is>
      </c>
      <c r="B750" t="inlineStr">
        <is>
          <t>avverkningsanmälan</t>
        </is>
      </c>
      <c r="C750" t="inlineStr">
        <is>
          <t>Föryngringsavverkning</t>
        </is>
      </c>
      <c r="D750" s="1" t="n">
        <v>45774</v>
      </c>
      <c r="E750" s="1" t="n">
        <v>46216</v>
      </c>
      <c r="F750" t="inlineStr">
        <is>
          <t>VÄSTERBOTTENS LÄN</t>
        </is>
      </c>
      <c r="G750" t="inlineStr">
        <is>
          <t>ÅSELE</t>
        </is>
      </c>
      <c r="I750" t="n">
        <v>4.1</v>
      </c>
      <c r="J750" t="n">
        <v>0</v>
      </c>
      <c r="K750" t="n">
        <v>0</v>
      </c>
      <c r="L750" t="n">
        <v>0</v>
      </c>
      <c r="M750" t="n">
        <v>0</v>
      </c>
      <c r="N750" t="n">
        <v>0</v>
      </c>
      <c r="O750" t="n">
        <v>0</v>
      </c>
      <c r="P750" t="n">
        <v>0</v>
      </c>
      <c r="Q750" t="n">
        <v>0</v>
      </c>
      <c r="R750" t="n">
        <v>0</v>
      </c>
      <c r="S750" t="n">
        <v>0</v>
      </c>
      <c r="T750" t="n">
        <v>0</v>
      </c>
      <c r="U750" s="2" t="inlineStr"/>
    </row>
    <row r="751" ht="15" customHeight="1">
      <c r="A751" t="inlineStr">
        <is>
          <t>A 65038-2023</t>
        </is>
      </c>
      <c r="B751" t="inlineStr">
        <is>
          <t>avverkningsanmälan</t>
        </is>
      </c>
      <c r="C751" t="inlineStr">
        <is>
          <t>Föryngringsavverkning</t>
        </is>
      </c>
      <c r="D751" s="1" t="n">
        <v>45282</v>
      </c>
      <c r="E751" s="1" t="n">
        <v>46216</v>
      </c>
      <c r="F751" t="inlineStr">
        <is>
          <t>VÄSTERBOTTENS LÄN</t>
        </is>
      </c>
      <c r="G751" t="inlineStr">
        <is>
          <t>ÅSELE</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30732-2026</t>
        </is>
      </c>
      <c r="B752" t="inlineStr">
        <is>
          <t>avverkningsanmälan</t>
        </is>
      </c>
      <c r="C752" t="inlineStr">
        <is>
          <t>Föryngringsavverkning</t>
        </is>
      </c>
      <c r="D752" s="1" t="n">
        <v>46205</v>
      </c>
      <c r="E752" s="1" t="n">
        <v>46216</v>
      </c>
      <c r="F752" t="inlineStr">
        <is>
          <t>VÄSTERBOTTENS LÄN</t>
        </is>
      </c>
      <c r="G752" t="inlineStr">
        <is>
          <t>ÅSELE</t>
        </is>
      </c>
      <c r="I752" t="n">
        <v>70.09999999999999</v>
      </c>
      <c r="J752" t="n">
        <v>0</v>
      </c>
      <c r="K752" t="n">
        <v>0</v>
      </c>
      <c r="L752" t="n">
        <v>0</v>
      </c>
      <c r="M752" t="n">
        <v>0</v>
      </c>
      <c r="N752" t="n">
        <v>0</v>
      </c>
      <c r="O752" t="n">
        <v>0</v>
      </c>
      <c r="P752" t="n">
        <v>0</v>
      </c>
      <c r="Q752" t="n">
        <v>0</v>
      </c>
      <c r="R752" t="n">
        <v>0</v>
      </c>
      <c r="S752" t="n">
        <v>0</v>
      </c>
      <c r="T752" t="n">
        <v>0</v>
      </c>
      <c r="U752" s="2" t="inlineStr"/>
    </row>
    <row r="753" ht="15" customHeight="1">
      <c r="A753" t="inlineStr">
        <is>
          <t>A 30772-2026</t>
        </is>
      </c>
      <c r="B753" t="inlineStr">
        <is>
          <t>avverkningsanmälan</t>
        </is>
      </c>
      <c r="C753" t="inlineStr">
        <is>
          <t>Föryngringsavverkning</t>
        </is>
      </c>
      <c r="D753" s="1" t="n">
        <v>46205</v>
      </c>
      <c r="E753" s="1" t="n">
        <v>46216</v>
      </c>
      <c r="F753" t="inlineStr">
        <is>
          <t>VÄSTERBOTTENS LÄN</t>
        </is>
      </c>
      <c r="G753" t="inlineStr">
        <is>
          <t>ÅSELE</t>
        </is>
      </c>
      <c r="I753" t="n">
        <v>29.8</v>
      </c>
      <c r="J753" t="n">
        <v>0</v>
      </c>
      <c r="K753" t="n">
        <v>0</v>
      </c>
      <c r="L753" t="n">
        <v>0</v>
      </c>
      <c r="M753" t="n">
        <v>0</v>
      </c>
      <c r="N753" t="n">
        <v>0</v>
      </c>
      <c r="O753" t="n">
        <v>0</v>
      </c>
      <c r="P753" t="n">
        <v>0</v>
      </c>
      <c r="Q753" t="n">
        <v>0</v>
      </c>
      <c r="R753" t="n">
        <v>0</v>
      </c>
      <c r="S753" t="n">
        <v>0</v>
      </c>
      <c r="T753" t="n">
        <v>0</v>
      </c>
      <c r="U753" s="2" t="inlineStr"/>
    </row>
    <row r="754" ht="15" customHeight="1">
      <c r="A754" t="inlineStr">
        <is>
          <t>A 1275-2025</t>
        </is>
      </c>
      <c r="B754" t="inlineStr">
        <is>
          <t>avverkningsanmälan</t>
        </is>
      </c>
      <c r="C754" t="inlineStr">
        <is>
          <t>Föryngringsavverkning</t>
        </is>
      </c>
      <c r="D754" s="1" t="n">
        <v>45666</v>
      </c>
      <c r="E754" s="1" t="n">
        <v>46216</v>
      </c>
      <c r="F754" t="inlineStr">
        <is>
          <t>VÄSTERBOTTENS LÄN</t>
        </is>
      </c>
      <c r="G754" t="inlineStr">
        <is>
          <t>ÅSELE</t>
        </is>
      </c>
      <c r="I754" t="n">
        <v>8.1</v>
      </c>
      <c r="J754" t="n">
        <v>0</v>
      </c>
      <c r="K754" t="n">
        <v>0</v>
      </c>
      <c r="L754" t="n">
        <v>0</v>
      </c>
      <c r="M754" t="n">
        <v>0</v>
      </c>
      <c r="N754" t="n">
        <v>0</v>
      </c>
      <c r="O754" t="n">
        <v>0</v>
      </c>
      <c r="P754" t="n">
        <v>0</v>
      </c>
      <c r="Q754" t="n">
        <v>0</v>
      </c>
      <c r="R754" t="n">
        <v>0</v>
      </c>
      <c r="S754" t="n">
        <v>0</v>
      </c>
      <c r="T754" t="n">
        <v>0</v>
      </c>
      <c r="U754" s="2" t="inlineStr"/>
    </row>
    <row r="755" ht="15" customHeight="1">
      <c r="A755" t="inlineStr">
        <is>
          <t>A 63060-2023</t>
        </is>
      </c>
      <c r="B755" t="inlineStr">
        <is>
          <t>avverkningsanmälan</t>
        </is>
      </c>
      <c r="C755" t="inlineStr">
        <is>
          <t>Föryngringsavverkning</t>
        </is>
      </c>
      <c r="D755" s="1" t="n">
        <v>45272</v>
      </c>
      <c r="E755" s="1" t="n">
        <v>46216</v>
      </c>
      <c r="F755" t="inlineStr">
        <is>
          <t>VÄSTERBOTTENS LÄN</t>
        </is>
      </c>
      <c r="G755" t="inlineStr">
        <is>
          <t>ÅSELE</t>
        </is>
      </c>
      <c r="H755" t="inlineStr">
        <is>
          <t>SCA</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13403-2025</t>
        </is>
      </c>
      <c r="B756" t="inlineStr">
        <is>
          <t>avverkningsanmälan</t>
        </is>
      </c>
      <c r="C756" t="inlineStr">
        <is>
          <t>Föryngringsavverkning</t>
        </is>
      </c>
      <c r="D756" s="1" t="n">
        <v>45735</v>
      </c>
      <c r="E756" s="1" t="n">
        <v>46216</v>
      </c>
      <c r="F756" t="inlineStr">
        <is>
          <t>VÄSTERBOTTENS LÄN</t>
        </is>
      </c>
      <c r="G756" t="inlineStr">
        <is>
          <t>ÅSELE</t>
        </is>
      </c>
      <c r="I756" t="n">
        <v>1.6</v>
      </c>
      <c r="J756" t="n">
        <v>0</v>
      </c>
      <c r="K756" t="n">
        <v>0</v>
      </c>
      <c r="L756" t="n">
        <v>0</v>
      </c>
      <c r="M756" t="n">
        <v>0</v>
      </c>
      <c r="N756" t="n">
        <v>0</v>
      </c>
      <c r="O756" t="n">
        <v>0</v>
      </c>
      <c r="P756" t="n">
        <v>0</v>
      </c>
      <c r="Q756" t="n">
        <v>0</v>
      </c>
      <c r="R756" t="n">
        <v>0</v>
      </c>
      <c r="S756" t="n">
        <v>0</v>
      </c>
      <c r="T756" t="n">
        <v>0</v>
      </c>
      <c r="U756" s="2" t="inlineStr"/>
    </row>
    <row r="757" ht="15" customHeight="1">
      <c r="A757" t="inlineStr">
        <is>
          <t>A 31119-2023</t>
        </is>
      </c>
      <c r="B757" t="inlineStr">
        <is>
          <t>avverkningsanmälan</t>
        </is>
      </c>
      <c r="C757" t="inlineStr">
        <is>
          <t>Föryngringsavverkning</t>
        </is>
      </c>
      <c r="D757" s="1" t="n">
        <v>45099</v>
      </c>
      <c r="E757" s="1" t="n">
        <v>46216</v>
      </c>
      <c r="F757" t="inlineStr">
        <is>
          <t>VÄSTERBOTTENS LÄN</t>
        </is>
      </c>
      <c r="G757" t="inlineStr">
        <is>
          <t>ÅSELE</t>
        </is>
      </c>
      <c r="I757" t="n">
        <v>5</v>
      </c>
      <c r="J757" t="n">
        <v>0</v>
      </c>
      <c r="K757" t="n">
        <v>0</v>
      </c>
      <c r="L757" t="n">
        <v>0</v>
      </c>
      <c r="M757" t="n">
        <v>0</v>
      </c>
      <c r="N757" t="n">
        <v>0</v>
      </c>
      <c r="O757" t="n">
        <v>0</v>
      </c>
      <c r="P757" t="n">
        <v>0</v>
      </c>
      <c r="Q757" t="n">
        <v>0</v>
      </c>
      <c r="R757" t="n">
        <v>0</v>
      </c>
      <c r="S757" t="n">
        <v>0</v>
      </c>
      <c r="T757" t="n">
        <v>0</v>
      </c>
      <c r="U757" s="2" t="inlineStr"/>
    </row>
    <row r="758" ht="15" customHeight="1">
      <c r="A758" t="inlineStr">
        <is>
          <t>A 39401-2022</t>
        </is>
      </c>
      <c r="B758" t="inlineStr">
        <is>
          <t>avverkningsanmälan</t>
        </is>
      </c>
      <c r="C758" t="inlineStr">
        <is>
          <t>Föryngringsavverkning</t>
        </is>
      </c>
      <c r="D758" s="1" t="n">
        <v>44817</v>
      </c>
      <c r="E758" s="1" t="n">
        <v>46216</v>
      </c>
      <c r="F758" t="inlineStr">
        <is>
          <t>VÄSTERBOTTENS LÄN</t>
        </is>
      </c>
      <c r="G758" t="inlineStr">
        <is>
          <t>ÅSELE</t>
        </is>
      </c>
      <c r="H758" t="inlineStr">
        <is>
          <t>SCA</t>
        </is>
      </c>
      <c r="I758" t="n">
        <v>3.2</v>
      </c>
      <c r="J758" t="n">
        <v>0</v>
      </c>
      <c r="K758" t="n">
        <v>0</v>
      </c>
      <c r="L758" t="n">
        <v>0</v>
      </c>
      <c r="M758" t="n">
        <v>0</v>
      </c>
      <c r="N758" t="n">
        <v>0</v>
      </c>
      <c r="O758" t="n">
        <v>0</v>
      </c>
      <c r="P758" t="n">
        <v>0</v>
      </c>
      <c r="Q758" t="n">
        <v>0</v>
      </c>
      <c r="R758" t="n">
        <v>0</v>
      </c>
      <c r="S758" t="n">
        <v>0</v>
      </c>
      <c r="T758" t="n">
        <v>0</v>
      </c>
      <c r="U758" s="2" t="inlineStr"/>
    </row>
    <row r="759" ht="15" customHeight="1">
      <c r="A759" t="inlineStr">
        <is>
          <t>A 61876-2023</t>
        </is>
      </c>
      <c r="B759" t="inlineStr">
        <is>
          <t>avverkningsanmälan</t>
        </is>
      </c>
      <c r="C759" t="inlineStr">
        <is>
          <t>Föryngringsavverkning</t>
        </is>
      </c>
      <c r="D759" s="1" t="n">
        <v>45266</v>
      </c>
      <c r="E759" s="1" t="n">
        <v>46216</v>
      </c>
      <c r="F759" t="inlineStr">
        <is>
          <t>VÄSTERBOTTENS LÄN</t>
        </is>
      </c>
      <c r="G759" t="inlineStr">
        <is>
          <t>ÅSELE</t>
        </is>
      </c>
      <c r="H759" t="inlineStr">
        <is>
          <t>Sveaskog</t>
        </is>
      </c>
      <c r="I759" t="n">
        <v>6.3</v>
      </c>
      <c r="J759" t="n">
        <v>0</v>
      </c>
      <c r="K759" t="n">
        <v>0</v>
      </c>
      <c r="L759" t="n">
        <v>0</v>
      </c>
      <c r="M759" t="n">
        <v>0</v>
      </c>
      <c r="N759" t="n">
        <v>0</v>
      </c>
      <c r="O759" t="n">
        <v>0</v>
      </c>
      <c r="P759" t="n">
        <v>0</v>
      </c>
      <c r="Q759" t="n">
        <v>0</v>
      </c>
      <c r="R759" t="n">
        <v>0</v>
      </c>
      <c r="S759" t="n">
        <v>0</v>
      </c>
      <c r="T759" t="n">
        <v>0</v>
      </c>
      <c r="U759" s="2" t="inlineStr"/>
    </row>
    <row r="760" ht="15" customHeight="1">
      <c r="A760" t="inlineStr">
        <is>
          <t>A 13011-2025</t>
        </is>
      </c>
      <c r="B760" t="inlineStr">
        <is>
          <t>avverkningsanmälan</t>
        </is>
      </c>
      <c r="C760" t="inlineStr">
        <is>
          <t>Föryngringsavverkning</t>
        </is>
      </c>
      <c r="D760" s="1" t="n">
        <v>45734</v>
      </c>
      <c r="E760" s="1" t="n">
        <v>46216</v>
      </c>
      <c r="F760" t="inlineStr">
        <is>
          <t>VÄSTERBOTTENS LÄN</t>
        </is>
      </c>
      <c r="G760" t="inlineStr">
        <is>
          <t>ÅSELE</t>
        </is>
      </c>
      <c r="H760" t="inlineStr">
        <is>
          <t>SCA</t>
        </is>
      </c>
      <c r="I760" t="n">
        <v>2.1</v>
      </c>
      <c r="J760" t="n">
        <v>0</v>
      </c>
      <c r="K760" t="n">
        <v>0</v>
      </c>
      <c r="L760" t="n">
        <v>0</v>
      </c>
      <c r="M760" t="n">
        <v>0</v>
      </c>
      <c r="N760" t="n">
        <v>0</v>
      </c>
      <c r="O760" t="n">
        <v>0</v>
      </c>
      <c r="P760" t="n">
        <v>0</v>
      </c>
      <c r="Q760" t="n">
        <v>0</v>
      </c>
      <c r="R760" t="n">
        <v>0</v>
      </c>
      <c r="S760" t="n">
        <v>0</v>
      </c>
      <c r="T760" t="n">
        <v>0</v>
      </c>
      <c r="U760" s="2" t="inlineStr"/>
    </row>
    <row r="761" ht="15" customHeight="1">
      <c r="A761" t="inlineStr">
        <is>
          <t>A 10772-2023</t>
        </is>
      </c>
      <c r="B761" t="inlineStr">
        <is>
          <t>avverkningsanmälan</t>
        </is>
      </c>
      <c r="C761" t="inlineStr">
        <is>
          <t>Föryngringsavverkning</t>
        </is>
      </c>
      <c r="D761" s="1" t="n">
        <v>44988</v>
      </c>
      <c r="E761" s="1" t="n">
        <v>46216</v>
      </c>
      <c r="F761" t="inlineStr">
        <is>
          <t>VÄSTERBOTTENS LÄN</t>
        </is>
      </c>
      <c r="G761" t="inlineStr">
        <is>
          <t>ÅSELE</t>
        </is>
      </c>
      <c r="H761" t="inlineStr">
        <is>
          <t>SCA</t>
        </is>
      </c>
      <c r="I761" t="n">
        <v>1.6</v>
      </c>
      <c r="J761" t="n">
        <v>0</v>
      </c>
      <c r="K761" t="n">
        <v>0</v>
      </c>
      <c r="L761" t="n">
        <v>0</v>
      </c>
      <c r="M761" t="n">
        <v>0</v>
      </c>
      <c r="N761" t="n">
        <v>0</v>
      </c>
      <c r="O761" t="n">
        <v>0</v>
      </c>
      <c r="P761" t="n">
        <v>0</v>
      </c>
      <c r="Q761" t="n">
        <v>0</v>
      </c>
      <c r="R761" t="n">
        <v>0</v>
      </c>
      <c r="S761" t="n">
        <v>0</v>
      </c>
      <c r="T761" t="n">
        <v>0</v>
      </c>
      <c r="U761" s="2" t="inlineStr"/>
    </row>
    <row r="762" ht="15" customHeight="1">
      <c r="A762" t="inlineStr">
        <is>
          <t>A 50030-2024</t>
        </is>
      </c>
      <c r="B762" t="inlineStr">
        <is>
          <t>avverkningsanmälan</t>
        </is>
      </c>
      <c r="C762" t="inlineStr">
        <is>
          <t>Föryngringsavverkning</t>
        </is>
      </c>
      <c r="D762" s="1" t="n">
        <v>45599</v>
      </c>
      <c r="E762" s="1" t="n">
        <v>46216</v>
      </c>
      <c r="F762" t="inlineStr">
        <is>
          <t>VÄSTERBOTTENS LÄN</t>
        </is>
      </c>
      <c r="G762" t="inlineStr">
        <is>
          <t>ÅSELE</t>
        </is>
      </c>
      <c r="I762" t="n">
        <v>4.4</v>
      </c>
      <c r="J762" t="n">
        <v>0</v>
      </c>
      <c r="K762" t="n">
        <v>0</v>
      </c>
      <c r="L762" t="n">
        <v>0</v>
      </c>
      <c r="M762" t="n">
        <v>0</v>
      </c>
      <c r="N762" t="n">
        <v>0</v>
      </c>
      <c r="O762" t="n">
        <v>0</v>
      </c>
      <c r="P762" t="n">
        <v>0</v>
      </c>
      <c r="Q762" t="n">
        <v>0</v>
      </c>
      <c r="R762" t="n">
        <v>0</v>
      </c>
      <c r="S762" t="n">
        <v>0</v>
      </c>
      <c r="T762" t="n">
        <v>0</v>
      </c>
      <c r="U762" s="2" t="inlineStr"/>
    </row>
    <row r="763" ht="15" customHeight="1">
      <c r="A763" t="inlineStr">
        <is>
          <t>A 22144-2025</t>
        </is>
      </c>
      <c r="B763" t="inlineStr">
        <is>
          <t>avverkningsanmälan</t>
        </is>
      </c>
      <c r="C763" t="inlineStr">
        <is>
          <t>Föryngringsavverkning</t>
        </is>
      </c>
      <c r="D763" s="1" t="n">
        <v>45785</v>
      </c>
      <c r="E763" s="1" t="n">
        <v>46216</v>
      </c>
      <c r="F763" t="inlineStr">
        <is>
          <t>VÄSTERBOTTENS LÄN</t>
        </is>
      </c>
      <c r="G763" t="inlineStr">
        <is>
          <t>ÅSELE</t>
        </is>
      </c>
      <c r="I763" t="n">
        <v>8.4</v>
      </c>
      <c r="J763" t="n">
        <v>0</v>
      </c>
      <c r="K763" t="n">
        <v>0</v>
      </c>
      <c r="L763" t="n">
        <v>0</v>
      </c>
      <c r="M763" t="n">
        <v>0</v>
      </c>
      <c r="N763" t="n">
        <v>0</v>
      </c>
      <c r="O763" t="n">
        <v>0</v>
      </c>
      <c r="P763" t="n">
        <v>0</v>
      </c>
      <c r="Q763" t="n">
        <v>0</v>
      </c>
      <c r="R763" t="n">
        <v>0</v>
      </c>
      <c r="S763" t="n">
        <v>0</v>
      </c>
      <c r="T763" t="n">
        <v>0</v>
      </c>
      <c r="U763" s="2" t="inlineStr"/>
    </row>
    <row r="764" ht="15" customHeight="1">
      <c r="A764" t="inlineStr">
        <is>
          <t>A 23170-2025</t>
        </is>
      </c>
      <c r="B764" t="inlineStr">
        <is>
          <t>avverkningsanmälan</t>
        </is>
      </c>
      <c r="C764" t="inlineStr">
        <is>
          <t>Föryngringsavverkning</t>
        </is>
      </c>
      <c r="D764" s="1" t="n">
        <v>45791</v>
      </c>
      <c r="E764" s="1" t="n">
        <v>46216</v>
      </c>
      <c r="F764" t="inlineStr">
        <is>
          <t>VÄSTERBOTTENS LÄN</t>
        </is>
      </c>
      <c r="G764" t="inlineStr">
        <is>
          <t>ÅSELE</t>
        </is>
      </c>
      <c r="H764" t="inlineStr">
        <is>
          <t>SCA</t>
        </is>
      </c>
      <c r="I764" t="n">
        <v>6.4</v>
      </c>
      <c r="J764" t="n">
        <v>0</v>
      </c>
      <c r="K764" t="n">
        <v>0</v>
      </c>
      <c r="L764" t="n">
        <v>0</v>
      </c>
      <c r="M764" t="n">
        <v>0</v>
      </c>
      <c r="N764" t="n">
        <v>0</v>
      </c>
      <c r="O764" t="n">
        <v>0</v>
      </c>
      <c r="P764" t="n">
        <v>0</v>
      </c>
      <c r="Q764" t="n">
        <v>0</v>
      </c>
      <c r="R764" t="n">
        <v>0</v>
      </c>
      <c r="S764" t="n">
        <v>0</v>
      </c>
      <c r="T764" t="n">
        <v>0</v>
      </c>
      <c r="U764" s="2" t="inlineStr"/>
    </row>
    <row r="765" ht="15" customHeight="1">
      <c r="A765" t="inlineStr">
        <is>
          <t>A 23737-2025</t>
        </is>
      </c>
      <c r="B765" t="inlineStr">
        <is>
          <t>avverkningsanmälan</t>
        </is>
      </c>
      <c r="C765" t="inlineStr">
        <is>
          <t>Föryngringsavverkning</t>
        </is>
      </c>
      <c r="D765" s="1" t="n">
        <v>45793</v>
      </c>
      <c r="E765" s="1" t="n">
        <v>46216</v>
      </c>
      <c r="F765" t="inlineStr">
        <is>
          <t>VÄSTERBOTTENS LÄN</t>
        </is>
      </c>
      <c r="G765" t="inlineStr">
        <is>
          <t>ÅSELE</t>
        </is>
      </c>
      <c r="H765" t="inlineStr">
        <is>
          <t>SCA</t>
        </is>
      </c>
      <c r="I765" t="n">
        <v>6.5</v>
      </c>
      <c r="J765" t="n">
        <v>0</v>
      </c>
      <c r="K765" t="n">
        <v>0</v>
      </c>
      <c r="L765" t="n">
        <v>0</v>
      </c>
      <c r="M765" t="n">
        <v>0</v>
      </c>
      <c r="N765" t="n">
        <v>0</v>
      </c>
      <c r="O765" t="n">
        <v>0</v>
      </c>
      <c r="P765" t="n">
        <v>0</v>
      </c>
      <c r="Q765" t="n">
        <v>0</v>
      </c>
      <c r="R765" t="n">
        <v>0</v>
      </c>
      <c r="S765" t="n">
        <v>0</v>
      </c>
      <c r="T765" t="n">
        <v>0</v>
      </c>
      <c r="U765" s="2" t="inlineStr"/>
    </row>
    <row r="766" ht="15" customHeight="1">
      <c r="A766" t="inlineStr">
        <is>
          <t>A 16175-2025</t>
        </is>
      </c>
      <c r="B766" t="inlineStr">
        <is>
          <t>avverkningsanmälan</t>
        </is>
      </c>
      <c r="C766" t="inlineStr">
        <is>
          <t>Föryngringsavverkning</t>
        </is>
      </c>
      <c r="D766" s="1" t="n">
        <v>45750</v>
      </c>
      <c r="E766" s="1" t="n">
        <v>46216</v>
      </c>
      <c r="F766" t="inlineStr">
        <is>
          <t>VÄSTERBOTTENS LÄN</t>
        </is>
      </c>
      <c r="G766" t="inlineStr">
        <is>
          <t>ÅSELE</t>
        </is>
      </c>
      <c r="I766" t="n">
        <v>15.4</v>
      </c>
      <c r="J766" t="n">
        <v>0</v>
      </c>
      <c r="K766" t="n">
        <v>0</v>
      </c>
      <c r="L766" t="n">
        <v>0</v>
      </c>
      <c r="M766" t="n">
        <v>0</v>
      </c>
      <c r="N766" t="n">
        <v>0</v>
      </c>
      <c r="O766" t="n">
        <v>0</v>
      </c>
      <c r="P766" t="n">
        <v>0</v>
      </c>
      <c r="Q766" t="n">
        <v>0</v>
      </c>
      <c r="R766" t="n">
        <v>0</v>
      </c>
      <c r="S766" t="n">
        <v>0</v>
      </c>
      <c r="T766" t="n">
        <v>0</v>
      </c>
      <c r="U766" s="2" t="inlineStr"/>
    </row>
    <row r="767" ht="15" customHeight="1">
      <c r="A767" t="inlineStr">
        <is>
          <t>S 905-2022</t>
        </is>
      </c>
      <c r="B767" t="inlineStr">
        <is>
          <t>samrådsanmälan</t>
        </is>
      </c>
      <c r="C767" t="inlineStr">
        <is>
          <t>Skogsgödsling</t>
        </is>
      </c>
      <c r="D767" s="1" t="n">
        <v>44607</v>
      </c>
      <c r="E767" s="1" t="n">
        <v>46216</v>
      </c>
      <c r="F767" t="inlineStr">
        <is>
          <t>VÄSTERBOTTENS LÄN</t>
        </is>
      </c>
      <c r="G767" t="inlineStr">
        <is>
          <t>ÅSELE</t>
        </is>
      </c>
      <c r="H767" t="inlineStr">
        <is>
          <t>SCA</t>
        </is>
      </c>
      <c r="I767" t="n">
        <v>261.2</v>
      </c>
      <c r="J767" t="n">
        <v>0</v>
      </c>
      <c r="K767" t="n">
        <v>0</v>
      </c>
      <c r="L767" t="n">
        <v>0</v>
      </c>
      <c r="M767" t="n">
        <v>0</v>
      </c>
      <c r="N767" t="n">
        <v>0</v>
      </c>
      <c r="O767" t="n">
        <v>0</v>
      </c>
      <c r="P767" t="n">
        <v>0</v>
      </c>
      <c r="Q767" t="n">
        <v>0</v>
      </c>
      <c r="R767" t="n">
        <v>0</v>
      </c>
      <c r="S767" t="n">
        <v>0</v>
      </c>
      <c r="T767" t="n">
        <v>0</v>
      </c>
      <c r="U767" s="2" t="inlineStr"/>
    </row>
    <row r="768" ht="15" customHeight="1">
      <c r="A768" t="inlineStr">
        <is>
          <t>S 1176-2023</t>
        </is>
      </c>
      <c r="B768" t="inlineStr">
        <is>
          <t>samrådsanmälan</t>
        </is>
      </c>
      <c r="C768" t="inlineStr">
        <is>
          <t>Annan skogsbruksåtgärd</t>
        </is>
      </c>
      <c r="D768" s="1" t="n">
        <v>45020</v>
      </c>
      <c r="E768" s="1" t="n">
        <v>46216</v>
      </c>
      <c r="F768" t="inlineStr">
        <is>
          <t>VÄSTERBOTTENS LÄN</t>
        </is>
      </c>
      <c r="G768" t="inlineStr">
        <is>
          <t>ÅSELE</t>
        </is>
      </c>
      <c r="H768" t="inlineStr">
        <is>
          <t>SCA</t>
        </is>
      </c>
      <c r="I768" t="n">
        <v>18.4</v>
      </c>
      <c r="J768" t="n">
        <v>0</v>
      </c>
      <c r="K768" t="n">
        <v>0</v>
      </c>
      <c r="L768" t="n">
        <v>0</v>
      </c>
      <c r="M768" t="n">
        <v>0</v>
      </c>
      <c r="N768" t="n">
        <v>0</v>
      </c>
      <c r="O768" t="n">
        <v>0</v>
      </c>
      <c r="P768" t="n">
        <v>0</v>
      </c>
      <c r="Q768" t="n">
        <v>0</v>
      </c>
      <c r="R768" t="n">
        <v>0</v>
      </c>
      <c r="S768" t="n">
        <v>0</v>
      </c>
      <c r="T768" t="n">
        <v>0</v>
      </c>
      <c r="U768" s="2" t="inlineStr"/>
    </row>
    <row r="769" ht="15" customHeight="1">
      <c r="A769" t="inlineStr">
        <is>
          <t>S 1503-2022</t>
        </is>
      </c>
      <c r="B769" t="inlineStr">
        <is>
          <t>samrådsanmälan</t>
        </is>
      </c>
      <c r="C769" t="inlineStr">
        <is>
          <t>Skogsgödsling</t>
        </is>
      </c>
      <c r="D769" s="1" t="n">
        <v>44638</v>
      </c>
      <c r="E769" s="1" t="n">
        <v>46216</v>
      </c>
      <c r="F769" t="inlineStr">
        <is>
          <t>VÄSTERBOTTENS LÄN</t>
        </is>
      </c>
      <c r="G769" t="inlineStr">
        <is>
          <t>ÅSELE</t>
        </is>
      </c>
      <c r="H769" t="inlineStr">
        <is>
          <t>Sveaskog</t>
        </is>
      </c>
      <c r="I769" t="n">
        <v>71.2</v>
      </c>
      <c r="J769" t="n">
        <v>0</v>
      </c>
      <c r="K769" t="n">
        <v>0</v>
      </c>
      <c r="L769" t="n">
        <v>0</v>
      </c>
      <c r="M769" t="n">
        <v>0</v>
      </c>
      <c r="N769" t="n">
        <v>0</v>
      </c>
      <c r="O769" t="n">
        <v>0</v>
      </c>
      <c r="P769" t="n">
        <v>0</v>
      </c>
      <c r="Q769" t="n">
        <v>0</v>
      </c>
      <c r="R769" t="n">
        <v>0</v>
      </c>
      <c r="S769" t="n">
        <v>0</v>
      </c>
      <c r="T769" t="n">
        <v>0</v>
      </c>
      <c r="U769" s="2" t="inlineStr"/>
    </row>
    <row r="770" ht="15" customHeight="1">
      <c r="A770" t="inlineStr">
        <is>
          <t>S 1006-2024</t>
        </is>
      </c>
      <c r="B770" t="inlineStr">
        <is>
          <t>samrådsanmälan</t>
        </is>
      </c>
      <c r="C770" t="inlineStr">
        <is>
          <t>Annan skogsbruksåtgärd</t>
        </is>
      </c>
      <c r="D770" s="1" t="n">
        <v>45386</v>
      </c>
      <c r="E770" s="1" t="n">
        <v>46216</v>
      </c>
      <c r="F770" t="inlineStr">
        <is>
          <t>VÄSTERBOTTENS LÄN</t>
        </is>
      </c>
      <c r="G770" t="inlineStr">
        <is>
          <t>ÅSELE</t>
        </is>
      </c>
      <c r="H770" t="inlineStr">
        <is>
          <t>SCA</t>
        </is>
      </c>
      <c r="I770" t="n">
        <v>9.199999999999999</v>
      </c>
      <c r="J770" t="n">
        <v>0</v>
      </c>
      <c r="K770" t="n">
        <v>0</v>
      </c>
      <c r="L770" t="n">
        <v>0</v>
      </c>
      <c r="M770" t="n">
        <v>0</v>
      </c>
      <c r="N770" t="n">
        <v>0</v>
      </c>
      <c r="O770" t="n">
        <v>0</v>
      </c>
      <c r="P770" t="n">
        <v>0</v>
      </c>
      <c r="Q770" t="n">
        <v>0</v>
      </c>
      <c r="R770" t="n">
        <v>0</v>
      </c>
      <c r="S770" t="n">
        <v>0</v>
      </c>
      <c r="T770" t="n">
        <v>0</v>
      </c>
      <c r="U770" s="2" t="inlineStr"/>
    </row>
    <row r="771" ht="15" customHeight="1">
      <c r="A771" t="inlineStr">
        <is>
          <t>S 5077-2024</t>
        </is>
      </c>
      <c r="B771" t="inlineStr">
        <is>
          <t>samrådsanmälan</t>
        </is>
      </c>
      <c r="C771" t="inlineStr">
        <is>
          <t>Annan skogsbruksåtgärd</t>
        </is>
      </c>
      <c r="D771" s="1" t="n">
        <v>45638</v>
      </c>
      <c r="E771" s="1" t="n">
        <v>46216</v>
      </c>
      <c r="F771" t="inlineStr">
        <is>
          <t>VÄSTERBOTTENS LÄN</t>
        </is>
      </c>
      <c r="G771" t="inlineStr">
        <is>
          <t>ÅSELE</t>
        </is>
      </c>
      <c r="H771" t="inlineStr">
        <is>
          <t>SCA</t>
        </is>
      </c>
      <c r="I771" t="n">
        <v>4.9</v>
      </c>
      <c r="J771" t="n">
        <v>0</v>
      </c>
      <c r="K771" t="n">
        <v>0</v>
      </c>
      <c r="L771" t="n">
        <v>0</v>
      </c>
      <c r="M771" t="n">
        <v>0</v>
      </c>
      <c r="N771" t="n">
        <v>0</v>
      </c>
      <c r="O771" t="n">
        <v>0</v>
      </c>
      <c r="P771" t="n">
        <v>0</v>
      </c>
      <c r="Q771" t="n">
        <v>0</v>
      </c>
      <c r="R771" t="n">
        <v>0</v>
      </c>
      <c r="S771" t="n">
        <v>0</v>
      </c>
      <c r="T771" t="n">
        <v>0</v>
      </c>
      <c r="U771" s="2" t="inlineStr"/>
    </row>
    <row r="772" ht="15" customHeight="1">
      <c r="A772" t="inlineStr">
        <is>
          <t>S 4178-2023</t>
        </is>
      </c>
      <c r="B772" t="inlineStr">
        <is>
          <t>samrådsanmälan</t>
        </is>
      </c>
      <c r="C772" t="inlineStr">
        <is>
          <t>Skogsgödsling</t>
        </is>
      </c>
      <c r="D772" s="1" t="n">
        <v>45250</v>
      </c>
      <c r="E772" s="1" t="n">
        <v>46216</v>
      </c>
      <c r="F772" t="inlineStr">
        <is>
          <t>VÄSTERBOTTENS LÄN</t>
        </is>
      </c>
      <c r="G772" t="inlineStr">
        <is>
          <t>ÅSELE</t>
        </is>
      </c>
      <c r="H772" t="inlineStr">
        <is>
          <t>Naturvårdsverket</t>
        </is>
      </c>
      <c r="I772" t="n">
        <v>20.9</v>
      </c>
      <c r="J772" t="n">
        <v>0</v>
      </c>
      <c r="K772" t="n">
        <v>0</v>
      </c>
      <c r="L772" t="n">
        <v>0</v>
      </c>
      <c r="M772" t="n">
        <v>0</v>
      </c>
      <c r="N772" t="n">
        <v>0</v>
      </c>
      <c r="O772" t="n">
        <v>0</v>
      </c>
      <c r="P772" t="n">
        <v>0</v>
      </c>
      <c r="Q772" t="n">
        <v>0</v>
      </c>
      <c r="R772" t="n">
        <v>0</v>
      </c>
      <c r="S772" t="n">
        <v>0</v>
      </c>
      <c r="T772" t="n">
        <v>0</v>
      </c>
      <c r="U772" s="2" t="inlineStr"/>
    </row>
    <row r="773" ht="15" customHeight="1">
      <c r="A773" t="inlineStr">
        <is>
          <t>S 1178-2023</t>
        </is>
      </c>
      <c r="B773" t="inlineStr">
        <is>
          <t>samrådsanmälan</t>
        </is>
      </c>
      <c r="C773" t="inlineStr">
        <is>
          <t>Annan skogsbruksåtgärd</t>
        </is>
      </c>
      <c r="D773" s="1" t="n">
        <v>45021</v>
      </c>
      <c r="E773" s="1" t="n">
        <v>46216</v>
      </c>
      <c r="F773" t="inlineStr">
        <is>
          <t>VÄSTERBOTTENS LÄN</t>
        </is>
      </c>
      <c r="G773" t="inlineStr">
        <is>
          <t>ÅSELE</t>
        </is>
      </c>
      <c r="H773" t="inlineStr">
        <is>
          <t>SCA</t>
        </is>
      </c>
      <c r="I773" t="n">
        <v>6.4</v>
      </c>
      <c r="J773" t="n">
        <v>0</v>
      </c>
      <c r="K773" t="n">
        <v>0</v>
      </c>
      <c r="L773" t="n">
        <v>0</v>
      </c>
      <c r="M773" t="n">
        <v>0</v>
      </c>
      <c r="N773" t="n">
        <v>0</v>
      </c>
      <c r="O773" t="n">
        <v>0</v>
      </c>
      <c r="P773" t="n">
        <v>0</v>
      </c>
      <c r="Q773" t="n">
        <v>0</v>
      </c>
      <c r="R773" t="n">
        <v>0</v>
      </c>
      <c r="S773" t="n">
        <v>0</v>
      </c>
      <c r="T773" t="n">
        <v>0</v>
      </c>
      <c r="U773" s="2" t="inlineStr"/>
    </row>
    <row r="774" ht="15" customHeight="1">
      <c r="A774" t="inlineStr">
        <is>
          <t>S 163-2023</t>
        </is>
      </c>
      <c r="B774" t="inlineStr">
        <is>
          <t>samrådsanmälan</t>
        </is>
      </c>
      <c r="C774" t="inlineStr">
        <is>
          <t>Skogsgödsling</t>
        </is>
      </c>
      <c r="D774" s="1" t="n">
        <v>44943</v>
      </c>
      <c r="E774" s="1" t="n">
        <v>46216</v>
      </c>
      <c r="F774" t="inlineStr">
        <is>
          <t>VÄSTERBOTTENS LÄN</t>
        </is>
      </c>
      <c r="G774" t="inlineStr">
        <is>
          <t>ÅSELE</t>
        </is>
      </c>
      <c r="H774" t="inlineStr">
        <is>
          <t>SCA</t>
        </is>
      </c>
      <c r="I774" t="n">
        <v>268</v>
      </c>
      <c r="J774" t="n">
        <v>0</v>
      </c>
      <c r="K774" t="n">
        <v>0</v>
      </c>
      <c r="L774" t="n">
        <v>0</v>
      </c>
      <c r="M774" t="n">
        <v>0</v>
      </c>
      <c r="N774" t="n">
        <v>0</v>
      </c>
      <c r="O774" t="n">
        <v>0</v>
      </c>
      <c r="P774" t="n">
        <v>0</v>
      </c>
      <c r="Q774" t="n">
        <v>0</v>
      </c>
      <c r="R774" t="n">
        <v>0</v>
      </c>
      <c r="S774" t="n">
        <v>0</v>
      </c>
      <c r="T774" t="n">
        <v>0</v>
      </c>
      <c r="U774" s="2" t="inlineStr"/>
    </row>
    <row r="775" ht="15" customHeight="1">
      <c r="A775" t="inlineStr">
        <is>
          <t>S 1150-2025</t>
        </is>
      </c>
      <c r="B775" t="inlineStr">
        <is>
          <t>samrådsanmälan</t>
        </is>
      </c>
      <c r="C775" t="inlineStr">
        <is>
          <t>Skogsgödsling</t>
        </is>
      </c>
      <c r="D775" s="1" t="n">
        <v>45755</v>
      </c>
      <c r="E775" s="1" t="n">
        <v>46216</v>
      </c>
      <c r="F775" t="inlineStr">
        <is>
          <t>VÄSTERBOTTENS LÄN</t>
        </is>
      </c>
      <c r="G775" t="inlineStr">
        <is>
          <t>ÅSELE</t>
        </is>
      </c>
      <c r="I775" t="n">
        <v>13.7</v>
      </c>
      <c r="J775" t="n">
        <v>0</v>
      </c>
      <c r="K775" t="n">
        <v>0</v>
      </c>
      <c r="L775" t="n">
        <v>0</v>
      </c>
      <c r="M775" t="n">
        <v>0</v>
      </c>
      <c r="N775" t="n">
        <v>0</v>
      </c>
      <c r="O775" t="n">
        <v>0</v>
      </c>
      <c r="P775" t="n">
        <v>0</v>
      </c>
      <c r="Q775" t="n">
        <v>0</v>
      </c>
      <c r="R775" t="n">
        <v>0</v>
      </c>
      <c r="S775" t="n">
        <v>0</v>
      </c>
      <c r="T775" t="n">
        <v>0</v>
      </c>
      <c r="U775" s="2" t="inlineStr"/>
    </row>
    <row r="776" ht="15" customHeight="1">
      <c r="A776" t="inlineStr">
        <is>
          <t>S 2009-2025</t>
        </is>
      </c>
      <c r="B776" t="inlineStr">
        <is>
          <t>samrådsanmälan</t>
        </is>
      </c>
      <c r="C776" t="inlineStr">
        <is>
          <t>Skogsgödsling</t>
        </is>
      </c>
      <c r="D776" s="1" t="n">
        <v>45834</v>
      </c>
      <c r="E776" s="1" t="n">
        <v>46216</v>
      </c>
      <c r="F776" t="inlineStr">
        <is>
          <t>VÄSTERBOTTENS LÄN</t>
        </is>
      </c>
      <c r="G776" t="inlineStr">
        <is>
          <t>ÅSELE</t>
        </is>
      </c>
      <c r="H776" t="inlineStr">
        <is>
          <t>Naturvårdsverket</t>
        </is>
      </c>
      <c r="I776" t="n">
        <v>83.59999999999999</v>
      </c>
      <c r="J776" t="n">
        <v>0</v>
      </c>
      <c r="K776" t="n">
        <v>0</v>
      </c>
      <c r="L776" t="n">
        <v>0</v>
      </c>
      <c r="M776" t="n">
        <v>0</v>
      </c>
      <c r="N776" t="n">
        <v>0</v>
      </c>
      <c r="O776" t="n">
        <v>0</v>
      </c>
      <c r="P776" t="n">
        <v>0</v>
      </c>
      <c r="Q776" t="n">
        <v>0</v>
      </c>
      <c r="R776" t="n">
        <v>0</v>
      </c>
      <c r="S776" t="n">
        <v>0</v>
      </c>
      <c r="T776" t="n">
        <v>0</v>
      </c>
      <c r="U776" s="2" t="inlineStr"/>
    </row>
    <row r="777" ht="15" customHeight="1">
      <c r="A777" t="inlineStr">
        <is>
          <t>S 1149-2025</t>
        </is>
      </c>
      <c r="B777" t="inlineStr">
        <is>
          <t>samrådsanmälan</t>
        </is>
      </c>
      <c r="C777" t="inlineStr">
        <is>
          <t>Skogsgödsling</t>
        </is>
      </c>
      <c r="D777" s="1" t="n">
        <v>45755</v>
      </c>
      <c r="E777" s="1" t="n">
        <v>46216</v>
      </c>
      <c r="F777" t="inlineStr">
        <is>
          <t>VÄSTERBOTTENS LÄN</t>
        </is>
      </c>
      <c r="G777" t="inlineStr">
        <is>
          <t>ÅSELE</t>
        </is>
      </c>
      <c r="I777" t="n">
        <v>20.6</v>
      </c>
      <c r="J777" t="n">
        <v>0</v>
      </c>
      <c r="K777" t="n">
        <v>0</v>
      </c>
      <c r="L777" t="n">
        <v>0</v>
      </c>
      <c r="M777" t="n">
        <v>0</v>
      </c>
      <c r="N777" t="n">
        <v>0</v>
      </c>
      <c r="O777" t="n">
        <v>0</v>
      </c>
      <c r="P777" t="n">
        <v>0</v>
      </c>
      <c r="Q777" t="n">
        <v>0</v>
      </c>
      <c r="R777" t="n">
        <v>0</v>
      </c>
      <c r="S777" t="n">
        <v>0</v>
      </c>
      <c r="T777" t="n">
        <v>0</v>
      </c>
      <c r="U777" s="2" t="inlineStr"/>
    </row>
    <row r="778">
      <c r="A778" t="inlineStr">
        <is>
          <t>S 1546-2026</t>
        </is>
      </c>
      <c r="B778" t="inlineStr">
        <is>
          <t>samrådsanmälan</t>
        </is>
      </c>
      <c r="C778" t="inlineStr">
        <is>
          <t>Skogsgödsling</t>
        </is>
      </c>
      <c r="D778" s="1" t="n">
        <v>46168</v>
      </c>
      <c r="E778" s="1" t="n">
        <v>46216</v>
      </c>
      <c r="F778" t="inlineStr">
        <is>
          <t>VÄSTERBOTTENS LÄN</t>
        </is>
      </c>
      <c r="G778" t="inlineStr">
        <is>
          <t>ÅSELE</t>
        </is>
      </c>
      <c r="I778" t="n">
        <v>7.4</v>
      </c>
      <c r="J778" t="n">
        <v>0</v>
      </c>
      <c r="K778" t="n">
        <v>0</v>
      </c>
      <c r="L778" t="n">
        <v>0</v>
      </c>
      <c r="M778" t="n">
        <v>0</v>
      </c>
      <c r="N778" t="n">
        <v>0</v>
      </c>
      <c r="O778" t="n">
        <v>0</v>
      </c>
      <c r="P778" t="n">
        <v>0</v>
      </c>
      <c r="Q778" t="n">
        <v>0</v>
      </c>
      <c r="R778" t="n">
        <v>0</v>
      </c>
      <c r="S778" t="n">
        <v>0</v>
      </c>
      <c r="T778" t="n">
        <v>0</v>
      </c>
      <c r="U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2026-07-13T14:50:25Z</dcterms:created>
  <dcterms:modified xmlns:dcterms="http://purl.org/dc/terms/" xmlns:xsi="http://www.w3.org/2001/XMLSchema-instance" xsi:type="dcterms:W3CDTF">2026-07-13T14:50:26Z</dcterms:modified>
</cp:coreProperties>
</file>